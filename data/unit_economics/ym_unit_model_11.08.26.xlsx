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Юнитка FBO" sheetId="1" r:id="rId4"/>
    <sheet state="visible" name="Юнитка FBS" sheetId="2" r:id="rId5"/>
  </sheets>
  <definedNames/>
  <calcPr/>
  <extLst>
    <ext uri="GoogleSheetsCustomDataVersion2">
      <go:sheetsCustomData xmlns:go="http://customooxmlschemas.google.com/" r:id="rId6" roundtripDataChecksum="u483/C1f+T7o3PKW65aZwbD1b3o7Br6xyQ+XZVFaF9U="/>
    </ext>
  </extLst>
</workbook>
</file>

<file path=xl/sharedStrings.xml><?xml version="1.0" encoding="utf-8"?>
<sst xmlns="http://schemas.openxmlformats.org/spreadsheetml/2006/main" count="512" uniqueCount="205">
  <si>
    <t>ПАРАМЕТРЫ — меняй жёлтые ячейки, всё пересчитается</t>
  </si>
  <si>
    <t>Налог с оборота</t>
  </si>
  <si>
    <t>Эквайринг</t>
  </si>
  <si>
    <t>Фулфилмент, ₽/шт</t>
  </si>
  <si>
    <t>Хранение, ₽/л/день</t>
  </si>
  <si>
    <t>Дней хранения</t>
  </si>
  <si>
    <t>Наценка за нелокальные продажи %</t>
  </si>
  <si>
    <t>Кроссдок: обработка (склады/СЦ) ₽/л</t>
  </si>
  <si>
    <t>Кроссдок: перевозка ₽/л (средн. 26 скл.)</t>
  </si>
  <si>
    <t>Подписка, %</t>
  </si>
  <si>
    <t>Отгрузка на ПВЗ, ₽</t>
  </si>
  <si>
    <t>Артикул SKU</t>
  </si>
  <si>
    <t>Товар</t>
  </si>
  <si>
    <t>Заказ контейнер шт</t>
  </si>
  <si>
    <t>Комментарий</t>
  </si>
  <si>
    <t>Остаток</t>
  </si>
  <si>
    <t>Цена конкурента без СПП</t>
  </si>
  <si>
    <t>Кол-во продаж конкурент</t>
  </si>
  <si>
    <t>ДРР конкурент</t>
  </si>
  <si>
    <t>Цена наша без СПП</t>
  </si>
  <si>
    <t>СПП, %</t>
  </si>
  <si>
    <t>Цена с СПП</t>
  </si>
  <si>
    <t>Себест.</t>
  </si>
  <si>
    <t>Фулфилмент</t>
  </si>
  <si>
    <t>База затрат</t>
  </si>
  <si>
    <t>Комиссия %</t>
  </si>
  <si>
    <t>Комиссия ₽</t>
  </si>
  <si>
    <t>Логистика</t>
  </si>
  <si>
    <t>Наценка нелок., ₽</t>
  </si>
  <si>
    <t>Доставка до ПВЗ</t>
  </si>
  <si>
    <t>Налог</t>
  </si>
  <si>
    <t>Выкуп %</t>
  </si>
  <si>
    <t>Обр.лог база</t>
  </si>
  <si>
    <t>Обр.лог</t>
  </si>
  <si>
    <t>Объём, л</t>
  </si>
  <si>
    <t>Хранение</t>
  </si>
  <si>
    <t>Кроссдок ср., ₽/ед</t>
  </si>
  <si>
    <t>Оплата за клик, %</t>
  </si>
  <si>
    <t>Оплата за клик ₽</t>
  </si>
  <si>
    <t>Вывод в топ, %</t>
  </si>
  <si>
    <t>Вывод в топ ₽</t>
  </si>
  <si>
    <t>Реклама всего ₽</t>
  </si>
  <si>
    <t>ДРР %</t>
  </si>
  <si>
    <t>Маржа до рекл.</t>
  </si>
  <si>
    <t>Маржа/шт</t>
  </si>
  <si>
    <t>Маржа % цены</t>
  </si>
  <si>
    <t>ROI %</t>
  </si>
  <si>
    <t>Цена безубыт.</t>
  </si>
  <si>
    <t>Подписка, ₽</t>
  </si>
  <si>
    <t>Косметика/COSRX</t>
  </si>
  <si>
    <t>COSRX - Salicylic Acid Daily Gentle Cleanser [150ml] / Пенка с салициловой кислотой для проблемной кожи</t>
  </si>
  <si>
    <t>ФБС</t>
  </si>
  <si>
    <t>Косметика/DEOPROCE/DEOPROCE-SHAMPOO</t>
  </si>
  <si>
    <t>DEOPROCE SHAMPOO - BLACK GARLIC INTENSME ENERGY [600ml] мягкая упаковка Шампунь с черным чесноком против выпадения волос</t>
  </si>
  <si>
    <t>DEOPROCE SHAMPOO - BLACK GARLIC INTENSME ENERGY [600ml] мягкая упаковка с колпачком,Шампунь с черным чесноком против выпадения волос</t>
  </si>
  <si>
    <t>DEOPROCE SHAMPOO - BLACK GARLIC INTENSME ENERGY [200ml]/ Шампунь с черным чесноком против выпадения волос</t>
  </si>
  <si>
    <t>Косметика/DEOPROCE/НАБОР ШАМПУНЬ+БАЛЬЗАМ</t>
  </si>
  <si>
    <t>DEOPROCE SHAMPOO+BALSAM - BLACK GARLIC[2000ml]</t>
  </si>
  <si>
    <t>Косметика/DR.JART</t>
  </si>
  <si>
    <t>DR. JART - Ctrl+A Teatreatment Toner [120ml] / Тонер тоник для лица увлажняющий с чайным деревом</t>
  </si>
  <si>
    <t>89 (Закончились)</t>
  </si>
  <si>
    <t>Косметика/EKEL</t>
  </si>
  <si>
    <t>EKEL - Ampule Сream Сollagen [70ml] / Крем для лица ампульный с коллагеном</t>
  </si>
  <si>
    <t>Косметика/ELIZAVECCA</t>
  </si>
  <si>
    <t>ELIZAVECCA - CER-100 Collagen Ceramide Coating Protein Treatment [100ml] / Коллагеновая маска для волос</t>
  </si>
  <si>
    <t>ELIZAVECCA - Hell-Pore Galactomyces Pure Ample / Сыворотка для лица с экстрактом галактомисиса</t>
  </si>
  <si>
    <t>не смогла найти с продажами</t>
  </si>
  <si>
    <t>ELIZAVECCA - Milky Piggy EGF elastic retinol [100ml] / Антивозрастной крем для лица с ретинолом и EGF</t>
  </si>
  <si>
    <t>Косметика/ENOUGH</t>
  </si>
  <si>
    <t>ENOUGH - Collagen Moisture Essential Cream [50ml] / Увлажняющий крем для лица с коллагеном</t>
  </si>
  <si>
    <t>260-382 (много подделок)</t>
  </si>
  <si>
    <t>ENOUGH - Collagen Whitening Moisture Cream 3in1 [50g] / Антивозрастной отбеливающий крем с коллагеном</t>
  </si>
  <si>
    <t>ENOUGH - Collagen Moisture Foundation [Tone 13] / Тональный крем для лица с коллагеном 13 тон</t>
  </si>
  <si>
    <t>ENOUGH - Collagen Moisture Foundation [Tone 21] / Тональный крем для лица с коллагеном 21 тон</t>
  </si>
  <si>
    <t>ENOUGH - Gold Snail Moisture Foundation [Tone 13] / Тональный крем с муцином улитки 13 тон</t>
  </si>
  <si>
    <t>ENOUGH - Gold Snail Moisture Foundation [Tone 21] / Тональный крем с муцином улитки 21 тон</t>
  </si>
  <si>
    <t>ENOUGH - Collagen 3in1 Whitening Moisture Foundation [Tone 13] / Тональный крем для лица с коллагеном 3в1 [13 тон]</t>
  </si>
  <si>
    <t>ENOUGH - Collagen 3in1 Whitening Moisture Foundation [Tone 21] / Тональный крем для лица с коллагеном 3в1 [21 тон]</t>
  </si>
  <si>
    <t>ENOUGH - Premium 8 Peptide Full Cover Perfect Foundation [Tone 13] / Тональный крем с пептидами 13 тон</t>
  </si>
  <si>
    <t>ENOUGH - Premium 8 Peptide Full Cover Perfect Foundation [Tone 21] / Тональный крем с пептидами 21 тон</t>
  </si>
  <si>
    <t>ENOUGH Collagen whitening cover tip concealer #01 [9g]/Консилер для лица (основная карточка) 4.5 рейтинг</t>
  </si>
  <si>
    <t>ENOUGH Collagen whitening cover tip concealer #02 [9g]/Консилер для лица (основная карточка)</t>
  </si>
  <si>
    <t>ENOUGH Collagen whitening cover tip concealer #03 [9g]/ Консилер для лица (основаная карточка)</t>
  </si>
  <si>
    <t>ENOUGH - Collagen Moisture BB Cream SPF47 PA+++ [50ml] / Увлажняющий BB крем с коллагеном</t>
  </si>
  <si>
    <t>ФБО</t>
  </si>
  <si>
    <t>Косметика/ETUDEHOUSE</t>
  </si>
  <si>
    <t>ETUDE - Baking Powder Crunch Pore Scrub [200ml] / Очищающий скраб для лица с содой</t>
  </si>
  <si>
    <t>ETUDE - Baking Powder BB Deep Cleansing Foam [160ml] / Пенка с содой для глубокого очищения и снятия макияжа</t>
  </si>
  <si>
    <t>ETUDE - Baking Powder Crunch Pore Scrub [24*7ml] / Очищающий скраб для лица с содой</t>
  </si>
  <si>
    <t>Косметика/FARMSTAY</t>
  </si>
  <si>
    <t>FARMSTAY COLLAGEN&amp;HYALURONIC ACID ALL-IN ONE</t>
  </si>
  <si>
    <t>только Holika продает на Озон</t>
  </si>
  <si>
    <t>FARMSTAY - Black Garlic Nourishing Shampoo [530ml] / Шампунь-кондиционер 2в1 с экстрактом черного чеснока</t>
  </si>
  <si>
    <t>FARMSTAY - Gold Snail Premium Cream [50ml] / Омолаживающий крем с муцином улитки и коллоидным золотом</t>
  </si>
  <si>
    <t>FARMSTAY - Escargot Noblesse Intensive Cream [50g] / Крем с муцином королевской улитки</t>
  </si>
  <si>
    <t xml:space="preserve">FARMSTAY ESCARGOT NOBLESSE INTENSIVE AMPOULE/ сыворотка с улиткой </t>
  </si>
  <si>
    <t>FARMSTAY - Argan Oil Complete Volume Up Shampoo &amp; Conditioner [530ml] / Шампунь-кондиционер с аргановым маслом</t>
  </si>
  <si>
    <t>FARMSTAY - Collagen Water Full Shampoo &amp; Conditioner [530ml] / Шампунь-кондиционер 2в1 с коллагеном</t>
  </si>
  <si>
    <t>FARMSTAY - Collagen Water Full Moist Rolling Eye Serum [25ml] / Сыворотка роллер для глаз</t>
  </si>
  <si>
    <t>FARMSTAY - Collagen Water Full Moist Cream [100g] / Увлажняющий крем с коллагеном</t>
  </si>
  <si>
    <t xml:space="preserve">FARMSTAY - Collagen Pure Cleansing Foam [180ml]/Пенка для умывания </t>
  </si>
  <si>
    <t>Косметика/HEIMISH</t>
  </si>
  <si>
    <t>HEIMISH - Artless Glow Base SPF50+ PA+++(Renew) [40ml] / База под макияж SPF50+ PA+++</t>
  </si>
  <si>
    <t>Косметика/JIGOTT/JIGOTT-CREAM</t>
  </si>
  <si>
    <t>JIGOTT - Snail Lifting Cream [70ml] / Крем для лица увлажняющий антивозрастной</t>
  </si>
  <si>
    <t>JIGOTT - Snail Reparing Cream [100ml] / Крем для лица увлажняющий антивозрастной с муцином улитки</t>
  </si>
  <si>
    <t>JIGOTT - Birds Nest Firming Cream [70ml] / Антивозрастной крем с экстрактом ласточкиного гнезда</t>
  </si>
  <si>
    <t>Косметика/JIGOTT/JIGOTT-MASK</t>
  </si>
  <si>
    <t>JIGOTT - Ассорти набор масок [27ml х 15]</t>
  </si>
  <si>
    <t>Косметика/JIGOTT/JIGOTT-TONER</t>
  </si>
  <si>
    <t>JIGOTT - Ultimate Real Collagen Toner [300ml] / тонер с коллагеном антивозрастной</t>
  </si>
  <si>
    <t>JIGOTT - Daily Real Cica Toner [300ml] / Тонер для лица с центеллой азиатской</t>
  </si>
  <si>
    <t>JIGOTT - Aura Secret Hyaluronec Acid Toner [300ml] / Тонер с гиалуроновой кислотой антивозрастной</t>
  </si>
  <si>
    <t>JIGOTT - Moisture Real Aloe Vera Toner [300ml] / Тонер для лица увлажняющий с экстрактом алоэ</t>
  </si>
  <si>
    <t>Косметика/JMSOLUTION/JM-MASKPACKBLACK</t>
  </si>
  <si>
    <t>JMSOLUTION - MASK PACK BLACK [30ml*10ea] - ассорти набор 10шт в упаковке</t>
  </si>
  <si>
    <t>51 (закончились)</t>
  </si>
  <si>
    <t>Косметика/JMSOLUTION/JM-MASKPACKDISNEY</t>
  </si>
  <si>
    <t>JMSOLUTION - MASK PACK DISNEY [30ml*10ea] - ассорти набор из 10шт</t>
  </si>
  <si>
    <t>нет таких наборов</t>
  </si>
  <si>
    <t>HEIMISH - All Clean Balm / Очищающий гидрофильный бальзам щербет МИНИ ВЕРСИЯ</t>
  </si>
  <si>
    <t>Косметика/LEBELAGE</t>
  </si>
  <si>
    <t>LEBELAGE - Dr. Peptide Derma Eye Cream [40ml] / Крем для глаз антивозрастной с пептидами</t>
  </si>
  <si>
    <t>Косметика/LANEIGE</t>
  </si>
  <si>
    <t>LANEIGE LIP SLEEPING MASK-BERRY [3g]</t>
  </si>
  <si>
    <t>Косметика/MANYO</t>
  </si>
  <si>
    <t>MANYO - Bifida Biome Complex Ampoule [50ml] / Антивозрастная сыворотка для лица</t>
  </si>
  <si>
    <t>MANYO - Galac Whitening Vita Serum [50ml] / Осветляющая сыворотка с Витамином C</t>
  </si>
  <si>
    <t>-</t>
  </si>
  <si>
    <t>MANYO - Bifida Biome Ampoule Lotion [300ml] / Укрепляющий лосьон с бифидобактериями</t>
  </si>
  <si>
    <t>нет у официала</t>
  </si>
  <si>
    <t>MANYO - Pure Cleansing Oil [200ml] / Гидрофильное масло для глубокого очищения</t>
  </si>
  <si>
    <t>MANYO BIFIDA COMPLEX AMPOULE GEL CLEANSER [400ml] / Гель для умывания с бифидобактериями</t>
  </si>
  <si>
    <t>MANYO BIFIDA INFUSION SHOT AMPOULE 1DX [50ml] / Сыворотка с микроиглами и пробиотиками</t>
  </si>
  <si>
    <t>Косметика/MASIL</t>
  </si>
  <si>
    <t>MASIL - 8 Seconds Salon Hair Mask 350ml Set [350ml+8ml*2]</t>
  </si>
  <si>
    <t>Косметика/PETITFEE/PETITFEE-EYEPATCH</t>
  </si>
  <si>
    <t>PETITFEE - Collagen &amp; CoQ10 Hydrogel Eye Patch [60ea] / Гидрогелевые патчи для глаз с коллагеном и коэнзимом Q10</t>
  </si>
  <si>
    <t>PETITFEE - Bera Glucan Deep Firming Eye Patch [60ea] / Тканевые патчи для век увлажняющие</t>
  </si>
  <si>
    <t>PETITFEE - Artichoke Soothing Hydrogel Eye Patch [60ea] / Смягчающие гидрогелевые патчи для глаз с экстрактом артишока</t>
  </si>
  <si>
    <t>PETITFEE - Aura Quartz Hydrogel Eye Patch [60ea]</t>
  </si>
  <si>
    <t>PETITFEE - Cacao Energizing Hydrogel Eye Patch [60ea] / Тонизирующие гидрогелевые патчи для глаз с экстрактом какао</t>
  </si>
  <si>
    <t>PETITFEE - Chamomile Lightening Hydrogel Eye Patch [60ea] / Успокаивающие гидрогелевые патчи для глаз с экстрактом ромашки</t>
  </si>
  <si>
    <t>PETITFEE - Gold &amp; EGF Hydrogel Eye &amp; Spot Patch [60ea]/ гидрогелевые патчи с золотом и EGF</t>
  </si>
  <si>
    <t>PETITFEE - Pink Vita Brightening Eye Patch [60ea] / Тканевые патчи для век увлажняющие</t>
  </si>
  <si>
    <t>PETITFEE - Black Pearl &amp; Gold Hydrogel Eye Patch [60ea] / Гидрогелевые патчи для глаз с черным жемчугом и золотом</t>
  </si>
  <si>
    <t>PETITFEE - Agave Cooling Hydrogel Eye Patch [60ea] / Охлаждающие гидрогелевые патчи для глаз с экстрактом агавы</t>
  </si>
  <si>
    <t>PETITFEE - Gold &amp; Snail Hydrogel Eye Patch [60ea] / Гидрогелевые патчи для глаз с золотом и улиткой</t>
  </si>
  <si>
    <t>PETITFEE - Gold Hydrogel Eye Patch [60ea] / гидрогелевые патчи для глаз с золотом</t>
  </si>
  <si>
    <t>PETITFEE - Black Pearl &amp; Gold Hydrogel Eye Patch [1 pairs]/ Гидрогелевые патчи для глаз с черным жемчугом и золотом 1 пара</t>
  </si>
  <si>
    <t>PETITFEE - Gold Hydrogel Eye Patch [1 Pairs] / гидрогелевые патчи для глаз с золотом 1 пара</t>
  </si>
  <si>
    <t>Косметика/PETITFEE/PETITFEE-FACEMASK</t>
  </si>
  <si>
    <t>PETITFEE - Agave Cooling Hydrogel Face Mask [5pcs] / Охлаждающая гидрогелевая маска для лица с экстрактом агавы</t>
  </si>
  <si>
    <t>PETITFEE - Gold Hydrogel Mask Pack [5pcs] / Гидрогелевая маска для лица с золотом</t>
  </si>
  <si>
    <t>PETITFEE - Cacao Energizing Hydrogel Mask Pack [5pcs] / Тонизирующая гидрогелевая маска для лица с экстрактом какао</t>
  </si>
  <si>
    <t>PETITFEE - Artichoke Soothing Hydrogel Face Mask [5pcs] / Смягчающая гидрогелевая маска для лица с экстрактом артишока</t>
  </si>
  <si>
    <t>PETITFEE - Gold &amp; Snail Hydrogel Mask Pack [5pcs] / Гидрогелевая маска для лица с золотом и экстрактом улитки</t>
  </si>
  <si>
    <t>PETITFEE - Black Pearl &amp; Gold Hydrogel Mask Pack [5pcs] / Гидрогелевая маска для лица с черным жемчугом и золотом</t>
  </si>
  <si>
    <t>Косметика/ROUND LAB</t>
  </si>
  <si>
    <t>ROUND LAB 1025 DOKDO CLEANSER_150ml</t>
  </si>
  <si>
    <t>ROUND LAB BIRCH JUICE MOISTURIZING CREAM_80ml -Увлажняющий крем с березовым соком</t>
  </si>
  <si>
    <t>ROUND LAB MUGWORT CALMING CLEANSER_150ml - Очищающая пенка для умывания лица от прыщей и акне</t>
  </si>
  <si>
    <t>ROUND LAB SOYBEAN PANTHENOL CREAM_80ml - Крем для лица с чёрной соей и пантенолом успокаивающий</t>
  </si>
  <si>
    <t>ROUND LAB PINE CALMING CICA AMPOULE_30ml - Сыворотка для жирной кожи лица увлажняющая с центеллой</t>
  </si>
  <si>
    <t>ROUND LAB 1025 DOKDO TONER_200ml</t>
  </si>
  <si>
    <t>Косметика/SKIN1004</t>
  </si>
  <si>
    <t>SKIN1004 - Madagascar Centella Ampoule [30ml] / Сыворотка для лица успокаивающая из экстракта центеллы.</t>
  </si>
  <si>
    <t>SKIN1004 - Madagascar Centella Hyalu-Cica Sleeping Pack [30ml] / Увлажняющая гиалуроновая ночная маска для сухой кожи</t>
  </si>
  <si>
    <t>Косметика/SOMEBYMI</t>
  </si>
  <si>
    <t>SOME BY MI - AHA-BHA-PHA 30 Days Miracle Cleansing Bar [106g] / Мыло для проблемной кожи с aha bha кислотами</t>
  </si>
  <si>
    <t>SOME BY MI - AHA-BHA-PHA 30 Days Miracle Cream [60g] / Крем для лица</t>
  </si>
  <si>
    <t>Косметика/TheOrdinary</t>
  </si>
  <si>
    <t>THE ORDINARY - Argireline Solution 10% [30ml] / Сыворотка для лица от прыщей и акне с ниацинамидом 10 %</t>
  </si>
  <si>
    <t>THE ORDINARY - Glycolic Acid 7% Toning Solution [KOR] [240ml] / Тоник с гликолевой кислотой 7%</t>
  </si>
  <si>
    <t>Косметика/CELIMAX</t>
  </si>
  <si>
    <t>Celimax Dual Barrier Creamy Toner</t>
  </si>
  <si>
    <t>10-15</t>
  </si>
  <si>
    <t>CELIMAX THE VITA-A RETINAL SHOT TIGHTENING BOOSTER [15ml]/Подтягивающий бустер-крем с ретинолом для лица</t>
  </si>
  <si>
    <t>CELIMAX THE VITA-A RETINOL SHOT TIGHTENING SERUM [30ml]/Сыворотка с ретинолом и микроиглами для лица</t>
  </si>
  <si>
    <t>CELIMAX JI WOO GAE CICA BHA BLEMISH TONER PAD_10EA [30ml]/успокаивающие тонер-пэды</t>
  </si>
  <si>
    <t>2 740</t>
  </si>
  <si>
    <t>CELIMAX PORE+DARK SPOT BRIGHTENING CREAM [35ml]/Крем для выравнивания тона и рельефа кожи лица</t>
  </si>
  <si>
    <t>CELIMAX DUAL BARRIER SKIN WEARABLE CREAM [50ml]/Крем для восстановления защитного барьера кожи лица</t>
  </si>
  <si>
    <t>CELIMAX JI WOO GAE CICA BHA BLEMISH TONER PAD [170ml / 60pads]/Тонер-пэды от воспалений</t>
  </si>
  <si>
    <t>1 820</t>
  </si>
  <si>
    <t>CELIMAX THE REAL NONI ENERGY AMPOULE_30ML (NEW) [30ml]/Восстанавливающая сыворотка с экстрактом нони для лица</t>
  </si>
  <si>
    <t>CELIMAX PORE+DARK SPOT BRIGHTENING PAD [100ml / 40pads]/Тонер-пэды для выравнивания тона и рельефа кожи</t>
  </si>
  <si>
    <t>1 640</t>
  </si>
  <si>
    <t>CELIMAX PORE+DARK SPOT BRIGHTENING SERUM_30ml [30ml]/Сыворотка для выравнивания тона и рельефа кожи лица</t>
  </si>
  <si>
    <t>CELIMAX THE REAL NONI MOISTURE BALANCING TONER (NEW) [150ml]/Восстанавливающий тонер с экстрактом нони</t>
  </si>
  <si>
    <t>Косметика/VT</t>
  </si>
  <si>
    <t>VT PDRN ESSENCE 100 / Укрепляющая бустер-эссенция с ПДРН</t>
  </si>
  <si>
    <t>VT REEDLE SHOT 100 / Бустер-сыворотка с микроиглами</t>
  </si>
  <si>
    <t>Итого:</t>
  </si>
  <si>
    <t>НЕ В ОСТАТКАХ (юнитка без строки в остатках)</t>
  </si>
  <si>
    <t>1025 DOKDO BUBBLE FOAM_150ml</t>
  </si>
  <si>
    <t>MEDICUBE PDRN PINK PEPTIDE SERUM 30ml</t>
  </si>
  <si>
    <t>MEDICUBE PDRN PINK EXOSOME SHOT SERUM 7500 30ml</t>
  </si>
  <si>
    <t>MEDICUBE PDRN PINK EXOSOME SHOT SERUM 2000 30ml</t>
  </si>
  <si>
    <t>MEDICUBE TXA NIACINAMIDE CAPSULE CREAM 55g</t>
  </si>
  <si>
    <t>MEDICUBE PDRN PINK COLLAGEN CAPSULE CREAM 55g</t>
  </si>
  <si>
    <t>MEDICUBE PDRN PINK HYALURONIC MOISTURIZING CREAM 50ml</t>
  </si>
  <si>
    <t>FBO</t>
  </si>
  <si>
    <t>[Derma Factory] PDRN 4% Ampoule</t>
  </si>
  <si>
    <t xml:space="preserve">FBO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</si>
</sst>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9">
    <font>
      <sz val="11.0"/>
      <color theme="1"/>
      <name val="Calibri"/>
      <scheme val="minor"/>
    </font>
    <font>
      <b/>
      <sz val="12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>
      <b/>
      <sz val="11.0"/>
      <color rgb="FFFFFFFF"/>
      <name val="Calibri"/>
    </font>
    <font>
      <i/>
      <sz val="11.0"/>
      <color theme="1"/>
      <name val="Calibri"/>
    </font>
    <font>
      <b/>
      <sz val="11.0"/>
      <color rgb="FF000000"/>
      <name val="Calibri"/>
    </font>
    <font>
      <sz val="11.0"/>
      <color rgb="FFFF0000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305496"/>
        <bgColor rgb="FF305496"/>
      </patternFill>
    </fill>
    <fill>
      <patternFill patternType="solid">
        <fgColor rgb="FFBDD7EE"/>
        <bgColor rgb="FFBDD7EE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  <fill>
      <patternFill patternType="solid">
        <fgColor rgb="FF00FF00"/>
        <bgColor rgb="FF00FF00"/>
      </patternFill>
    </fill>
    <fill>
      <patternFill patternType="solid">
        <fgColor rgb="FFE06666"/>
        <bgColor rgb="FFE06666"/>
      </patternFill>
    </fill>
    <fill>
      <patternFill patternType="solid">
        <fgColor rgb="FFFFFF00"/>
        <bgColor rgb="FFFFFF00"/>
      </patternFill>
    </fill>
  </fills>
  <borders count="10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D0D0D0"/>
      </left>
      <right/>
      <top style="thin">
        <color rgb="FFD0D0D0"/>
      </top>
      <bottom style="thin">
        <color rgb="FFD0D0D0"/>
      </bottom>
    </border>
    <border>
      <left style="medium">
        <color rgb="FF00000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D0D0D0"/>
      </left>
      <right style="medium">
        <color rgb="FF000000"/>
      </right>
      <top style="thin">
        <color rgb="FFD0D0D0"/>
      </top>
      <bottom style="thin">
        <color rgb="FFD0D0D0"/>
      </bottom>
    </border>
    <border>
      <left/>
      <right style="thin">
        <color rgb="FFD0D0D0"/>
      </right>
      <top style="thin">
        <color rgb="FFD0D0D0"/>
      </top>
      <bottom style="thin">
        <color rgb="FFD0D0D0"/>
      </bottom>
    </border>
    <border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D0D0D0"/>
      </left>
      <top style="thin">
        <color rgb="FFD0D0D0"/>
      </top>
      <bottom style="thin">
        <color rgb="FFD0D0D0"/>
      </bottom>
    </border>
    <border>
      <left style="thin">
        <color rgb="FFD0D0D0"/>
      </left>
      <right style="thin">
        <color rgb="FFD0D0D0"/>
      </right>
    </border>
    <border>
      <left/>
      <right/>
      <top/>
      <bottom/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2" numFmtId="0" xfId="0" applyFont="1"/>
    <xf borderId="1" fillId="2" fontId="3" numFmtId="9" xfId="0" applyBorder="1" applyFill="1" applyFont="1" applyNumberFormat="1"/>
    <xf borderId="1" fillId="2" fontId="3" numFmtId="164" xfId="0" applyBorder="1" applyFont="1" applyNumberFormat="1"/>
    <xf borderId="1" fillId="2" fontId="3" numFmtId="3" xfId="0" applyBorder="1" applyFont="1" applyNumberFormat="1"/>
    <xf borderId="1" fillId="2" fontId="3" numFmtId="2" xfId="0" applyBorder="1" applyFont="1" applyNumberFormat="1"/>
    <xf borderId="0" fillId="0" fontId="4" numFmtId="0" xfId="0" applyFont="1"/>
    <xf borderId="1" fillId="2" fontId="3" numFmtId="164" xfId="0" applyAlignment="1" applyBorder="1" applyFont="1" applyNumberFormat="1">
      <alignment readingOrder="0"/>
    </xf>
    <xf borderId="0" fillId="3" fontId="5" numFmtId="0" xfId="0" applyAlignment="1" applyFill="1" applyFont="1">
      <alignment horizontal="center" readingOrder="0" shrinkToFit="0" vertical="center" wrapText="1"/>
    </xf>
    <xf borderId="1" fillId="3" fontId="5" numFmtId="0" xfId="0" applyAlignment="1" applyBorder="1" applyFont="1">
      <alignment horizontal="center" shrinkToFit="0" vertical="center" wrapText="1"/>
    </xf>
    <xf borderId="2" fillId="3" fontId="5" numFmtId="0" xfId="0" applyAlignment="1" applyBorder="1" applyFont="1">
      <alignment horizontal="center" shrinkToFit="0" vertical="center" wrapText="1"/>
    </xf>
    <xf borderId="3" fillId="3" fontId="5" numFmtId="0" xfId="0" applyAlignment="1" applyBorder="1" applyFont="1">
      <alignment horizontal="center" shrinkToFit="0" vertical="center" wrapText="1"/>
    </xf>
    <xf borderId="4" fillId="3" fontId="5" numFmtId="0" xfId="0" applyAlignment="1" applyBorder="1" applyFont="1">
      <alignment horizontal="center" shrinkToFit="0" vertical="center" wrapText="1"/>
    </xf>
    <xf borderId="5" fillId="3" fontId="5" numFmtId="0" xfId="0" applyAlignment="1" applyBorder="1" applyFont="1">
      <alignment horizontal="center" shrinkToFit="0" vertical="center" wrapText="1"/>
    </xf>
    <xf borderId="0" fillId="4" fontId="3" numFmtId="0" xfId="0" applyFill="1" applyFont="1"/>
    <xf borderId="1" fillId="4" fontId="3" numFmtId="0" xfId="0" applyBorder="1" applyFont="1"/>
    <xf borderId="1" fillId="4" fontId="2" numFmtId="0" xfId="0" applyBorder="1" applyFont="1"/>
    <xf borderId="1" fillId="4" fontId="3" numFmtId="0" xfId="0" applyAlignment="1" applyBorder="1" applyFont="1">
      <alignment shrinkToFit="0" wrapText="1"/>
    </xf>
    <xf borderId="1" fillId="0" fontId="2" numFmtId="0" xfId="0" applyAlignment="1" applyBorder="1" applyFont="1">
      <alignment shrinkToFit="0" wrapText="1"/>
    </xf>
    <xf borderId="1" fillId="5" fontId="2" numFmtId="0" xfId="0" applyAlignment="1" applyBorder="1" applyFill="1" applyFont="1">
      <alignment shrinkToFit="0" wrapText="1"/>
    </xf>
    <xf borderId="1" fillId="6" fontId="6" numFmtId="0" xfId="0" applyAlignment="1" applyBorder="1" applyFill="1" applyFont="1">
      <alignment horizontal="center"/>
    </xf>
    <xf borderId="1" fillId="6" fontId="6" numFmtId="0" xfId="0" applyBorder="1" applyFont="1"/>
    <xf borderId="1" fillId="0" fontId="2" numFmtId="3" xfId="0" applyAlignment="1" applyBorder="1" applyFont="1" applyNumberFormat="1">
      <alignment readingOrder="0"/>
    </xf>
    <xf borderId="1" fillId="7" fontId="3" numFmtId="3" xfId="0" applyAlignment="1" applyBorder="1" applyFill="1" applyFont="1" applyNumberFormat="1">
      <alignment horizontal="center"/>
    </xf>
    <xf borderId="1" fillId="7" fontId="7" numFmtId="3" xfId="0" applyAlignment="1" applyBorder="1" applyFont="1" applyNumberFormat="1">
      <alignment horizontal="center" readingOrder="0" shrinkToFit="0" vertical="bottom" wrapText="0"/>
    </xf>
    <xf borderId="2" fillId="2" fontId="2" numFmtId="164" xfId="0" applyBorder="1" applyFont="1" applyNumberFormat="1"/>
    <xf borderId="1" fillId="0" fontId="2" numFmtId="3" xfId="0" applyBorder="1" applyFont="1" applyNumberFormat="1"/>
    <xf borderId="3" fillId="0" fontId="2" numFmtId="3" xfId="0" applyBorder="1" applyFont="1" applyNumberFormat="1"/>
    <xf borderId="1" fillId="2" fontId="2" numFmtId="4" xfId="0" applyBorder="1" applyFont="1" applyNumberFormat="1"/>
    <xf borderId="1" fillId="0" fontId="2" numFmtId="4" xfId="0" applyBorder="1" applyFont="1" applyNumberFormat="1"/>
    <xf borderId="4" fillId="0" fontId="2" numFmtId="4" xfId="0" applyBorder="1" applyFont="1" applyNumberFormat="1"/>
    <xf borderId="3" fillId="2" fontId="2" numFmtId="164" xfId="0" applyBorder="1" applyFont="1" applyNumberFormat="1"/>
    <xf borderId="1" fillId="2" fontId="2" numFmtId="3" xfId="0" applyBorder="1" applyFont="1" applyNumberFormat="1"/>
    <xf borderId="1" fillId="2" fontId="2" numFmtId="164" xfId="0" applyBorder="1" applyFont="1" applyNumberFormat="1"/>
    <xf borderId="1" fillId="2" fontId="2" numFmtId="2" xfId="0" applyBorder="1" applyFont="1" applyNumberFormat="1"/>
    <xf borderId="4" fillId="0" fontId="2" numFmtId="164" xfId="0" applyBorder="1" applyFont="1" applyNumberFormat="1"/>
    <xf borderId="6" fillId="0" fontId="2" numFmtId="3" xfId="0" applyBorder="1" applyFont="1" applyNumberFormat="1"/>
    <xf borderId="1" fillId="8" fontId="3" numFmtId="3" xfId="0" applyBorder="1" applyFill="1" applyFont="1" applyNumberFormat="1"/>
    <xf borderId="1" fillId="0" fontId="2" numFmtId="164" xfId="0" applyBorder="1" applyFont="1" applyNumberFormat="1"/>
    <xf borderId="1" fillId="8" fontId="3" numFmtId="164" xfId="0" applyBorder="1" applyFont="1" applyNumberFormat="1"/>
    <xf borderId="0" fillId="9" fontId="2" numFmtId="0" xfId="0" applyAlignment="1" applyFill="1" applyFont="1">
      <alignment shrinkToFit="0" wrapText="1"/>
    </xf>
    <xf borderId="1" fillId="9" fontId="2" numFmtId="0" xfId="0" applyAlignment="1" applyBorder="1" applyFont="1">
      <alignment shrinkToFit="0" wrapText="1"/>
    </xf>
    <xf borderId="1" fillId="0" fontId="2" numFmtId="0" xfId="0" applyBorder="1" applyFont="1"/>
    <xf borderId="7" fillId="0" fontId="2" numFmtId="164" xfId="0" applyBorder="1" applyFont="1" applyNumberFormat="1"/>
    <xf borderId="3" fillId="0" fontId="2" numFmtId="164" xfId="0" applyBorder="1" applyFont="1" applyNumberFormat="1"/>
    <xf borderId="1" fillId="0" fontId="2" numFmtId="2" xfId="0" applyBorder="1" applyFont="1" applyNumberFormat="1"/>
    <xf borderId="1" fillId="7" fontId="3" numFmtId="3" xfId="0" applyAlignment="1" applyBorder="1" applyFont="1" applyNumberFormat="1">
      <alignment horizontal="center" readingOrder="0"/>
    </xf>
    <xf borderId="0" fillId="0" fontId="2" numFmtId="0" xfId="0" applyAlignment="1" applyFont="1">
      <alignment readingOrder="0" shrinkToFit="0" wrapText="1"/>
    </xf>
    <xf borderId="1" fillId="2" fontId="2" numFmtId="0" xfId="0" applyAlignment="1" applyBorder="1" applyFont="1">
      <alignment shrinkToFit="0" wrapText="1"/>
    </xf>
    <xf borderId="1" fillId="10" fontId="6" numFmtId="0" xfId="0" applyAlignment="1" applyBorder="1" applyFill="1" applyFont="1">
      <alignment horizontal="center" readingOrder="0"/>
    </xf>
    <xf borderId="1" fillId="11" fontId="3" numFmtId="3" xfId="0" applyBorder="1" applyFill="1" applyFont="1" applyNumberFormat="1"/>
    <xf borderId="1" fillId="11" fontId="2" numFmtId="164" xfId="0" applyBorder="1" applyFont="1" applyNumberFormat="1"/>
    <xf borderId="1" fillId="11" fontId="3" numFmtId="164" xfId="0" applyBorder="1" applyFont="1" applyNumberFormat="1"/>
    <xf borderId="8" fillId="0" fontId="2" numFmtId="3" xfId="0" applyBorder="1" applyFont="1" applyNumberFormat="1"/>
    <xf borderId="0" fillId="0" fontId="2" numFmtId="0" xfId="0" applyAlignment="1" applyFont="1">
      <alignment horizontal="center"/>
    </xf>
    <xf borderId="1" fillId="6" fontId="6" numFmtId="0" xfId="0" applyAlignment="1" applyBorder="1" applyFont="1">
      <alignment horizontal="center" readingOrder="0"/>
    </xf>
    <xf borderId="0" fillId="10" fontId="2" numFmtId="0" xfId="0" applyAlignment="1" applyFont="1">
      <alignment horizontal="center" readingOrder="0"/>
    </xf>
    <xf borderId="0" fillId="10" fontId="2" numFmtId="0" xfId="0" applyAlignment="1" applyFont="1">
      <alignment readingOrder="0"/>
    </xf>
    <xf borderId="0" fillId="12" fontId="2" numFmtId="0" xfId="0" applyAlignment="1" applyFill="1" applyFont="1">
      <alignment shrinkToFit="0" wrapText="1"/>
    </xf>
    <xf borderId="1" fillId="12" fontId="2" numFmtId="0" xfId="0" applyAlignment="1" applyBorder="1" applyFont="1">
      <alignment shrinkToFit="0" wrapText="1"/>
    </xf>
    <xf borderId="1" fillId="12" fontId="6" numFmtId="0" xfId="0" applyAlignment="1" applyBorder="1" applyFont="1">
      <alignment horizontal="center"/>
    </xf>
    <xf borderId="9" fillId="6" fontId="6" numFmtId="0" xfId="0" applyBorder="1" applyFont="1"/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12.0" topLeftCell="I13" activePane="bottomRight" state="frozen"/>
      <selection activeCell="I1" sqref="I1" pane="topRight"/>
      <selection activeCell="A13" sqref="A13" pane="bottomLeft"/>
      <selection activeCell="I13" sqref="I13" pane="bottomRight"/>
    </sheetView>
  </sheetViews>
  <sheetFormatPr customHeight="1" defaultColWidth="14.43" defaultRowHeight="15.0"/>
  <cols>
    <col customWidth="1" min="1" max="1" width="62.71"/>
    <col customWidth="1" min="2" max="2" width="12.14"/>
    <col customWidth="1" min="3" max="3" width="18.86"/>
    <col customWidth="1" min="4" max="4" width="10.0"/>
    <col customWidth="1" min="5" max="5" width="11.14"/>
    <col customWidth="1" min="6" max="6" width="11.29"/>
    <col customWidth="1" min="7" max="7" width="10.0"/>
    <col customWidth="1" min="8" max="8" width="7.43"/>
    <col customWidth="1" min="9" max="9" width="8.57"/>
    <col customWidth="1" min="10" max="10" width="7.71"/>
    <col customWidth="1" min="11" max="11" width="9.86"/>
    <col customWidth="1" min="12" max="12" width="7.14"/>
    <col customWidth="1" min="13" max="13" width="9.43"/>
    <col customWidth="1" min="14" max="14" width="13.43"/>
    <col customWidth="1" min="15" max="15" width="13.29"/>
    <col customWidth="1" min="16" max="16" width="9.29"/>
    <col customWidth="1" min="17" max="17" width="9.43"/>
    <col customWidth="1" min="18" max="18" width="10.0"/>
    <col customWidth="1" min="19" max="19" width="6.43"/>
    <col customWidth="1" min="20" max="20" width="9.0"/>
    <col customWidth="1" min="21" max="21" width="8.29"/>
    <col customWidth="1" min="22" max="22" width="13.0"/>
    <col customWidth="1" min="23" max="23" width="9.43"/>
    <col customWidth="1" min="24" max="24" width="10.0"/>
    <col customWidth="1" min="25" max="25" width="13.43"/>
    <col customWidth="1" min="26" max="26" width="10.0"/>
    <col customWidth="1" min="27" max="27" width="13.0"/>
    <col customWidth="1" min="28" max="28" width="8.71"/>
    <col customWidth="1" min="29" max="29" width="13.0"/>
    <col customWidth="1" min="30" max="30" width="9.0"/>
    <col customWidth="1" min="31" max="31" width="6.86"/>
    <col customWidth="1" min="32" max="32" width="10.43"/>
    <col customWidth="1" min="33" max="33" width="8.57"/>
    <col customWidth="1" min="34" max="34" width="9.71"/>
    <col customWidth="1" min="35" max="35" width="11.14"/>
    <col customWidth="1" min="36" max="36" width="9.14"/>
    <col customWidth="1" min="37" max="37" width="12.0"/>
    <col customWidth="1" min="38" max="38" width="8.71"/>
  </cols>
  <sheetData>
    <row r="1" ht="15.0" customHeight="1">
      <c r="A1" s="2" t="s">
        <v>0</v>
      </c>
    </row>
    <row r="2" ht="14.25" customHeight="1">
      <c r="A2" s="3"/>
    </row>
    <row r="3" ht="14.25" customHeight="1">
      <c r="A3" s="3" t="s">
        <v>1</v>
      </c>
      <c r="H3" s="5">
        <v>0.07</v>
      </c>
    </row>
    <row r="4" ht="14.25" customHeight="1">
      <c r="A4" s="3" t="s">
        <v>2</v>
      </c>
      <c r="H4" s="6">
        <v>0.015</v>
      </c>
    </row>
    <row r="5" ht="14.25" customHeight="1">
      <c r="A5" s="3" t="s">
        <v>3</v>
      </c>
      <c r="H5" s="7">
        <v>60.0</v>
      </c>
    </row>
    <row r="6" ht="14.25" customHeight="1">
      <c r="A6" s="3" t="s">
        <v>4</v>
      </c>
      <c r="H6" s="8">
        <v>0.16</v>
      </c>
    </row>
    <row r="7" ht="14.25" customHeight="1">
      <c r="A7" s="3" t="s">
        <v>5</v>
      </c>
      <c r="H7" s="7">
        <v>0.0</v>
      </c>
    </row>
    <row r="8" ht="14.25" customHeight="1">
      <c r="A8" s="3" t="s">
        <v>6</v>
      </c>
      <c r="H8" s="6">
        <v>0.02</v>
      </c>
    </row>
    <row r="9" ht="14.25" customHeight="1">
      <c r="A9" s="3" t="s">
        <v>7</v>
      </c>
      <c r="H9" s="8">
        <v>0.75</v>
      </c>
    </row>
    <row r="10" ht="14.25" customHeight="1">
      <c r="A10" s="3" t="s">
        <v>8</v>
      </c>
      <c r="H10" s="8">
        <v>4.423</v>
      </c>
    </row>
    <row r="11" ht="14.25" customHeight="1">
      <c r="A11" s="9" t="s">
        <v>9</v>
      </c>
      <c r="H11" s="10">
        <v>0.0</v>
      </c>
    </row>
    <row r="12" ht="43.5" customHeight="1">
      <c r="A12" s="12" t="s">
        <v>12</v>
      </c>
      <c r="B12" s="12" t="s">
        <v>13</v>
      </c>
      <c r="C12" s="12" t="s">
        <v>14</v>
      </c>
      <c r="D12" s="12" t="s">
        <v>15</v>
      </c>
      <c r="E12" s="12" t="s">
        <v>16</v>
      </c>
      <c r="F12" s="12" t="s">
        <v>17</v>
      </c>
      <c r="G12" s="12" t="s">
        <v>18</v>
      </c>
      <c r="H12" s="12" t="s">
        <v>19</v>
      </c>
      <c r="I12" s="13" t="s">
        <v>20</v>
      </c>
      <c r="J12" s="14" t="s">
        <v>21</v>
      </c>
      <c r="K12" s="12" t="s">
        <v>22</v>
      </c>
      <c r="L12" s="12" t="s">
        <v>23</v>
      </c>
      <c r="M12" s="15" t="s">
        <v>24</v>
      </c>
      <c r="N12" s="14" t="s">
        <v>25</v>
      </c>
      <c r="O12" s="12" t="s">
        <v>26</v>
      </c>
      <c r="P12" s="12" t="s">
        <v>27</v>
      </c>
      <c r="Q12" s="12" t="s">
        <v>28</v>
      </c>
      <c r="R12" s="12" t="s">
        <v>29</v>
      </c>
      <c r="S12" s="12" t="s">
        <v>2</v>
      </c>
      <c r="T12" s="12" t="s">
        <v>30</v>
      </c>
      <c r="U12" s="12" t="s">
        <v>31</v>
      </c>
      <c r="V12" s="12" t="s">
        <v>32</v>
      </c>
      <c r="W12" s="12" t="s">
        <v>33</v>
      </c>
      <c r="X12" s="12" t="s">
        <v>34</v>
      </c>
      <c r="Y12" s="12" t="s">
        <v>35</v>
      </c>
      <c r="Z12" s="15" t="s">
        <v>36</v>
      </c>
      <c r="AA12" s="14" t="s">
        <v>37</v>
      </c>
      <c r="AB12" s="12" t="s">
        <v>38</v>
      </c>
      <c r="AC12" s="12" t="s">
        <v>39</v>
      </c>
      <c r="AD12" s="12" t="s">
        <v>40</v>
      </c>
      <c r="AE12" s="12" t="s">
        <v>41</v>
      </c>
      <c r="AF12" s="15" t="s">
        <v>42</v>
      </c>
      <c r="AG12" s="16" t="s">
        <v>43</v>
      </c>
      <c r="AH12" s="12" t="s">
        <v>44</v>
      </c>
      <c r="AI12" s="12" t="s">
        <v>45</v>
      </c>
      <c r="AJ12" s="12" t="s">
        <v>46</v>
      </c>
      <c r="AK12" s="12" t="s">
        <v>47</v>
      </c>
      <c r="AL12" s="12" t="s">
        <v>48</v>
      </c>
    </row>
    <row r="13" ht="14.25" customHeight="1">
      <c r="A13" s="20" t="s">
        <v>49</v>
      </c>
      <c r="B13" s="19"/>
      <c r="C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</row>
    <row r="14" ht="28.5" customHeight="1">
      <c r="A14" s="21" t="s">
        <v>50</v>
      </c>
      <c r="B14" s="23"/>
      <c r="C14" s="24"/>
      <c r="D14" s="29">
        <v>412.0</v>
      </c>
      <c r="E14" s="26">
        <v>1680.0</v>
      </c>
      <c r="F14" s="26">
        <v>286.0</v>
      </c>
      <c r="G14" s="26">
        <v>22.3</v>
      </c>
      <c r="H14" s="26">
        <v>1630.0</v>
      </c>
      <c r="I14" s="28">
        <v>0.45</v>
      </c>
      <c r="J14" s="30">
        <f>H14*(1-I14)</f>
        <v>896.5</v>
      </c>
      <c r="K14" s="31">
        <v>343.82</v>
      </c>
      <c r="L14" s="32">
        <f>$H$5</f>
        <v>60</v>
      </c>
      <c r="M14" s="33">
        <f>K14+L14</f>
        <v>403.82</v>
      </c>
      <c r="N14" s="34">
        <v>0.41</v>
      </c>
      <c r="O14" s="29">
        <f>H14*N14</f>
        <v>668.3</v>
      </c>
      <c r="P14" s="35">
        <v>67.0</v>
      </c>
      <c r="Q14" s="29">
        <f>H14*$H$8</f>
        <v>32.6</v>
      </c>
      <c r="R14" s="35">
        <v>25.0</v>
      </c>
      <c r="S14" s="29">
        <f>H14*$H$4</f>
        <v>24.45</v>
      </c>
      <c r="T14" s="29">
        <f>J14*$H$3</f>
        <v>62.755</v>
      </c>
      <c r="U14" s="36">
        <v>0.9</v>
      </c>
      <c r="V14" s="35">
        <v>67.0</v>
      </c>
      <c r="W14" s="29">
        <f>V14*(1-U14)</f>
        <v>6.7</v>
      </c>
      <c r="X14" s="37">
        <v>0.63</v>
      </c>
      <c r="Y14" s="29">
        <f>$H$6*$H$7*X14</f>
        <v>0</v>
      </c>
      <c r="Z14" s="33">
        <f>X14*($H$9+$H$10)</f>
        <v>3.25899</v>
      </c>
      <c r="AA14" s="34">
        <v>0.11</v>
      </c>
      <c r="AB14" s="29">
        <f>H14*AA14</f>
        <v>179.3</v>
      </c>
      <c r="AC14" s="36">
        <v>0.11</v>
      </c>
      <c r="AD14" s="29">
        <f>H14*AC14</f>
        <v>179.3</v>
      </c>
      <c r="AE14" s="29">
        <f>AB14+AD14</f>
        <v>358.6</v>
      </c>
      <c r="AF14" s="38">
        <f>AE14/H14</f>
        <v>0.22</v>
      </c>
      <c r="AG14" s="39">
        <f>H14-O14-P14-Q14-R14-S14-T14-W14-Y14-Z14-M14-AL14</f>
        <v>336.11601</v>
      </c>
      <c r="AH14" s="40">
        <f>AG14-AE14</f>
        <v>-22.48399</v>
      </c>
      <c r="AI14" s="41">
        <f>AH14/H14</f>
        <v>-0.0137938589</v>
      </c>
      <c r="AJ14" s="42">
        <f>AH14/M14</f>
        <v>-0.05567824773</v>
      </c>
      <c r="AK14" s="29">
        <f>(P14+R14+W14+Y14+Z14+M14)/(1-(N14+$H$4+(1-I14)*$H$3+$H$8+$H$11+AA14+AC14))</f>
        <v>1705.831332</v>
      </c>
      <c r="AL14" s="29">
        <f>H14*$H$11</f>
        <v>0</v>
      </c>
    </row>
    <row r="15" ht="14.25" customHeight="1">
      <c r="A15" s="20" t="s">
        <v>52</v>
      </c>
      <c r="B15" s="19"/>
      <c r="C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</row>
    <row r="16" ht="43.5" customHeight="1">
      <c r="A16" s="44" t="s">
        <v>53</v>
      </c>
      <c r="B16" s="45"/>
      <c r="C16" s="45"/>
      <c r="D16" s="29">
        <v>72.0</v>
      </c>
      <c r="E16" s="29"/>
      <c r="F16" s="29"/>
      <c r="G16" s="29"/>
      <c r="H16" s="29"/>
      <c r="I16" s="46"/>
      <c r="J16" s="30"/>
      <c r="K16" s="32"/>
      <c r="L16" s="32"/>
      <c r="M16" s="33"/>
      <c r="N16" s="47"/>
      <c r="O16" s="29"/>
      <c r="P16" s="29"/>
      <c r="Q16" s="29"/>
      <c r="R16" s="29"/>
      <c r="S16" s="29"/>
      <c r="T16" s="29"/>
      <c r="U16" s="41"/>
      <c r="V16" s="29"/>
      <c r="W16" s="29"/>
      <c r="X16" s="48"/>
      <c r="Y16" s="29"/>
      <c r="Z16" s="33"/>
      <c r="AA16" s="47"/>
      <c r="AB16" s="29"/>
      <c r="AC16" s="41"/>
      <c r="AD16" s="29"/>
      <c r="AE16" s="29"/>
      <c r="AF16" s="38"/>
      <c r="AG16" s="39"/>
      <c r="AH16" s="29"/>
      <c r="AI16" s="41"/>
      <c r="AJ16" s="41"/>
      <c r="AK16" s="29"/>
    </row>
    <row r="17" ht="43.5" customHeight="1">
      <c r="A17" s="44" t="s">
        <v>54</v>
      </c>
      <c r="B17" s="45"/>
      <c r="C17" s="45"/>
      <c r="D17" s="29">
        <v>19.0</v>
      </c>
      <c r="E17" s="29"/>
      <c r="F17" s="29"/>
      <c r="G17" s="29"/>
      <c r="H17" s="29"/>
      <c r="I17" s="46"/>
      <c r="J17" s="30"/>
      <c r="K17" s="32"/>
      <c r="L17" s="32"/>
      <c r="M17" s="33"/>
      <c r="N17" s="47"/>
      <c r="O17" s="29"/>
      <c r="P17" s="29"/>
      <c r="Q17" s="29"/>
      <c r="R17" s="29"/>
      <c r="S17" s="29"/>
      <c r="T17" s="29"/>
      <c r="U17" s="41"/>
      <c r="V17" s="29"/>
      <c r="W17" s="29"/>
      <c r="X17" s="48"/>
      <c r="Y17" s="29"/>
      <c r="Z17" s="33"/>
      <c r="AA17" s="47"/>
      <c r="AB17" s="29"/>
      <c r="AC17" s="41"/>
      <c r="AD17" s="29"/>
      <c r="AE17" s="29"/>
      <c r="AF17" s="38"/>
      <c r="AG17" s="39"/>
      <c r="AH17" s="29"/>
      <c r="AI17" s="41"/>
      <c r="AJ17" s="41"/>
      <c r="AK17" s="29"/>
    </row>
    <row r="18" ht="28.5" customHeight="1">
      <c r="A18" s="21" t="s">
        <v>55</v>
      </c>
      <c r="B18" s="23"/>
      <c r="C18" s="24"/>
      <c r="D18" s="29">
        <v>370.0</v>
      </c>
      <c r="E18" s="26">
        <v>980.0</v>
      </c>
      <c r="F18" s="26">
        <v>8.0</v>
      </c>
      <c r="G18" s="26">
        <v>0.0</v>
      </c>
      <c r="H18" s="26">
        <v>900.0</v>
      </c>
      <c r="I18" s="28">
        <v>0.45</v>
      </c>
      <c r="J18" s="30">
        <f>H18*(1-I18)</f>
        <v>495</v>
      </c>
      <c r="K18" s="31">
        <v>151.13</v>
      </c>
      <c r="L18" s="32">
        <f>$H$5</f>
        <v>60</v>
      </c>
      <c r="M18" s="33">
        <f>K18+L18</f>
        <v>211.13</v>
      </c>
      <c r="N18" s="34">
        <v>0.41</v>
      </c>
      <c r="O18" s="29">
        <f>H18*N18</f>
        <v>369</v>
      </c>
      <c r="P18" s="35">
        <v>67.0</v>
      </c>
      <c r="Q18" s="29">
        <f>H18*$H$8</f>
        <v>18</v>
      </c>
      <c r="R18" s="35">
        <v>25.0</v>
      </c>
      <c r="S18" s="29">
        <f>H18*$H$4</f>
        <v>13.5</v>
      </c>
      <c r="T18" s="29">
        <f>J18*$H$3</f>
        <v>34.65</v>
      </c>
      <c r="U18" s="36">
        <v>0.9</v>
      </c>
      <c r="V18" s="35">
        <v>67.0</v>
      </c>
      <c r="W18" s="29">
        <f>V18*(1-U18)</f>
        <v>6.7</v>
      </c>
      <c r="X18" s="37">
        <v>0.68</v>
      </c>
      <c r="Y18" s="29">
        <f>$H$6*$H$7*X18</f>
        <v>0</v>
      </c>
      <c r="Z18" s="33">
        <f>X18*($H$9+$H$10)</f>
        <v>3.51764</v>
      </c>
      <c r="AA18" s="34">
        <v>0.07</v>
      </c>
      <c r="AB18" s="29">
        <f>H18*AA18</f>
        <v>63</v>
      </c>
      <c r="AC18" s="36">
        <v>0.08</v>
      </c>
      <c r="AD18" s="29">
        <f>H18*AC18</f>
        <v>72</v>
      </c>
      <c r="AE18" s="29">
        <f>AB18+AD18</f>
        <v>135</v>
      </c>
      <c r="AF18" s="38">
        <f>AE18/H18</f>
        <v>0.15</v>
      </c>
      <c r="AG18" s="39">
        <f>H18-O18-P18-Q18-R18-S18-T18-W18-Y18-Z18-M18-AL18</f>
        <v>151.50236</v>
      </c>
      <c r="AH18" s="40">
        <f>AG18-AE18</f>
        <v>16.50236</v>
      </c>
      <c r="AI18" s="41">
        <f>AH18/H18</f>
        <v>0.01833595556</v>
      </c>
      <c r="AJ18" s="42">
        <f>AH18/M18</f>
        <v>0.07816208023</v>
      </c>
      <c r="AK18" s="29">
        <f>(P18+R18+W18+Y18+Z18+M18)/(1-(N18+$H$4+(1-I18)*$H$3+$H$8+$H$11+AA18+AC18))</f>
        <v>854.9730969</v>
      </c>
      <c r="AL18" s="29">
        <f>H18*$H$11</f>
        <v>0</v>
      </c>
    </row>
    <row r="19" ht="14.25" customHeight="1">
      <c r="A19" s="20" t="s">
        <v>56</v>
      </c>
      <c r="B19" s="19"/>
      <c r="C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</row>
    <row r="20" ht="14.25" customHeight="1">
      <c r="A20" s="44" t="s">
        <v>57</v>
      </c>
      <c r="B20" s="45"/>
      <c r="C20" s="45"/>
      <c r="D20" s="29">
        <v>447.0</v>
      </c>
      <c r="E20" s="29"/>
      <c r="F20" s="29"/>
      <c r="G20" s="29"/>
      <c r="H20" s="29"/>
      <c r="I20" s="46"/>
      <c r="J20" s="30"/>
      <c r="K20" s="32"/>
      <c r="L20" s="32"/>
      <c r="M20" s="33"/>
      <c r="N20" s="47"/>
      <c r="O20" s="29"/>
      <c r="P20" s="29"/>
      <c r="Q20" s="29"/>
      <c r="R20" s="29"/>
      <c r="S20" s="29"/>
      <c r="T20" s="29"/>
      <c r="U20" s="41"/>
      <c r="V20" s="29"/>
      <c r="W20" s="29"/>
      <c r="X20" s="48"/>
      <c r="Y20" s="29"/>
      <c r="Z20" s="33"/>
      <c r="AA20" s="47"/>
      <c r="AB20" s="29"/>
      <c r="AC20" s="41"/>
      <c r="AD20" s="29"/>
      <c r="AE20" s="29"/>
      <c r="AF20" s="38"/>
      <c r="AG20" s="39"/>
      <c r="AH20" s="29"/>
      <c r="AI20" s="41"/>
      <c r="AJ20" s="41"/>
      <c r="AK20" s="29"/>
    </row>
    <row r="21" ht="14.25" customHeight="1">
      <c r="A21" s="20" t="s">
        <v>58</v>
      </c>
      <c r="B21" s="19"/>
      <c r="C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</row>
    <row r="22" ht="28.5" customHeight="1">
      <c r="A22" s="21" t="s">
        <v>59</v>
      </c>
      <c r="B22" s="23"/>
      <c r="C22" s="24"/>
      <c r="D22" s="29">
        <v>180.0</v>
      </c>
      <c r="E22" s="26"/>
      <c r="F22" s="26" t="s">
        <v>60</v>
      </c>
      <c r="G22" s="26">
        <v>9.2</v>
      </c>
      <c r="H22" s="26">
        <f>(1.25*M22+P22+R22+W22+Y22+Z22)/(1-N22-$H$8-$H$4-(1-I22)*$H$3-$H$11-AA22-AC22)</f>
        <v>2642.208977</v>
      </c>
      <c r="I22" s="28">
        <v>0.45</v>
      </c>
      <c r="J22" s="30">
        <f>H22*(1-I22)</f>
        <v>1453.214937</v>
      </c>
      <c r="K22" s="31">
        <v>637.89</v>
      </c>
      <c r="L22" s="32">
        <f>$H$5</f>
        <v>60</v>
      </c>
      <c r="M22" s="33">
        <f>K22+L22</f>
        <v>697.89</v>
      </c>
      <c r="N22" s="34">
        <v>0.41</v>
      </c>
      <c r="O22" s="29">
        <f>H22*N22</f>
        <v>1083.30568</v>
      </c>
      <c r="P22" s="35">
        <v>63.0</v>
      </c>
      <c r="Q22" s="29">
        <f>H22*$H$8</f>
        <v>52.84417954</v>
      </c>
      <c r="R22" s="35">
        <v>25.0</v>
      </c>
      <c r="S22" s="29">
        <f>H22*$H$4</f>
        <v>39.63313465</v>
      </c>
      <c r="T22" s="29">
        <f>J22*$H$3</f>
        <v>101.7250456</v>
      </c>
      <c r="U22" s="36">
        <v>0.9</v>
      </c>
      <c r="V22" s="35">
        <v>63.0</v>
      </c>
      <c r="W22" s="29">
        <f>V22*(1-U22)</f>
        <v>6.3</v>
      </c>
      <c r="X22" s="37">
        <v>0.33</v>
      </c>
      <c r="Y22" s="29">
        <f>$H$6*$H$7*X22</f>
        <v>0</v>
      </c>
      <c r="Z22" s="33">
        <f>X22*($H$9+$H$10)</f>
        <v>1.70709</v>
      </c>
      <c r="AA22" s="34">
        <v>0.07</v>
      </c>
      <c r="AB22" s="29">
        <f>H22*AA22</f>
        <v>184.9546284</v>
      </c>
      <c r="AC22" s="36">
        <v>0.08</v>
      </c>
      <c r="AD22" s="29">
        <f>H22*AC22</f>
        <v>211.3767181</v>
      </c>
      <c r="AE22" s="29">
        <f>AB22+AD22</f>
        <v>396.3313465</v>
      </c>
      <c r="AF22" s="38">
        <f>AE22/H22</f>
        <v>0.15</v>
      </c>
      <c r="AG22" s="39">
        <f>H22-O22-P22-Q22-R22-S22-T22-W22-Y22-Z22-M22-AL22</f>
        <v>570.8038465</v>
      </c>
      <c r="AH22" s="40">
        <f>AG22-AE22</f>
        <v>174.4725</v>
      </c>
      <c r="AI22" s="41">
        <f>AH22/H22</f>
        <v>0.0660328163</v>
      </c>
      <c r="AJ22" s="42">
        <f>AH22/M22</f>
        <v>0.25</v>
      </c>
      <c r="AK22" s="29">
        <f>(P22+R22+W22+Y22+Z22+M22)/(1-(N22+$H$4+(1-I22)*$H$3+$H$8+$H$11+AA22+AC22))</f>
        <v>2166.158499</v>
      </c>
      <c r="AL22" s="29">
        <f>H22*$H$11</f>
        <v>0</v>
      </c>
    </row>
    <row r="23" ht="14.25" customHeight="1">
      <c r="A23" s="20" t="s">
        <v>61</v>
      </c>
      <c r="B23" s="19"/>
      <c r="C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</row>
    <row r="24" ht="28.5" customHeight="1">
      <c r="A24" s="21" t="s">
        <v>62</v>
      </c>
      <c r="B24" s="23"/>
      <c r="C24" s="24"/>
      <c r="D24" s="29">
        <v>50.0</v>
      </c>
      <c r="E24" s="26">
        <v>1280.0</v>
      </c>
      <c r="F24" s="26">
        <v>4.0</v>
      </c>
      <c r="G24" s="26">
        <v>0.0</v>
      </c>
      <c r="H24" s="26">
        <f>(1.25*M24+P24+R24+W24+Y24+Z24)/(1-N24-$H$8-$H$4-(1-I24)*$H$3-$H$11-AA24-AC24)</f>
        <v>964.625266</v>
      </c>
      <c r="I24" s="28">
        <v>0.45</v>
      </c>
      <c r="J24" s="30">
        <f>H24*(1-I24)</f>
        <v>530.5438963</v>
      </c>
      <c r="K24" s="31">
        <v>142.13</v>
      </c>
      <c r="L24" s="32">
        <f>$H$5</f>
        <v>60</v>
      </c>
      <c r="M24" s="33">
        <f>K24+L24</f>
        <v>202.13</v>
      </c>
      <c r="N24" s="34">
        <v>0.41</v>
      </c>
      <c r="O24" s="29">
        <f>H24*N24</f>
        <v>395.4963591</v>
      </c>
      <c r="P24" s="35">
        <v>67.0</v>
      </c>
      <c r="Q24" s="29">
        <f>H24*$H$8</f>
        <v>19.29250532</v>
      </c>
      <c r="R24" s="35">
        <v>25.0</v>
      </c>
      <c r="S24" s="29">
        <f>H24*$H$4</f>
        <v>14.46937899</v>
      </c>
      <c r="T24" s="29">
        <f>J24*$H$3</f>
        <v>37.13807274</v>
      </c>
      <c r="U24" s="36">
        <v>0.9</v>
      </c>
      <c r="V24" s="35">
        <v>67.0</v>
      </c>
      <c r="W24" s="29">
        <f>V24*(1-U24)</f>
        <v>6.7</v>
      </c>
      <c r="X24" s="37">
        <v>0.42</v>
      </c>
      <c r="Y24" s="29">
        <f>$H$6*$H$7*X24</f>
        <v>0</v>
      </c>
      <c r="Z24" s="33">
        <f>X24*($H$9+$H$10)</f>
        <v>2.17266</v>
      </c>
      <c r="AA24" s="34">
        <v>0.07</v>
      </c>
      <c r="AB24" s="29">
        <f>H24*AA24</f>
        <v>67.52376862</v>
      </c>
      <c r="AC24" s="36">
        <v>0.08</v>
      </c>
      <c r="AD24" s="29">
        <f>H24*AC24</f>
        <v>77.17002128</v>
      </c>
      <c r="AE24" s="29">
        <f>AB24+AD24</f>
        <v>144.6937899</v>
      </c>
      <c r="AF24" s="38">
        <f>AE24/H24</f>
        <v>0.15</v>
      </c>
      <c r="AG24" s="39">
        <f>H24-O24-P24-Q24-R24-S24-T24-W24-Y24-Z24-M24-AL24</f>
        <v>195.2262899</v>
      </c>
      <c r="AH24" s="40">
        <f>AG24-AE24</f>
        <v>50.5325</v>
      </c>
      <c r="AI24" s="41">
        <f>AH24/H24</f>
        <v>0.05238562764</v>
      </c>
      <c r="AJ24" s="42">
        <f>AH24/M24</f>
        <v>0.25</v>
      </c>
      <c r="AK24" s="29">
        <f>(P24+R24+W24+Y24+Z24+M24)/(1-(N24+$H$4+(1-I24)*$H$3+$H$8+$H$11+AA24+AC24))</f>
        <v>826.7466849</v>
      </c>
      <c r="AL24" s="29">
        <f>H24*$H$11</f>
        <v>0</v>
      </c>
    </row>
    <row r="25" ht="14.25" customHeight="1">
      <c r="A25" s="20" t="s">
        <v>63</v>
      </c>
      <c r="B25" s="19"/>
      <c r="C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</row>
    <row r="26" ht="28.5" customHeight="1">
      <c r="A26" s="21" t="s">
        <v>64</v>
      </c>
      <c r="B26" s="23"/>
      <c r="C26" s="24"/>
      <c r="D26" s="29">
        <v>453.0</v>
      </c>
      <c r="E26" s="26">
        <v>1315.0</v>
      </c>
      <c r="F26" s="26">
        <v>150.0</v>
      </c>
      <c r="G26" s="26">
        <v>0.0</v>
      </c>
      <c r="H26" s="26">
        <f t="shared" ref="H26:H27" si="1">(1.25*M26+P26+R26+W26+Y26+Z26)/(1-N26-$H$8-$H$4-(1-I26)*$H$3-$H$11-AA26-AC26)</f>
        <v>1306.595034</v>
      </c>
      <c r="I26" s="28">
        <v>0.45</v>
      </c>
      <c r="J26" s="30">
        <f t="shared" ref="J26:J28" si="2">H26*(1-I26)</f>
        <v>718.6272688</v>
      </c>
      <c r="K26" s="31">
        <v>242.23</v>
      </c>
      <c r="L26" s="32">
        <f t="shared" ref="L26:L28" si="3">$H$5</f>
        <v>60</v>
      </c>
      <c r="M26" s="33">
        <f t="shared" ref="M26:M28" si="4">K26+L26</f>
        <v>302.23</v>
      </c>
      <c r="N26" s="34">
        <v>0.41</v>
      </c>
      <c r="O26" s="29">
        <f t="shared" ref="O26:O28" si="5">H26*N26</f>
        <v>535.703964</v>
      </c>
      <c r="P26" s="35">
        <v>67.0</v>
      </c>
      <c r="Q26" s="29">
        <f t="shared" ref="Q26:Q28" si="6">H26*$H$8</f>
        <v>26.13190068</v>
      </c>
      <c r="R26" s="35">
        <v>25.0</v>
      </c>
      <c r="S26" s="29">
        <f t="shared" ref="S26:S28" si="7">H26*$H$4</f>
        <v>19.59892551</v>
      </c>
      <c r="T26" s="29">
        <f t="shared" ref="T26:T28" si="8">J26*$H$3</f>
        <v>50.30390881</v>
      </c>
      <c r="U26" s="36">
        <v>0.9</v>
      </c>
      <c r="V26" s="35">
        <v>67.0</v>
      </c>
      <c r="W26" s="29">
        <f t="shared" ref="W26:W28" si="9">V26*(1-U26)</f>
        <v>6.7</v>
      </c>
      <c r="X26" s="37">
        <v>0.46</v>
      </c>
      <c r="Y26" s="29">
        <f t="shared" ref="Y26:Y28" si="10">$H$6*$H$7*X26</f>
        <v>0</v>
      </c>
      <c r="Z26" s="33">
        <f t="shared" ref="Z26:Z28" si="11">X26*($H$9+$H$10)</f>
        <v>2.37958</v>
      </c>
      <c r="AA26" s="34">
        <v>0.07</v>
      </c>
      <c r="AB26" s="29">
        <f t="shared" ref="AB26:AB28" si="12">H26*AA26</f>
        <v>91.46165239</v>
      </c>
      <c r="AC26" s="36">
        <v>0.08</v>
      </c>
      <c r="AD26" s="29">
        <f t="shared" ref="AD26:AD28" si="13">H26*AC26</f>
        <v>104.5276027</v>
      </c>
      <c r="AE26" s="29">
        <f t="shared" ref="AE26:AE28" si="14">AB26+AD26</f>
        <v>195.9892551</v>
      </c>
      <c r="AF26" s="38">
        <f t="shared" ref="AF26:AF28" si="15">AE26/H26</f>
        <v>0.15</v>
      </c>
      <c r="AG26" s="39">
        <f t="shared" ref="AG26:AG28" si="16">H26-O26-P26-Q26-R26-S26-T26-W26-Y26-Z26-M26-AL26</f>
        <v>271.5467551</v>
      </c>
      <c r="AH26" s="40">
        <f t="shared" ref="AH26:AH28" si="17">AG26-AE26</f>
        <v>75.5575</v>
      </c>
      <c r="AI26" s="41">
        <f t="shared" ref="AI26:AI28" si="18">AH26/H26</f>
        <v>0.05782778751</v>
      </c>
      <c r="AJ26" s="42">
        <f t="shared" ref="AJ26:AJ28" si="19">AH26/M26</f>
        <v>0.25</v>
      </c>
      <c r="AK26" s="29">
        <f t="shared" ref="AK26:AK28" si="20">(P26+R26+W26+Y26+Z26+M26)/(1-(N26+$H$4+(1-I26)*$H$3+$H$8+$H$11+AA26+AC26))</f>
        <v>1100.435416</v>
      </c>
      <c r="AL26" s="29">
        <f t="shared" ref="AL26:AL28" si="21">H26*$H$11</f>
        <v>0</v>
      </c>
    </row>
    <row r="27" ht="28.5" customHeight="1">
      <c r="A27" s="21" t="s">
        <v>65</v>
      </c>
      <c r="B27" s="23"/>
      <c r="C27" s="24" t="s">
        <v>66</v>
      </c>
      <c r="D27" s="29">
        <v>50.0</v>
      </c>
      <c r="E27" s="26"/>
      <c r="F27" s="26"/>
      <c r="G27" s="26"/>
      <c r="H27" s="26">
        <f t="shared" si="1"/>
        <v>1992.91105</v>
      </c>
      <c r="I27" s="28">
        <v>0.45</v>
      </c>
      <c r="J27" s="30">
        <f t="shared" si="2"/>
        <v>1096.101078</v>
      </c>
      <c r="K27" s="31">
        <v>447.64</v>
      </c>
      <c r="L27" s="32">
        <f t="shared" si="3"/>
        <v>60</v>
      </c>
      <c r="M27" s="33">
        <f t="shared" si="4"/>
        <v>507.64</v>
      </c>
      <c r="N27" s="34">
        <v>0.41</v>
      </c>
      <c r="O27" s="29">
        <f t="shared" si="5"/>
        <v>817.0935307</v>
      </c>
      <c r="P27" s="35">
        <v>63.0</v>
      </c>
      <c r="Q27" s="29">
        <f t="shared" si="6"/>
        <v>39.85822101</v>
      </c>
      <c r="R27" s="35">
        <v>25.0</v>
      </c>
      <c r="S27" s="29">
        <f t="shared" si="7"/>
        <v>29.89366576</v>
      </c>
      <c r="T27" s="29">
        <f t="shared" si="8"/>
        <v>76.72707544</v>
      </c>
      <c r="U27" s="36">
        <v>0.9</v>
      </c>
      <c r="V27" s="35">
        <v>63.0</v>
      </c>
      <c r="W27" s="29">
        <f t="shared" si="9"/>
        <v>6.3</v>
      </c>
      <c r="X27" s="37">
        <v>0.3</v>
      </c>
      <c r="Y27" s="29">
        <f t="shared" si="10"/>
        <v>0</v>
      </c>
      <c r="Z27" s="33">
        <f t="shared" si="11"/>
        <v>1.5519</v>
      </c>
      <c r="AA27" s="34">
        <v>0.07</v>
      </c>
      <c r="AB27" s="29">
        <f t="shared" si="12"/>
        <v>139.5037735</v>
      </c>
      <c r="AC27" s="36">
        <v>0.08</v>
      </c>
      <c r="AD27" s="29">
        <f t="shared" si="13"/>
        <v>159.432884</v>
      </c>
      <c r="AE27" s="29">
        <f t="shared" si="14"/>
        <v>298.9366576</v>
      </c>
      <c r="AF27" s="38">
        <f t="shared" si="15"/>
        <v>0.15</v>
      </c>
      <c r="AG27" s="39">
        <f t="shared" si="16"/>
        <v>425.8466576</v>
      </c>
      <c r="AH27" s="40">
        <f t="shared" si="17"/>
        <v>126.91</v>
      </c>
      <c r="AI27" s="41">
        <f t="shared" si="18"/>
        <v>0.06368071469</v>
      </c>
      <c r="AJ27" s="42">
        <f t="shared" si="19"/>
        <v>0.25</v>
      </c>
      <c r="AK27" s="29">
        <f t="shared" si="20"/>
        <v>1646.635471</v>
      </c>
      <c r="AL27" s="29">
        <f t="shared" si="21"/>
        <v>0</v>
      </c>
    </row>
    <row r="28" ht="28.5" customHeight="1">
      <c r="A28" s="21" t="s">
        <v>67</v>
      </c>
      <c r="B28" s="23"/>
      <c r="C28" s="24"/>
      <c r="D28" s="29">
        <v>235.0</v>
      </c>
      <c r="E28" s="26">
        <v>1841.0</v>
      </c>
      <c r="F28" s="26">
        <v>47.0</v>
      </c>
      <c r="G28" s="26">
        <v>0.0</v>
      </c>
      <c r="H28" s="26">
        <v>1790.0</v>
      </c>
      <c r="I28" s="28">
        <v>0.45</v>
      </c>
      <c r="J28" s="30">
        <f t="shared" si="2"/>
        <v>984.5</v>
      </c>
      <c r="K28" s="31">
        <v>602.18</v>
      </c>
      <c r="L28" s="32">
        <f t="shared" si="3"/>
        <v>60</v>
      </c>
      <c r="M28" s="33">
        <f t="shared" si="4"/>
        <v>662.18</v>
      </c>
      <c r="N28" s="34">
        <v>0.41</v>
      </c>
      <c r="O28" s="29">
        <f t="shared" si="5"/>
        <v>733.9</v>
      </c>
      <c r="P28" s="35">
        <v>67.0</v>
      </c>
      <c r="Q28" s="29">
        <f t="shared" si="6"/>
        <v>35.8</v>
      </c>
      <c r="R28" s="35">
        <v>25.0</v>
      </c>
      <c r="S28" s="29">
        <f t="shared" si="7"/>
        <v>26.85</v>
      </c>
      <c r="T28" s="29">
        <f t="shared" si="8"/>
        <v>68.915</v>
      </c>
      <c r="U28" s="36">
        <v>0.9</v>
      </c>
      <c r="V28" s="35">
        <v>67.0</v>
      </c>
      <c r="W28" s="29">
        <f t="shared" si="9"/>
        <v>6.7</v>
      </c>
      <c r="X28" s="37">
        <v>0.58</v>
      </c>
      <c r="Y28" s="29">
        <f t="shared" si="10"/>
        <v>0</v>
      </c>
      <c r="Z28" s="33">
        <f t="shared" si="11"/>
        <v>3.00034</v>
      </c>
      <c r="AA28" s="34">
        <v>0.07</v>
      </c>
      <c r="AB28" s="29">
        <f t="shared" si="12"/>
        <v>125.3</v>
      </c>
      <c r="AC28" s="36">
        <v>0.08</v>
      </c>
      <c r="AD28" s="29">
        <f t="shared" si="13"/>
        <v>143.2</v>
      </c>
      <c r="AE28" s="29">
        <f t="shared" si="14"/>
        <v>268.5</v>
      </c>
      <c r="AF28" s="38">
        <f t="shared" si="15"/>
        <v>0.15</v>
      </c>
      <c r="AG28" s="39">
        <f t="shared" si="16"/>
        <v>160.65466</v>
      </c>
      <c r="AH28" s="40">
        <f t="shared" si="17"/>
        <v>-107.84534</v>
      </c>
      <c r="AI28" s="41">
        <f t="shared" si="18"/>
        <v>-0.0602487933</v>
      </c>
      <c r="AJ28" s="42">
        <f t="shared" si="19"/>
        <v>-0.1628640853</v>
      </c>
      <c r="AK28" s="29">
        <f t="shared" si="20"/>
        <v>2084.257408</v>
      </c>
      <c r="AL28" s="29">
        <f t="shared" si="21"/>
        <v>0</v>
      </c>
    </row>
    <row r="29" ht="14.25" customHeight="1">
      <c r="A29" s="20" t="s">
        <v>68</v>
      </c>
      <c r="B29" s="19"/>
      <c r="C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</row>
    <row r="30" ht="28.5" customHeight="1">
      <c r="A30" s="21" t="s">
        <v>69</v>
      </c>
      <c r="B30" s="23"/>
      <c r="C30" s="24" t="s">
        <v>70</v>
      </c>
      <c r="D30" s="29">
        <v>8266.0</v>
      </c>
      <c r="E30" s="26">
        <v>424.0</v>
      </c>
      <c r="F30" s="26">
        <v>166.0</v>
      </c>
      <c r="G30" s="26">
        <v>17.0</v>
      </c>
      <c r="H30" s="26">
        <v>750.0</v>
      </c>
      <c r="I30" s="28">
        <v>0.45</v>
      </c>
      <c r="J30" s="30">
        <f t="shared" ref="J30:J39" si="22">H30*(1-I30)</f>
        <v>412.5</v>
      </c>
      <c r="K30" s="31">
        <v>161.3</v>
      </c>
      <c r="L30" s="32">
        <f t="shared" ref="L30:L39" si="23">$H$5</f>
        <v>60</v>
      </c>
      <c r="M30" s="33">
        <f t="shared" ref="M30:M39" si="24">K30+L30</f>
        <v>221.3</v>
      </c>
      <c r="N30" s="34">
        <v>0.41</v>
      </c>
      <c r="O30" s="29">
        <f t="shared" ref="O30:O39" si="25">H30*N30</f>
        <v>307.5</v>
      </c>
      <c r="P30" s="35">
        <v>67.0</v>
      </c>
      <c r="Q30" s="29">
        <f t="shared" ref="Q30:Q39" si="26">H30*$H$8</f>
        <v>15</v>
      </c>
      <c r="R30" s="35">
        <v>25.0</v>
      </c>
      <c r="S30" s="29">
        <f t="shared" ref="S30:S39" si="27">H30*$H$4</f>
        <v>11.25</v>
      </c>
      <c r="T30" s="29">
        <f t="shared" ref="T30:T39" si="28">J30*$H$3</f>
        <v>28.875</v>
      </c>
      <c r="U30" s="36">
        <v>0.9</v>
      </c>
      <c r="V30" s="35">
        <v>67.0</v>
      </c>
      <c r="W30" s="29">
        <f t="shared" ref="W30:W39" si="29">V30*(1-U30)</f>
        <v>6.7</v>
      </c>
      <c r="X30" s="37">
        <v>0.72</v>
      </c>
      <c r="Y30" s="29">
        <f t="shared" ref="Y30:Y39" si="30">$H$6*$H$7*X30</f>
        <v>0</v>
      </c>
      <c r="Z30" s="33">
        <f t="shared" ref="Z30:Z39" si="31">X30*($H$9+$H$10)</f>
        <v>3.72456</v>
      </c>
      <c r="AA30" s="34">
        <v>0.07</v>
      </c>
      <c r="AB30" s="29">
        <f t="shared" ref="AB30:AB39" si="32">H30*AA30</f>
        <v>52.5</v>
      </c>
      <c r="AC30" s="36">
        <v>0.08</v>
      </c>
      <c r="AD30" s="29">
        <f t="shared" ref="AD30:AD39" si="33">H30*AC30</f>
        <v>60</v>
      </c>
      <c r="AE30" s="29">
        <f t="shared" ref="AE30:AE39" si="34">AB30+AD30</f>
        <v>112.5</v>
      </c>
      <c r="AF30" s="38">
        <f t="shared" ref="AF30:AF39" si="35">AE30/H30</f>
        <v>0.15</v>
      </c>
      <c r="AG30" s="39">
        <f t="shared" ref="AG30:AG39" si="36">H30-O30-P30-Q30-R30-S30-T30-W30-Y30-Z30-M30-AL30</f>
        <v>63.65044</v>
      </c>
      <c r="AH30" s="40">
        <f t="shared" ref="AH30:AH39" si="37">AG30-AE30</f>
        <v>-48.84956</v>
      </c>
      <c r="AI30" s="41">
        <f t="shared" ref="AI30:AI39" si="38">AH30/H30</f>
        <v>-0.06513274667</v>
      </c>
      <c r="AJ30" s="42">
        <f t="shared" ref="AJ30:AJ39" si="39">AH30/M30</f>
        <v>-0.2207390872</v>
      </c>
      <c r="AK30" s="29">
        <f t="shared" ref="AK30:AK39" si="40">(P30+R30+W30+Y30+Z30+M30)/(1-(N30+$H$4+(1-I30)*$H$3+$H$8+$H$11+AA30+AC30))</f>
        <v>883.2866576</v>
      </c>
      <c r="AL30" s="29">
        <f t="shared" ref="AL30:AL39" si="41">H30*$H$11</f>
        <v>0</v>
      </c>
    </row>
    <row r="31" ht="28.5" customHeight="1">
      <c r="A31" s="21" t="s">
        <v>71</v>
      </c>
      <c r="B31" s="23"/>
      <c r="C31" s="24"/>
      <c r="D31" s="29">
        <v>761.0</v>
      </c>
      <c r="E31" s="26">
        <v>827.0</v>
      </c>
      <c r="F31" s="26">
        <v>96.0</v>
      </c>
      <c r="G31" s="26">
        <v>20.0</v>
      </c>
      <c r="H31" s="26">
        <f>(1.25*M31+P31+R31+W31+Y31+Z31)/(1-N31-$H$8-$H$4-(1-I31)*$H$3-$H$11-AA31-AC31)</f>
        <v>1111.253915</v>
      </c>
      <c r="I31" s="28">
        <v>0.45</v>
      </c>
      <c r="J31" s="30">
        <f t="shared" si="22"/>
        <v>611.1896535</v>
      </c>
      <c r="K31" s="31">
        <v>183.88</v>
      </c>
      <c r="L31" s="32">
        <f t="shared" si="23"/>
        <v>60</v>
      </c>
      <c r="M31" s="33">
        <f t="shared" si="24"/>
        <v>243.88</v>
      </c>
      <c r="N31" s="34">
        <v>0.41</v>
      </c>
      <c r="O31" s="29">
        <f t="shared" si="25"/>
        <v>455.6141053</v>
      </c>
      <c r="P31" s="35">
        <v>67.0</v>
      </c>
      <c r="Q31" s="29">
        <f t="shared" si="26"/>
        <v>22.22507831</v>
      </c>
      <c r="R31" s="35">
        <v>25.0</v>
      </c>
      <c r="S31" s="29">
        <f t="shared" si="27"/>
        <v>16.66880873</v>
      </c>
      <c r="T31" s="29">
        <f t="shared" si="28"/>
        <v>42.78327574</v>
      </c>
      <c r="U31" s="36">
        <v>0.9</v>
      </c>
      <c r="V31" s="35">
        <v>67.0</v>
      </c>
      <c r="W31" s="29">
        <f t="shared" si="29"/>
        <v>6.7</v>
      </c>
      <c r="X31" s="37">
        <v>0.72</v>
      </c>
      <c r="Y31" s="29">
        <f t="shared" si="30"/>
        <v>0</v>
      </c>
      <c r="Z31" s="33">
        <f t="shared" si="31"/>
        <v>3.72456</v>
      </c>
      <c r="AA31" s="34">
        <v>0.07</v>
      </c>
      <c r="AB31" s="29">
        <f t="shared" si="32"/>
        <v>77.78777408</v>
      </c>
      <c r="AC31" s="36">
        <v>0.08</v>
      </c>
      <c r="AD31" s="29">
        <f t="shared" si="33"/>
        <v>88.90031323</v>
      </c>
      <c r="AE31" s="29">
        <f t="shared" si="34"/>
        <v>166.6880873</v>
      </c>
      <c r="AF31" s="38">
        <f t="shared" si="35"/>
        <v>0.15</v>
      </c>
      <c r="AG31" s="39">
        <f t="shared" si="36"/>
        <v>227.6580873</v>
      </c>
      <c r="AH31" s="40">
        <f t="shared" si="37"/>
        <v>60.97</v>
      </c>
      <c r="AI31" s="41">
        <f t="shared" si="38"/>
        <v>0.05486594842</v>
      </c>
      <c r="AJ31" s="42">
        <f t="shared" si="39"/>
        <v>0.25</v>
      </c>
      <c r="AK31" s="29">
        <f t="shared" si="40"/>
        <v>944.8964802</v>
      </c>
      <c r="AL31" s="29">
        <f t="shared" si="41"/>
        <v>0</v>
      </c>
    </row>
    <row r="32" ht="28.5" customHeight="1">
      <c r="A32" s="21" t="s">
        <v>72</v>
      </c>
      <c r="B32" s="52" t="s">
        <v>84</v>
      </c>
      <c r="C32" s="24"/>
      <c r="D32" s="25">
        <v>1089.0</v>
      </c>
      <c r="E32" s="26">
        <v>1980.0</v>
      </c>
      <c r="F32" s="26">
        <v>195.0</v>
      </c>
      <c r="G32" s="26">
        <v>8.0</v>
      </c>
      <c r="H32" s="26">
        <v>1800.0</v>
      </c>
      <c r="I32" s="28">
        <v>0.45</v>
      </c>
      <c r="J32" s="30">
        <f t="shared" si="22"/>
        <v>990</v>
      </c>
      <c r="K32" s="31">
        <v>216.45</v>
      </c>
      <c r="L32" s="32">
        <f t="shared" si="23"/>
        <v>60</v>
      </c>
      <c r="M32" s="33">
        <f t="shared" si="24"/>
        <v>276.45</v>
      </c>
      <c r="N32" s="34">
        <v>0.41</v>
      </c>
      <c r="O32" s="29">
        <f t="shared" si="25"/>
        <v>738</v>
      </c>
      <c r="P32" s="35">
        <v>67.0</v>
      </c>
      <c r="Q32" s="29">
        <f t="shared" si="26"/>
        <v>36</v>
      </c>
      <c r="R32" s="35">
        <v>25.0</v>
      </c>
      <c r="S32" s="29">
        <f t="shared" si="27"/>
        <v>27</v>
      </c>
      <c r="T32" s="29">
        <f t="shared" si="28"/>
        <v>69.3</v>
      </c>
      <c r="U32" s="36">
        <v>0.9</v>
      </c>
      <c r="V32" s="35">
        <v>67.0</v>
      </c>
      <c r="W32" s="29">
        <f t="shared" si="29"/>
        <v>6.7</v>
      </c>
      <c r="X32" s="37">
        <v>0.4</v>
      </c>
      <c r="Y32" s="29">
        <f t="shared" si="30"/>
        <v>0</v>
      </c>
      <c r="Z32" s="33">
        <f t="shared" si="31"/>
        <v>2.0692</v>
      </c>
      <c r="AA32" s="34">
        <v>0.07</v>
      </c>
      <c r="AB32" s="29">
        <f t="shared" si="32"/>
        <v>126</v>
      </c>
      <c r="AC32" s="36">
        <v>0.08</v>
      </c>
      <c r="AD32" s="29">
        <f t="shared" si="33"/>
        <v>144</v>
      </c>
      <c r="AE32" s="29">
        <f t="shared" si="34"/>
        <v>270</v>
      </c>
      <c r="AF32" s="38">
        <f t="shared" si="35"/>
        <v>0.15</v>
      </c>
      <c r="AG32" s="39">
        <f t="shared" si="36"/>
        <v>552.4808</v>
      </c>
      <c r="AH32" s="40">
        <f t="shared" si="37"/>
        <v>282.4808</v>
      </c>
      <c r="AI32" s="41">
        <f t="shared" si="38"/>
        <v>0.1569337778</v>
      </c>
      <c r="AJ32" s="42">
        <f t="shared" si="39"/>
        <v>1.021815156</v>
      </c>
      <c r="AK32" s="29">
        <f t="shared" si="40"/>
        <v>1029.247476</v>
      </c>
      <c r="AL32" s="29">
        <f t="shared" si="41"/>
        <v>0</v>
      </c>
    </row>
    <row r="33" ht="28.5" customHeight="1">
      <c r="A33" s="21" t="s">
        <v>73</v>
      </c>
      <c r="B33" s="52" t="s">
        <v>84</v>
      </c>
      <c r="C33" s="24"/>
      <c r="D33" s="25">
        <v>2275.0</v>
      </c>
      <c r="E33" s="26">
        <v>1910.0</v>
      </c>
      <c r="F33" s="26">
        <v>121.0</v>
      </c>
      <c r="G33" s="26">
        <v>7.3</v>
      </c>
      <c r="H33" s="26">
        <v>1800.0</v>
      </c>
      <c r="I33" s="28">
        <v>0.45</v>
      </c>
      <c r="J33" s="30">
        <f t="shared" si="22"/>
        <v>990</v>
      </c>
      <c r="K33" s="31">
        <v>242.88</v>
      </c>
      <c r="L33" s="32">
        <f t="shared" si="23"/>
        <v>60</v>
      </c>
      <c r="M33" s="33">
        <f t="shared" si="24"/>
        <v>302.88</v>
      </c>
      <c r="N33" s="34">
        <v>0.41</v>
      </c>
      <c r="O33" s="29">
        <f t="shared" si="25"/>
        <v>738</v>
      </c>
      <c r="P33" s="35">
        <v>67.0</v>
      </c>
      <c r="Q33" s="29">
        <f t="shared" si="26"/>
        <v>36</v>
      </c>
      <c r="R33" s="35">
        <v>25.0</v>
      </c>
      <c r="S33" s="29">
        <f t="shared" si="27"/>
        <v>27</v>
      </c>
      <c r="T33" s="29">
        <f t="shared" si="28"/>
        <v>69.3</v>
      </c>
      <c r="U33" s="36">
        <v>0.9</v>
      </c>
      <c r="V33" s="35">
        <v>67.0</v>
      </c>
      <c r="W33" s="29">
        <f t="shared" si="29"/>
        <v>6.7</v>
      </c>
      <c r="X33" s="37">
        <v>0.4</v>
      </c>
      <c r="Y33" s="29">
        <f t="shared" si="30"/>
        <v>0</v>
      </c>
      <c r="Z33" s="33">
        <f t="shared" si="31"/>
        <v>2.0692</v>
      </c>
      <c r="AA33" s="34">
        <v>0.07</v>
      </c>
      <c r="AB33" s="29">
        <f t="shared" si="32"/>
        <v>126</v>
      </c>
      <c r="AC33" s="36">
        <v>0.08</v>
      </c>
      <c r="AD33" s="29">
        <f t="shared" si="33"/>
        <v>144</v>
      </c>
      <c r="AE33" s="29">
        <f t="shared" si="34"/>
        <v>270</v>
      </c>
      <c r="AF33" s="38">
        <f t="shared" si="35"/>
        <v>0.15</v>
      </c>
      <c r="AG33" s="39">
        <f t="shared" si="36"/>
        <v>526.0508</v>
      </c>
      <c r="AH33" s="40">
        <f t="shared" si="37"/>
        <v>256.0508</v>
      </c>
      <c r="AI33" s="41">
        <f t="shared" si="38"/>
        <v>0.1422504444</v>
      </c>
      <c r="AJ33" s="42">
        <f t="shared" si="39"/>
        <v>0.8453869519</v>
      </c>
      <c r="AK33" s="29">
        <f t="shared" si="40"/>
        <v>1101.362074</v>
      </c>
      <c r="AL33" s="29">
        <f t="shared" si="41"/>
        <v>0</v>
      </c>
    </row>
    <row r="34" ht="28.5" customHeight="1">
      <c r="A34" s="21" t="s">
        <v>74</v>
      </c>
      <c r="B34" s="23"/>
      <c r="C34" s="24"/>
      <c r="D34" s="29">
        <v>95.0</v>
      </c>
      <c r="E34" s="26">
        <v>1456.0</v>
      </c>
      <c r="F34" s="26">
        <v>109.0</v>
      </c>
      <c r="G34" s="26">
        <v>9.0</v>
      </c>
      <c r="H34" s="26">
        <v>1356.0</v>
      </c>
      <c r="I34" s="28">
        <v>0.45</v>
      </c>
      <c r="J34" s="30">
        <f t="shared" si="22"/>
        <v>745.8</v>
      </c>
      <c r="K34" s="31">
        <v>245.65</v>
      </c>
      <c r="L34" s="32">
        <f t="shared" si="23"/>
        <v>60</v>
      </c>
      <c r="M34" s="33">
        <f t="shared" si="24"/>
        <v>305.65</v>
      </c>
      <c r="N34" s="34">
        <v>0.41</v>
      </c>
      <c r="O34" s="29">
        <f t="shared" si="25"/>
        <v>555.96</v>
      </c>
      <c r="P34" s="35">
        <v>67.0</v>
      </c>
      <c r="Q34" s="29">
        <f t="shared" si="26"/>
        <v>27.12</v>
      </c>
      <c r="R34" s="35">
        <v>25.0</v>
      </c>
      <c r="S34" s="29">
        <f t="shared" si="27"/>
        <v>20.34</v>
      </c>
      <c r="T34" s="29">
        <f t="shared" si="28"/>
        <v>52.206</v>
      </c>
      <c r="U34" s="36">
        <v>0.9</v>
      </c>
      <c r="V34" s="35">
        <v>67.0</v>
      </c>
      <c r="W34" s="29">
        <f t="shared" si="29"/>
        <v>6.7</v>
      </c>
      <c r="X34" s="37">
        <v>0.4</v>
      </c>
      <c r="Y34" s="29">
        <f t="shared" si="30"/>
        <v>0</v>
      </c>
      <c r="Z34" s="33">
        <f t="shared" si="31"/>
        <v>2.0692</v>
      </c>
      <c r="AA34" s="34">
        <v>0.07</v>
      </c>
      <c r="AB34" s="29">
        <f t="shared" si="32"/>
        <v>94.92</v>
      </c>
      <c r="AC34" s="36">
        <v>0.08</v>
      </c>
      <c r="AD34" s="29">
        <f t="shared" si="33"/>
        <v>108.48</v>
      </c>
      <c r="AE34" s="29">
        <f t="shared" si="34"/>
        <v>203.4</v>
      </c>
      <c r="AF34" s="38">
        <f t="shared" si="35"/>
        <v>0.15</v>
      </c>
      <c r="AG34" s="39">
        <f t="shared" si="36"/>
        <v>293.9548</v>
      </c>
      <c r="AH34" s="40">
        <f t="shared" si="37"/>
        <v>90.5548</v>
      </c>
      <c r="AI34" s="41">
        <f t="shared" si="38"/>
        <v>0.06678082596</v>
      </c>
      <c r="AJ34" s="42">
        <f t="shared" si="39"/>
        <v>0.2962695894</v>
      </c>
      <c r="AK34" s="29">
        <f t="shared" si="40"/>
        <v>1108.920055</v>
      </c>
      <c r="AL34" s="29">
        <f t="shared" si="41"/>
        <v>0</v>
      </c>
    </row>
    <row r="35" ht="28.5" customHeight="1">
      <c r="A35" s="21" t="s">
        <v>75</v>
      </c>
      <c r="B35" s="23"/>
      <c r="C35" s="24"/>
      <c r="D35" s="29">
        <v>101.0</v>
      </c>
      <c r="E35" s="26">
        <v>1345.0</v>
      </c>
      <c r="F35" s="26">
        <v>114.0</v>
      </c>
      <c r="G35" s="26">
        <v>0.0</v>
      </c>
      <c r="H35" s="26">
        <v>1280.0</v>
      </c>
      <c r="I35" s="28">
        <v>0.45</v>
      </c>
      <c r="J35" s="30">
        <f t="shared" si="22"/>
        <v>704</v>
      </c>
      <c r="K35" s="31">
        <v>270.81</v>
      </c>
      <c r="L35" s="32">
        <f t="shared" si="23"/>
        <v>60</v>
      </c>
      <c r="M35" s="33">
        <f t="shared" si="24"/>
        <v>330.81</v>
      </c>
      <c r="N35" s="34">
        <v>0.41</v>
      </c>
      <c r="O35" s="29">
        <f t="shared" si="25"/>
        <v>524.8</v>
      </c>
      <c r="P35" s="35">
        <v>67.0</v>
      </c>
      <c r="Q35" s="29">
        <f t="shared" si="26"/>
        <v>25.6</v>
      </c>
      <c r="R35" s="35">
        <v>25.0</v>
      </c>
      <c r="S35" s="29">
        <f t="shared" si="27"/>
        <v>19.2</v>
      </c>
      <c r="T35" s="29">
        <f t="shared" si="28"/>
        <v>49.28</v>
      </c>
      <c r="U35" s="36">
        <v>0.9</v>
      </c>
      <c r="V35" s="35">
        <v>67.0</v>
      </c>
      <c r="W35" s="29">
        <f t="shared" si="29"/>
        <v>6.7</v>
      </c>
      <c r="X35" s="37">
        <v>0.4</v>
      </c>
      <c r="Y35" s="29">
        <f t="shared" si="30"/>
        <v>0</v>
      </c>
      <c r="Z35" s="33">
        <f t="shared" si="31"/>
        <v>2.0692</v>
      </c>
      <c r="AA35" s="34">
        <v>0.07</v>
      </c>
      <c r="AB35" s="29">
        <f t="shared" si="32"/>
        <v>89.6</v>
      </c>
      <c r="AC35" s="36">
        <v>0.08</v>
      </c>
      <c r="AD35" s="29">
        <f t="shared" si="33"/>
        <v>102.4</v>
      </c>
      <c r="AE35" s="29">
        <f t="shared" si="34"/>
        <v>192</v>
      </c>
      <c r="AF35" s="38">
        <f t="shared" si="35"/>
        <v>0.15</v>
      </c>
      <c r="AG35" s="39">
        <f t="shared" si="36"/>
        <v>229.5408</v>
      </c>
      <c r="AH35" s="40">
        <f t="shared" si="37"/>
        <v>37.5408</v>
      </c>
      <c r="AI35" s="41">
        <f t="shared" si="38"/>
        <v>0.02932875</v>
      </c>
      <c r="AJ35" s="42">
        <f t="shared" si="39"/>
        <v>0.1134814546</v>
      </c>
      <c r="AK35" s="29">
        <f t="shared" si="40"/>
        <v>1177.569441</v>
      </c>
      <c r="AL35" s="29">
        <f t="shared" si="41"/>
        <v>0</v>
      </c>
    </row>
    <row r="36" ht="28.5" customHeight="1">
      <c r="A36" s="21" t="s">
        <v>76</v>
      </c>
      <c r="B36" s="23"/>
      <c r="C36" s="24"/>
      <c r="D36" s="29">
        <v>247.0</v>
      </c>
      <c r="E36" s="26">
        <v>1732.0</v>
      </c>
      <c r="F36" s="26">
        <v>51.0</v>
      </c>
      <c r="G36" s="26">
        <v>9.0</v>
      </c>
      <c r="H36" s="26">
        <v>1600.0</v>
      </c>
      <c r="I36" s="28">
        <v>0.45</v>
      </c>
      <c r="J36" s="30">
        <f t="shared" si="22"/>
        <v>880</v>
      </c>
      <c r="K36" s="31">
        <v>238.13</v>
      </c>
      <c r="L36" s="32">
        <f t="shared" si="23"/>
        <v>60</v>
      </c>
      <c r="M36" s="33">
        <f t="shared" si="24"/>
        <v>298.13</v>
      </c>
      <c r="N36" s="34">
        <v>0.41</v>
      </c>
      <c r="O36" s="29">
        <f t="shared" si="25"/>
        <v>656</v>
      </c>
      <c r="P36" s="35">
        <v>67.0</v>
      </c>
      <c r="Q36" s="29">
        <f t="shared" si="26"/>
        <v>32</v>
      </c>
      <c r="R36" s="35">
        <v>25.0</v>
      </c>
      <c r="S36" s="29">
        <f t="shared" si="27"/>
        <v>24</v>
      </c>
      <c r="T36" s="29">
        <f t="shared" si="28"/>
        <v>61.6</v>
      </c>
      <c r="U36" s="36">
        <v>0.9</v>
      </c>
      <c r="V36" s="35">
        <v>67.0</v>
      </c>
      <c r="W36" s="29">
        <f t="shared" si="29"/>
        <v>6.7</v>
      </c>
      <c r="X36" s="37">
        <v>0.4</v>
      </c>
      <c r="Y36" s="29">
        <f t="shared" si="30"/>
        <v>0</v>
      </c>
      <c r="Z36" s="33">
        <f t="shared" si="31"/>
        <v>2.0692</v>
      </c>
      <c r="AA36" s="34">
        <v>0.07</v>
      </c>
      <c r="AB36" s="29">
        <f t="shared" si="32"/>
        <v>112</v>
      </c>
      <c r="AC36" s="36">
        <v>0.08</v>
      </c>
      <c r="AD36" s="29">
        <f t="shared" si="33"/>
        <v>128</v>
      </c>
      <c r="AE36" s="29">
        <f t="shared" si="34"/>
        <v>240</v>
      </c>
      <c r="AF36" s="38">
        <f t="shared" si="35"/>
        <v>0.15</v>
      </c>
      <c r="AG36" s="39">
        <f t="shared" si="36"/>
        <v>427.5008</v>
      </c>
      <c r="AH36" s="40">
        <f t="shared" si="37"/>
        <v>187.5008</v>
      </c>
      <c r="AI36" s="41">
        <f t="shared" si="38"/>
        <v>0.117188</v>
      </c>
      <c r="AJ36" s="42">
        <f t="shared" si="39"/>
        <v>0.6289229531</v>
      </c>
      <c r="AK36" s="29">
        <f t="shared" si="40"/>
        <v>1088.401637</v>
      </c>
      <c r="AL36" s="29">
        <f t="shared" si="41"/>
        <v>0</v>
      </c>
    </row>
    <row r="37" ht="28.5" customHeight="1">
      <c r="A37" s="21" t="s">
        <v>77</v>
      </c>
      <c r="B37" s="23"/>
      <c r="C37" s="24"/>
      <c r="D37" s="29">
        <v>78.0</v>
      </c>
      <c r="E37" s="26">
        <v>1038.0</v>
      </c>
      <c r="F37" s="26">
        <v>65.0</v>
      </c>
      <c r="G37" s="26">
        <v>12.0</v>
      </c>
      <c r="H37" s="26">
        <v>1000.0</v>
      </c>
      <c r="I37" s="28">
        <v>0.45</v>
      </c>
      <c r="J37" s="30">
        <f t="shared" si="22"/>
        <v>550</v>
      </c>
      <c r="K37" s="31">
        <v>223.35</v>
      </c>
      <c r="L37" s="32">
        <f t="shared" si="23"/>
        <v>60</v>
      </c>
      <c r="M37" s="33">
        <f t="shared" si="24"/>
        <v>283.35</v>
      </c>
      <c r="N37" s="34">
        <v>0.41</v>
      </c>
      <c r="O37" s="29">
        <f t="shared" si="25"/>
        <v>410</v>
      </c>
      <c r="P37" s="35">
        <v>67.0</v>
      </c>
      <c r="Q37" s="29">
        <f t="shared" si="26"/>
        <v>20</v>
      </c>
      <c r="R37" s="35">
        <v>25.0</v>
      </c>
      <c r="S37" s="29">
        <f t="shared" si="27"/>
        <v>15</v>
      </c>
      <c r="T37" s="29">
        <f t="shared" si="28"/>
        <v>38.5</v>
      </c>
      <c r="U37" s="36">
        <v>0.9</v>
      </c>
      <c r="V37" s="35">
        <v>67.0</v>
      </c>
      <c r="W37" s="29">
        <f t="shared" si="29"/>
        <v>6.7</v>
      </c>
      <c r="X37" s="37">
        <v>0.4</v>
      </c>
      <c r="Y37" s="29">
        <f t="shared" si="30"/>
        <v>0</v>
      </c>
      <c r="Z37" s="33">
        <f t="shared" si="31"/>
        <v>2.0692</v>
      </c>
      <c r="AA37" s="34">
        <v>0.07</v>
      </c>
      <c r="AB37" s="29">
        <f t="shared" si="32"/>
        <v>70</v>
      </c>
      <c r="AC37" s="36">
        <v>0.08</v>
      </c>
      <c r="AD37" s="29">
        <f t="shared" si="33"/>
        <v>80</v>
      </c>
      <c r="AE37" s="29">
        <f t="shared" si="34"/>
        <v>150</v>
      </c>
      <c r="AF37" s="38">
        <f t="shared" si="35"/>
        <v>0.15</v>
      </c>
      <c r="AG37" s="39">
        <f t="shared" si="36"/>
        <v>132.3808</v>
      </c>
      <c r="AH37" s="40">
        <f t="shared" si="37"/>
        <v>-17.6192</v>
      </c>
      <c r="AI37" s="41">
        <f t="shared" si="38"/>
        <v>-0.0176192</v>
      </c>
      <c r="AJ37" s="42">
        <f t="shared" si="39"/>
        <v>-0.06218175401</v>
      </c>
      <c r="AK37" s="29">
        <f t="shared" si="40"/>
        <v>1048.074216</v>
      </c>
      <c r="AL37" s="29">
        <f t="shared" si="41"/>
        <v>0</v>
      </c>
    </row>
    <row r="38" ht="28.5" customHeight="1">
      <c r="A38" s="21" t="s">
        <v>78</v>
      </c>
      <c r="B38" s="23"/>
      <c r="C38" s="24"/>
      <c r="D38" s="29">
        <v>463.0</v>
      </c>
      <c r="E38" s="26">
        <v>1330.0</v>
      </c>
      <c r="F38" s="26">
        <v>180.0</v>
      </c>
      <c r="G38" s="26">
        <v>0.0</v>
      </c>
      <c r="H38" s="26">
        <v>1290.0</v>
      </c>
      <c r="I38" s="28">
        <v>0.45</v>
      </c>
      <c r="J38" s="30">
        <f t="shared" si="22"/>
        <v>709.5</v>
      </c>
      <c r="K38" s="31">
        <v>335.9</v>
      </c>
      <c r="L38" s="32">
        <f t="shared" si="23"/>
        <v>60</v>
      </c>
      <c r="M38" s="33">
        <f t="shared" si="24"/>
        <v>395.9</v>
      </c>
      <c r="N38" s="34">
        <v>0.41</v>
      </c>
      <c r="O38" s="29">
        <f t="shared" si="25"/>
        <v>528.9</v>
      </c>
      <c r="P38" s="35">
        <v>67.0</v>
      </c>
      <c r="Q38" s="29">
        <f t="shared" si="26"/>
        <v>25.8</v>
      </c>
      <c r="R38" s="35">
        <v>25.0</v>
      </c>
      <c r="S38" s="29">
        <f t="shared" si="27"/>
        <v>19.35</v>
      </c>
      <c r="T38" s="29">
        <f t="shared" si="28"/>
        <v>49.665</v>
      </c>
      <c r="U38" s="36">
        <v>0.9</v>
      </c>
      <c r="V38" s="35">
        <v>67.0</v>
      </c>
      <c r="W38" s="29">
        <f t="shared" si="29"/>
        <v>6.7</v>
      </c>
      <c r="X38" s="37">
        <v>0.4</v>
      </c>
      <c r="Y38" s="29">
        <f t="shared" si="30"/>
        <v>0</v>
      </c>
      <c r="Z38" s="33">
        <f t="shared" si="31"/>
        <v>2.0692</v>
      </c>
      <c r="AA38" s="34">
        <v>0.07</v>
      </c>
      <c r="AB38" s="29">
        <f t="shared" si="32"/>
        <v>90.3</v>
      </c>
      <c r="AC38" s="36">
        <v>0.08</v>
      </c>
      <c r="AD38" s="29">
        <f t="shared" si="33"/>
        <v>103.2</v>
      </c>
      <c r="AE38" s="29">
        <f t="shared" si="34"/>
        <v>193.5</v>
      </c>
      <c r="AF38" s="38">
        <f t="shared" si="35"/>
        <v>0.15</v>
      </c>
      <c r="AG38" s="39">
        <f t="shared" si="36"/>
        <v>169.6158</v>
      </c>
      <c r="AH38" s="40">
        <f t="shared" si="37"/>
        <v>-23.8842</v>
      </c>
      <c r="AI38" s="41">
        <f t="shared" si="38"/>
        <v>-0.01851488372</v>
      </c>
      <c r="AJ38" s="42">
        <f t="shared" si="39"/>
        <v>-0.06032887093</v>
      </c>
      <c r="AK38" s="29">
        <f t="shared" si="40"/>
        <v>1355.168349</v>
      </c>
      <c r="AL38" s="29">
        <f t="shared" si="41"/>
        <v>0</v>
      </c>
    </row>
    <row r="39" ht="28.5" customHeight="1">
      <c r="A39" s="21" t="s">
        <v>79</v>
      </c>
      <c r="B39" s="23"/>
      <c r="C39" s="24"/>
      <c r="D39" s="29">
        <v>208.0</v>
      </c>
      <c r="E39" s="26">
        <v>1330.0</v>
      </c>
      <c r="F39" s="26">
        <v>265.0</v>
      </c>
      <c r="G39" s="26">
        <v>0.0</v>
      </c>
      <c r="H39" s="26">
        <f>(1.25*M39+P39+R39+W39+Y39+Z39)/(1-N39-$H$8-$H$4-(1-I39)*$H$3-$H$11-AA39-AC39)</f>
        <v>1519.049659</v>
      </c>
      <c r="I39" s="28">
        <v>0.45</v>
      </c>
      <c r="J39" s="30">
        <f t="shared" si="22"/>
        <v>835.4773124</v>
      </c>
      <c r="K39" s="31">
        <v>304.77</v>
      </c>
      <c r="L39" s="32">
        <f t="shared" si="23"/>
        <v>60</v>
      </c>
      <c r="M39" s="33">
        <f t="shared" si="24"/>
        <v>364.77</v>
      </c>
      <c r="N39" s="34">
        <v>0.41</v>
      </c>
      <c r="O39" s="29">
        <f t="shared" si="25"/>
        <v>622.8103602</v>
      </c>
      <c r="P39" s="35">
        <v>67.0</v>
      </c>
      <c r="Q39" s="29">
        <f t="shared" si="26"/>
        <v>30.38099318</v>
      </c>
      <c r="R39" s="35">
        <v>25.0</v>
      </c>
      <c r="S39" s="29">
        <f t="shared" si="27"/>
        <v>22.78574488</v>
      </c>
      <c r="T39" s="29">
        <f t="shared" si="28"/>
        <v>58.48341187</v>
      </c>
      <c r="U39" s="36">
        <v>0.9</v>
      </c>
      <c r="V39" s="35">
        <v>67.0</v>
      </c>
      <c r="W39" s="29">
        <f t="shared" si="29"/>
        <v>6.7</v>
      </c>
      <c r="X39" s="37">
        <v>0.4</v>
      </c>
      <c r="Y39" s="29">
        <f t="shared" si="30"/>
        <v>0</v>
      </c>
      <c r="Z39" s="33">
        <f t="shared" si="31"/>
        <v>2.0692</v>
      </c>
      <c r="AA39" s="34">
        <v>0.07</v>
      </c>
      <c r="AB39" s="29">
        <f t="shared" si="32"/>
        <v>106.3334761</v>
      </c>
      <c r="AC39" s="36">
        <v>0.08</v>
      </c>
      <c r="AD39" s="29">
        <f t="shared" si="33"/>
        <v>121.5239727</v>
      </c>
      <c r="AE39" s="29">
        <f t="shared" si="34"/>
        <v>227.8574488</v>
      </c>
      <c r="AF39" s="38">
        <f t="shared" si="35"/>
        <v>0.15</v>
      </c>
      <c r="AG39" s="39">
        <f t="shared" si="36"/>
        <v>319.0499488</v>
      </c>
      <c r="AH39" s="40">
        <f t="shared" si="37"/>
        <v>91.1925</v>
      </c>
      <c r="AI39" s="41">
        <f t="shared" si="38"/>
        <v>0.06003259963</v>
      </c>
      <c r="AJ39" s="42">
        <f t="shared" si="39"/>
        <v>0.25</v>
      </c>
      <c r="AK39" s="29">
        <f t="shared" si="40"/>
        <v>1270.229741</v>
      </c>
      <c r="AL39" s="29">
        <f t="shared" si="41"/>
        <v>0</v>
      </c>
    </row>
    <row r="40" ht="28.5" customHeight="1">
      <c r="A40" s="21" t="s">
        <v>80</v>
      </c>
      <c r="B40" s="23"/>
      <c r="C40" s="24"/>
      <c r="D40" s="29">
        <v>593.0</v>
      </c>
      <c r="E40" s="26"/>
      <c r="F40" s="26"/>
      <c r="G40" s="26"/>
      <c r="H40" s="26"/>
      <c r="I40" s="28"/>
      <c r="J40" s="30"/>
      <c r="K40" s="31"/>
      <c r="L40" s="32"/>
      <c r="M40" s="33"/>
      <c r="N40" s="34"/>
      <c r="O40" s="29"/>
      <c r="P40" s="35"/>
      <c r="Q40" s="29"/>
      <c r="R40" s="35"/>
      <c r="S40" s="29"/>
      <c r="T40" s="29"/>
      <c r="U40" s="36"/>
      <c r="V40" s="35"/>
      <c r="W40" s="29"/>
      <c r="X40" s="37"/>
      <c r="Y40" s="29"/>
      <c r="Z40" s="33"/>
      <c r="AA40" s="34"/>
      <c r="AB40" s="29"/>
      <c r="AC40" s="36"/>
      <c r="AD40" s="29"/>
      <c r="AE40" s="29"/>
      <c r="AF40" s="38"/>
      <c r="AG40" s="39"/>
      <c r="AH40" s="40"/>
      <c r="AI40" s="41"/>
      <c r="AJ40" s="42"/>
      <c r="AK40" s="29"/>
    </row>
    <row r="41" ht="28.5" customHeight="1">
      <c r="A41" s="21" t="s">
        <v>81</v>
      </c>
      <c r="B41" s="23"/>
      <c r="C41" s="24"/>
      <c r="D41" s="29">
        <v>757.0</v>
      </c>
      <c r="E41" s="26"/>
      <c r="F41" s="26"/>
      <c r="G41" s="26"/>
      <c r="H41" s="26"/>
      <c r="I41" s="28"/>
      <c r="J41" s="30"/>
      <c r="K41" s="31"/>
      <c r="L41" s="32"/>
      <c r="M41" s="33"/>
      <c r="N41" s="34"/>
      <c r="O41" s="29"/>
      <c r="P41" s="35"/>
      <c r="Q41" s="29"/>
      <c r="R41" s="35"/>
      <c r="S41" s="29"/>
      <c r="T41" s="29"/>
      <c r="U41" s="36"/>
      <c r="V41" s="35"/>
      <c r="W41" s="29"/>
      <c r="X41" s="37"/>
      <c r="Y41" s="29"/>
      <c r="Z41" s="33"/>
      <c r="AA41" s="34"/>
      <c r="AB41" s="29"/>
      <c r="AC41" s="36"/>
      <c r="AD41" s="29"/>
      <c r="AE41" s="29"/>
      <c r="AF41" s="38"/>
      <c r="AG41" s="39"/>
      <c r="AH41" s="40"/>
      <c r="AI41" s="41"/>
      <c r="AJ41" s="42"/>
      <c r="AK41" s="29"/>
    </row>
    <row r="42" ht="28.5" customHeight="1">
      <c r="A42" s="21" t="s">
        <v>82</v>
      </c>
      <c r="B42" s="23"/>
      <c r="C42" s="24"/>
      <c r="D42" s="29">
        <v>810.0</v>
      </c>
      <c r="E42" s="26"/>
      <c r="F42" s="26"/>
      <c r="G42" s="26"/>
      <c r="H42" s="26"/>
      <c r="I42" s="28"/>
      <c r="J42" s="30"/>
      <c r="K42" s="31"/>
      <c r="L42" s="32"/>
      <c r="M42" s="33"/>
      <c r="N42" s="34"/>
      <c r="O42" s="29"/>
      <c r="P42" s="35"/>
      <c r="Q42" s="29"/>
      <c r="R42" s="35"/>
      <c r="S42" s="29"/>
      <c r="T42" s="29"/>
      <c r="U42" s="36"/>
      <c r="V42" s="35"/>
      <c r="W42" s="29"/>
      <c r="X42" s="37"/>
      <c r="Y42" s="29"/>
      <c r="Z42" s="33"/>
      <c r="AA42" s="34"/>
      <c r="AB42" s="29"/>
      <c r="AC42" s="36"/>
      <c r="AD42" s="29"/>
      <c r="AE42" s="29"/>
      <c r="AF42" s="38"/>
      <c r="AG42" s="39"/>
      <c r="AH42" s="40"/>
      <c r="AI42" s="41"/>
      <c r="AJ42" s="42"/>
      <c r="AK42" s="29"/>
    </row>
    <row r="43" ht="28.5" customHeight="1">
      <c r="A43" s="21" t="s">
        <v>83</v>
      </c>
      <c r="B43" s="23"/>
      <c r="C43" s="24"/>
      <c r="D43" s="29">
        <v>722.0</v>
      </c>
      <c r="E43" s="26"/>
      <c r="F43" s="26"/>
      <c r="G43" s="26"/>
      <c r="H43" s="26">
        <f>(1.25*M43+P43+R43+W43+Y43+Z43)/(1-N43-$H$8-$H$4-(1-I43)*$H$3-$H$11-AA43-AC43)</f>
        <v>1111.421392</v>
      </c>
      <c r="I43" s="28">
        <v>0.45</v>
      </c>
      <c r="J43" s="30">
        <f>H43*(1-I43)</f>
        <v>611.2817653</v>
      </c>
      <c r="K43" s="31">
        <v>189.27</v>
      </c>
      <c r="L43" s="32">
        <f>$H$5</f>
        <v>60</v>
      </c>
      <c r="M43" s="33">
        <f>K43+L43</f>
        <v>249.27</v>
      </c>
      <c r="N43" s="34">
        <v>0.41</v>
      </c>
      <c r="O43" s="29">
        <f>H43*N43</f>
        <v>455.6827705</v>
      </c>
      <c r="P43" s="35">
        <v>63.0</v>
      </c>
      <c r="Q43" s="29">
        <f>H43*$H$8</f>
        <v>22.22842783</v>
      </c>
      <c r="R43" s="35">
        <v>25.0</v>
      </c>
      <c r="S43" s="29">
        <f>H43*$H$4</f>
        <v>16.67132087</v>
      </c>
      <c r="T43" s="29">
        <f>J43*$H$3</f>
        <v>42.78972357</v>
      </c>
      <c r="U43" s="36">
        <v>0.9</v>
      </c>
      <c r="V43" s="35">
        <v>63.0</v>
      </c>
      <c r="W43" s="29">
        <f>V43*(1-U43)</f>
        <v>6.3</v>
      </c>
      <c r="X43" s="37">
        <v>0.28</v>
      </c>
      <c r="Y43" s="29">
        <f>$H$6*$H$7*X43</f>
        <v>0</v>
      </c>
      <c r="Z43" s="33">
        <f>X43*($H$9+$H$10)</f>
        <v>1.44844</v>
      </c>
      <c r="AA43" s="34">
        <v>0.07</v>
      </c>
      <c r="AB43" s="29">
        <f>H43*AA43</f>
        <v>77.79949741</v>
      </c>
      <c r="AC43" s="36">
        <v>0.08</v>
      </c>
      <c r="AD43" s="29">
        <f>H43*AC43</f>
        <v>88.91371132</v>
      </c>
      <c r="AE43" s="29">
        <f>AB43+AD43</f>
        <v>166.7132087</v>
      </c>
      <c r="AF43" s="38">
        <f>AE43/H43</f>
        <v>0.15</v>
      </c>
      <c r="AG43" s="39">
        <f>H43-O43-P43-Q43-R43-S43-T43-W43-Y43-Z43-M43-AL43</f>
        <v>229.0307087</v>
      </c>
      <c r="AH43" s="40">
        <f>AG43-AE43</f>
        <v>62.3175</v>
      </c>
      <c r="AI43" s="41">
        <f>AH43/H43</f>
        <v>0.05607009229</v>
      </c>
      <c r="AJ43" s="42">
        <f>AH43/M43</f>
        <v>0.25</v>
      </c>
      <c r="AK43" s="29">
        <f>(P43+R43+W43+Y43+Z43+M43)/(1-(N43+$H$4+(1-I43)*$H$3+$H$8+$H$11+AA43+AC43))</f>
        <v>941.3872851</v>
      </c>
      <c r="AL43" s="29">
        <f>H43*$H$11</f>
        <v>0</v>
      </c>
    </row>
    <row r="44" ht="14.25" customHeight="1">
      <c r="A44" s="20" t="s">
        <v>85</v>
      </c>
      <c r="B44" s="19"/>
      <c r="C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</row>
    <row r="45" ht="28.5" customHeight="1">
      <c r="A45" s="21" t="s">
        <v>86</v>
      </c>
      <c r="B45" s="52" t="s">
        <v>84</v>
      </c>
      <c r="C45" s="24"/>
      <c r="D45" s="25">
        <v>7910.0</v>
      </c>
      <c r="E45" s="26">
        <v>1730.0</v>
      </c>
      <c r="F45" s="26">
        <v>300.0</v>
      </c>
      <c r="G45" s="26">
        <v>5.0</v>
      </c>
      <c r="H45" s="26">
        <v>1650.0</v>
      </c>
      <c r="I45" s="28">
        <v>0.45</v>
      </c>
      <c r="J45" s="30">
        <f t="shared" ref="J45:J47" si="42">H45*(1-I45)</f>
        <v>907.5</v>
      </c>
      <c r="K45" s="31">
        <v>361.03</v>
      </c>
      <c r="L45" s="32">
        <f t="shared" ref="L45:L47" si="43">$H$5</f>
        <v>60</v>
      </c>
      <c r="M45" s="33">
        <f t="shared" ref="M45:M47" si="44">K45+L45</f>
        <v>421.03</v>
      </c>
      <c r="N45" s="34">
        <v>0.41</v>
      </c>
      <c r="O45" s="29">
        <f t="shared" ref="O45:O47" si="45">H45*N45</f>
        <v>676.5</v>
      </c>
      <c r="P45" s="35">
        <v>67.0</v>
      </c>
      <c r="Q45" s="29">
        <f t="shared" ref="Q45:Q47" si="46">H45*$H$8</f>
        <v>33</v>
      </c>
      <c r="R45" s="35">
        <v>25.0</v>
      </c>
      <c r="S45" s="29">
        <f t="shared" ref="S45:S47" si="47">H45*$H$4</f>
        <v>24.75</v>
      </c>
      <c r="T45" s="29">
        <f t="shared" ref="T45:T47" si="48">J45*$H$3</f>
        <v>63.525</v>
      </c>
      <c r="U45" s="36">
        <v>0.9</v>
      </c>
      <c r="V45" s="35">
        <v>67.0</v>
      </c>
      <c r="W45" s="29">
        <f t="shared" ref="W45:W47" si="49">V45*(1-U45)</f>
        <v>6.7</v>
      </c>
      <c r="X45" s="37">
        <v>0.56</v>
      </c>
      <c r="Y45" s="29">
        <f t="shared" ref="Y45:Y47" si="50">$H$6*$H$7*X45</f>
        <v>0</v>
      </c>
      <c r="Z45" s="33">
        <f t="shared" ref="Z45:Z47" si="51">X45*($H$9+$H$10)</f>
        <v>2.89688</v>
      </c>
      <c r="AA45" s="34">
        <v>0.05</v>
      </c>
      <c r="AB45" s="29">
        <f t="shared" ref="AB45:AB47" si="52">H45*AA45</f>
        <v>82.5</v>
      </c>
      <c r="AC45" s="36">
        <v>0.05</v>
      </c>
      <c r="AD45" s="29">
        <f t="shared" ref="AD45:AD47" si="53">H45*AC45</f>
        <v>82.5</v>
      </c>
      <c r="AE45" s="29">
        <f t="shared" ref="AE45:AE47" si="54">AB45+AD45</f>
        <v>165</v>
      </c>
      <c r="AF45" s="38">
        <f t="shared" ref="AF45:AF47" si="55">AE45/H45</f>
        <v>0.1</v>
      </c>
      <c r="AG45" s="39">
        <f t="shared" ref="AG45:AG47" si="56">H45-O45-P45-Q45-R45-S45-T45-W45-Y45-Z45-M45-AL45</f>
        <v>329.59812</v>
      </c>
      <c r="AH45" s="40">
        <f t="shared" ref="AH45:AH47" si="57">AG45-AE45</f>
        <v>164.59812</v>
      </c>
      <c r="AI45" s="41">
        <f t="shared" ref="AI45:AI47" si="58">AH45/H45</f>
        <v>0.09975643636</v>
      </c>
      <c r="AJ45" s="42">
        <f t="shared" ref="AJ45:AJ47" si="59">AH45/M45</f>
        <v>0.3909415481</v>
      </c>
      <c r="AK45" s="29">
        <f t="shared" ref="AK45:AK47" si="60">(P45+R45+W45+Y45+Z45+M45)/(1-(N45+$H$4+(1-I45)*$H$3+$H$8+$H$11+AA45+AC45))</f>
        <v>1254.806435</v>
      </c>
      <c r="AL45" s="29">
        <f t="shared" ref="AL45:AL47" si="61">H45*$H$11</f>
        <v>0</v>
      </c>
    </row>
    <row r="46" ht="28.5" customHeight="1">
      <c r="A46" s="21" t="s">
        <v>87</v>
      </c>
      <c r="B46" s="23"/>
      <c r="C46" s="24"/>
      <c r="D46" s="29">
        <v>228.0</v>
      </c>
      <c r="E46" s="26">
        <v>1870.0</v>
      </c>
      <c r="F46" s="26">
        <v>230.0</v>
      </c>
      <c r="G46" s="26">
        <v>8.0</v>
      </c>
      <c r="H46" s="26">
        <v>1770.0</v>
      </c>
      <c r="I46" s="28">
        <v>0.45</v>
      </c>
      <c r="J46" s="30">
        <f t="shared" si="42"/>
        <v>973.5</v>
      </c>
      <c r="K46" s="31">
        <v>292.89</v>
      </c>
      <c r="L46" s="32">
        <f t="shared" si="43"/>
        <v>60</v>
      </c>
      <c r="M46" s="33">
        <f t="shared" si="44"/>
        <v>352.89</v>
      </c>
      <c r="N46" s="34">
        <v>0.41</v>
      </c>
      <c r="O46" s="29">
        <f t="shared" si="45"/>
        <v>725.7</v>
      </c>
      <c r="P46" s="35">
        <v>67.0</v>
      </c>
      <c r="Q46" s="29">
        <f t="shared" si="46"/>
        <v>35.4</v>
      </c>
      <c r="R46" s="35">
        <v>25.0</v>
      </c>
      <c r="S46" s="29">
        <f t="shared" si="47"/>
        <v>26.55</v>
      </c>
      <c r="T46" s="29">
        <f t="shared" si="48"/>
        <v>68.145</v>
      </c>
      <c r="U46" s="36">
        <v>0.9</v>
      </c>
      <c r="V46" s="35">
        <v>67.0</v>
      </c>
      <c r="W46" s="29">
        <f t="shared" si="49"/>
        <v>6.7</v>
      </c>
      <c r="X46" s="37">
        <v>0.56</v>
      </c>
      <c r="Y46" s="29">
        <f t="shared" si="50"/>
        <v>0</v>
      </c>
      <c r="Z46" s="33">
        <f t="shared" si="51"/>
        <v>2.89688</v>
      </c>
      <c r="AA46" s="34">
        <v>0.07</v>
      </c>
      <c r="AB46" s="29">
        <f t="shared" si="52"/>
        <v>123.9</v>
      </c>
      <c r="AC46" s="36">
        <v>0.05</v>
      </c>
      <c r="AD46" s="29">
        <f t="shared" si="53"/>
        <v>88.5</v>
      </c>
      <c r="AE46" s="29">
        <f t="shared" si="54"/>
        <v>212.4</v>
      </c>
      <c r="AF46" s="38">
        <f t="shared" si="55"/>
        <v>0.12</v>
      </c>
      <c r="AG46" s="39">
        <f t="shared" si="56"/>
        <v>459.71812</v>
      </c>
      <c r="AH46" s="40">
        <f t="shared" si="57"/>
        <v>247.31812</v>
      </c>
      <c r="AI46" s="41">
        <f t="shared" si="58"/>
        <v>0.1397277514</v>
      </c>
      <c r="AJ46" s="42">
        <f t="shared" si="59"/>
        <v>0.7008362946</v>
      </c>
      <c r="AK46" s="29">
        <f t="shared" si="60"/>
        <v>1146.24686</v>
      </c>
      <c r="AL46" s="29">
        <f t="shared" si="61"/>
        <v>0</v>
      </c>
    </row>
    <row r="47" ht="28.5" customHeight="1">
      <c r="A47" s="21" t="s">
        <v>88</v>
      </c>
      <c r="B47" s="23"/>
      <c r="C47" s="24"/>
      <c r="D47" s="29">
        <v>221.0</v>
      </c>
      <c r="E47" s="26">
        <v>1900.0</v>
      </c>
      <c r="F47" s="26">
        <v>60.0</v>
      </c>
      <c r="G47" s="26">
        <v>10.0</v>
      </c>
      <c r="H47" s="26">
        <v>1835.0</v>
      </c>
      <c r="I47" s="28">
        <v>0.45</v>
      </c>
      <c r="J47" s="30">
        <f t="shared" si="42"/>
        <v>1009.25</v>
      </c>
      <c r="K47" s="31">
        <v>389.99</v>
      </c>
      <c r="L47" s="32">
        <f t="shared" si="43"/>
        <v>60</v>
      </c>
      <c r="M47" s="33">
        <f t="shared" si="44"/>
        <v>449.99</v>
      </c>
      <c r="N47" s="34">
        <v>0.41</v>
      </c>
      <c r="O47" s="29">
        <f t="shared" si="45"/>
        <v>752.35</v>
      </c>
      <c r="P47" s="35">
        <v>72.0</v>
      </c>
      <c r="Q47" s="29">
        <f t="shared" si="46"/>
        <v>36.7</v>
      </c>
      <c r="R47" s="35">
        <v>25.0</v>
      </c>
      <c r="S47" s="29">
        <f t="shared" si="47"/>
        <v>27.525</v>
      </c>
      <c r="T47" s="29">
        <f t="shared" si="48"/>
        <v>70.6475</v>
      </c>
      <c r="U47" s="36">
        <v>0.9</v>
      </c>
      <c r="V47" s="35">
        <v>72.0</v>
      </c>
      <c r="W47" s="29">
        <f t="shared" si="49"/>
        <v>7.2</v>
      </c>
      <c r="X47" s="37">
        <v>1.15</v>
      </c>
      <c r="Y47" s="29">
        <f t="shared" si="50"/>
        <v>0</v>
      </c>
      <c r="Z47" s="33">
        <f t="shared" si="51"/>
        <v>5.94895</v>
      </c>
      <c r="AA47" s="34">
        <v>0.07</v>
      </c>
      <c r="AB47" s="29">
        <f t="shared" si="52"/>
        <v>128.45</v>
      </c>
      <c r="AC47" s="36">
        <v>0.08</v>
      </c>
      <c r="AD47" s="29">
        <f t="shared" si="53"/>
        <v>146.8</v>
      </c>
      <c r="AE47" s="29">
        <f t="shared" si="54"/>
        <v>275.25</v>
      </c>
      <c r="AF47" s="38">
        <f t="shared" si="55"/>
        <v>0.15</v>
      </c>
      <c r="AG47" s="39">
        <f t="shared" si="56"/>
        <v>387.63855</v>
      </c>
      <c r="AH47" s="40">
        <f t="shared" si="57"/>
        <v>112.38855</v>
      </c>
      <c r="AI47" s="41">
        <f t="shared" si="58"/>
        <v>0.06124716621</v>
      </c>
      <c r="AJ47" s="42">
        <f t="shared" si="59"/>
        <v>0.2497578835</v>
      </c>
      <c r="AK47" s="29">
        <f t="shared" si="60"/>
        <v>1528.346385</v>
      </c>
      <c r="AL47" s="29">
        <f t="shared" si="61"/>
        <v>0</v>
      </c>
    </row>
    <row r="48" ht="12.0" customHeight="1">
      <c r="A48" s="20" t="s">
        <v>89</v>
      </c>
      <c r="B48" s="19"/>
      <c r="C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</row>
    <row r="49" ht="28.5" customHeight="1">
      <c r="A49" s="21" t="s">
        <v>90</v>
      </c>
      <c r="B49" s="52" t="s">
        <v>84</v>
      </c>
      <c r="C49" s="24" t="s">
        <v>91</v>
      </c>
      <c r="D49" s="29">
        <v>6611.0</v>
      </c>
      <c r="E49" s="26">
        <v>3850.0</v>
      </c>
      <c r="F49" s="26">
        <v>127.0</v>
      </c>
      <c r="G49" s="26">
        <v>6.0</v>
      </c>
      <c r="H49" s="26">
        <v>3500.0</v>
      </c>
      <c r="I49" s="28">
        <v>0.45</v>
      </c>
      <c r="J49" s="30">
        <f t="shared" ref="J49:J58" si="62">H49*(1-I49)</f>
        <v>1925</v>
      </c>
      <c r="K49" s="31">
        <v>347.76</v>
      </c>
      <c r="L49" s="32">
        <f t="shared" ref="L49:L58" si="63">$H$5</f>
        <v>60</v>
      </c>
      <c r="M49" s="33">
        <f t="shared" ref="M49:M58" si="64">K49+L49</f>
        <v>407.76</v>
      </c>
      <c r="N49" s="34">
        <v>0.41</v>
      </c>
      <c r="O49" s="29">
        <f t="shared" ref="O49:O58" si="65">H49*N49</f>
        <v>1435</v>
      </c>
      <c r="P49" s="35">
        <v>67.0</v>
      </c>
      <c r="Q49" s="29">
        <f t="shared" ref="Q49:Q58" si="66">H49*$H$8</f>
        <v>70</v>
      </c>
      <c r="R49" s="35">
        <v>25.0</v>
      </c>
      <c r="S49" s="29">
        <f t="shared" ref="S49:S58" si="67">H49*$H$4</f>
        <v>52.5</v>
      </c>
      <c r="T49" s="29">
        <f t="shared" ref="T49:T58" si="68">J49*$H$3</f>
        <v>134.75</v>
      </c>
      <c r="U49" s="36">
        <v>0.9</v>
      </c>
      <c r="V49" s="35">
        <v>67.0</v>
      </c>
      <c r="W49" s="29">
        <f t="shared" ref="W49:W58" si="69">V49*(1-U49)</f>
        <v>6.7</v>
      </c>
      <c r="X49" s="37">
        <v>0.832</v>
      </c>
      <c r="Y49" s="29">
        <f t="shared" ref="Y49:Y58" si="70">$H$6*$H$7*X49</f>
        <v>0</v>
      </c>
      <c r="Z49" s="33">
        <f t="shared" ref="Z49:Z58" si="71">X49*($H$9+$H$10)</f>
        <v>4.303936</v>
      </c>
      <c r="AA49" s="34">
        <v>0.07</v>
      </c>
      <c r="AB49" s="29">
        <f t="shared" ref="AB49:AB58" si="72">H49*AA49</f>
        <v>245</v>
      </c>
      <c r="AC49" s="36">
        <v>0.08</v>
      </c>
      <c r="AD49" s="29">
        <f t="shared" ref="AD49:AD58" si="73">H49*AC49</f>
        <v>280</v>
      </c>
      <c r="AE49" s="29">
        <f t="shared" ref="AE49:AE58" si="74">AB49+AD49</f>
        <v>525</v>
      </c>
      <c r="AF49" s="38">
        <f t="shared" ref="AF49:AF58" si="75">AE49/H49</f>
        <v>0.15</v>
      </c>
      <c r="AG49" s="39">
        <f t="shared" ref="AG49:AG58" si="76">H49-O49-P49-Q49-R49-S49-T49-W49-Y49-Z49-M49-AL49</f>
        <v>1296.986064</v>
      </c>
      <c r="AH49" s="40">
        <f t="shared" ref="AH49:AH58" si="77">AG49-AE49</f>
        <v>771.986064</v>
      </c>
      <c r="AI49" s="41">
        <f t="shared" ref="AI49:AI58" si="78">AH49/H49</f>
        <v>0.2205674469</v>
      </c>
      <c r="AJ49" s="42">
        <f t="shared" ref="AJ49:AJ58" si="79">AH49/M49</f>
        <v>1.893236374</v>
      </c>
      <c r="AK49" s="29">
        <f t="shared" ref="AK49:AK58" si="80">(P49+R49+W49+Y49+Z49+M49)/(1-(N49+$H$4+(1-I49)*$H$3+$H$8+$H$11+AA49+AC49))</f>
        <v>1393.626019</v>
      </c>
      <c r="AL49" s="29">
        <f t="shared" ref="AL49:AL58" si="81">H49*$H$11</f>
        <v>0</v>
      </c>
    </row>
    <row r="50" ht="28.5" customHeight="1">
      <c r="A50" s="21" t="s">
        <v>92</v>
      </c>
      <c r="B50" s="52" t="s">
        <v>84</v>
      </c>
      <c r="C50" s="24" t="s">
        <v>91</v>
      </c>
      <c r="D50" s="29">
        <v>3360.0</v>
      </c>
      <c r="E50" s="26">
        <v>2156.0</v>
      </c>
      <c r="F50" s="26">
        <v>46.0</v>
      </c>
      <c r="G50" s="26">
        <v>5.0</v>
      </c>
      <c r="H50" s="26">
        <v>1850.0</v>
      </c>
      <c r="I50" s="28">
        <v>0.45</v>
      </c>
      <c r="J50" s="30">
        <f t="shared" si="62"/>
        <v>1017.5</v>
      </c>
      <c r="K50" s="31">
        <v>396.72</v>
      </c>
      <c r="L50" s="32">
        <f t="shared" si="63"/>
        <v>60</v>
      </c>
      <c r="M50" s="33">
        <f t="shared" si="64"/>
        <v>456.72</v>
      </c>
      <c r="N50" s="34">
        <v>0.41</v>
      </c>
      <c r="O50" s="29">
        <f t="shared" si="65"/>
        <v>758.5</v>
      </c>
      <c r="P50" s="35">
        <v>75.0</v>
      </c>
      <c r="Q50" s="29">
        <f t="shared" si="66"/>
        <v>37</v>
      </c>
      <c r="R50" s="35">
        <v>25.0</v>
      </c>
      <c r="S50" s="29">
        <f t="shared" si="67"/>
        <v>27.75</v>
      </c>
      <c r="T50" s="29">
        <f t="shared" si="68"/>
        <v>71.225</v>
      </c>
      <c r="U50" s="36">
        <v>0.9</v>
      </c>
      <c r="V50" s="35">
        <v>75.0</v>
      </c>
      <c r="W50" s="29">
        <f t="shared" si="69"/>
        <v>7.5</v>
      </c>
      <c r="X50" s="37">
        <v>1.89</v>
      </c>
      <c r="Y50" s="29">
        <f t="shared" si="70"/>
        <v>0</v>
      </c>
      <c r="Z50" s="33">
        <f t="shared" si="71"/>
        <v>9.77697</v>
      </c>
      <c r="AA50" s="34">
        <v>0.07</v>
      </c>
      <c r="AB50" s="29">
        <f t="shared" si="72"/>
        <v>129.5</v>
      </c>
      <c r="AC50" s="36">
        <v>0.08</v>
      </c>
      <c r="AD50" s="29">
        <f t="shared" si="73"/>
        <v>148</v>
      </c>
      <c r="AE50" s="29">
        <f t="shared" si="74"/>
        <v>277.5</v>
      </c>
      <c r="AF50" s="38">
        <f t="shared" si="75"/>
        <v>0.15</v>
      </c>
      <c r="AG50" s="39">
        <f t="shared" si="76"/>
        <v>381.52803</v>
      </c>
      <c r="AH50" s="40">
        <f t="shared" si="77"/>
        <v>104.02803</v>
      </c>
      <c r="AI50" s="41">
        <f t="shared" si="78"/>
        <v>0.05623136757</v>
      </c>
      <c r="AJ50" s="42">
        <f t="shared" si="79"/>
        <v>0.2277720047</v>
      </c>
      <c r="AK50" s="29">
        <f t="shared" si="80"/>
        <v>1566.158172</v>
      </c>
      <c r="AL50" s="29">
        <f t="shared" si="81"/>
        <v>0</v>
      </c>
    </row>
    <row r="51" ht="28.5" customHeight="1">
      <c r="A51" s="21" t="s">
        <v>93</v>
      </c>
      <c r="B51" s="52" t="s">
        <v>84</v>
      </c>
      <c r="C51" s="24" t="s">
        <v>66</v>
      </c>
      <c r="D51" s="29">
        <v>1104.0</v>
      </c>
      <c r="E51" s="26"/>
      <c r="F51" s="26"/>
      <c r="G51" s="26"/>
      <c r="H51" s="26">
        <f>(1.25*M51+P51+R51+W51+Y51+Z51)/(1-N51-$H$8-$H$4-(1-I51)*$H$3-$H$11-AA51-AC51)</f>
        <v>1954.403247</v>
      </c>
      <c r="I51" s="28">
        <v>0.45</v>
      </c>
      <c r="J51" s="30">
        <f t="shared" si="62"/>
        <v>1074.921786</v>
      </c>
      <c r="K51" s="31">
        <v>431.05</v>
      </c>
      <c r="L51" s="32">
        <f t="shared" si="63"/>
        <v>60</v>
      </c>
      <c r="M51" s="33">
        <f t="shared" si="64"/>
        <v>491.05</v>
      </c>
      <c r="N51" s="34">
        <v>0.41</v>
      </c>
      <c r="O51" s="29">
        <f t="shared" si="65"/>
        <v>801.3053312</v>
      </c>
      <c r="P51" s="35">
        <v>67.0</v>
      </c>
      <c r="Q51" s="29">
        <f t="shared" si="66"/>
        <v>39.08806494</v>
      </c>
      <c r="R51" s="35">
        <v>25.0</v>
      </c>
      <c r="S51" s="29">
        <f t="shared" si="67"/>
        <v>29.3160487</v>
      </c>
      <c r="T51" s="29">
        <f t="shared" si="68"/>
        <v>75.24452501</v>
      </c>
      <c r="U51" s="36">
        <v>0.9</v>
      </c>
      <c r="V51" s="35">
        <v>67.0</v>
      </c>
      <c r="W51" s="29">
        <f t="shared" si="69"/>
        <v>6.7</v>
      </c>
      <c r="X51" s="37">
        <v>0.73</v>
      </c>
      <c r="Y51" s="29">
        <f t="shared" si="70"/>
        <v>0</v>
      </c>
      <c r="Z51" s="33">
        <f t="shared" si="71"/>
        <v>3.77629</v>
      </c>
      <c r="AA51" s="34">
        <v>0.07</v>
      </c>
      <c r="AB51" s="29">
        <f t="shared" si="72"/>
        <v>136.8082273</v>
      </c>
      <c r="AC51" s="36">
        <v>0.08</v>
      </c>
      <c r="AD51" s="29">
        <f t="shared" si="73"/>
        <v>156.3522598</v>
      </c>
      <c r="AE51" s="29">
        <f t="shared" si="74"/>
        <v>293.160487</v>
      </c>
      <c r="AF51" s="38">
        <f t="shared" si="75"/>
        <v>0.15</v>
      </c>
      <c r="AG51" s="39">
        <f t="shared" si="76"/>
        <v>415.922987</v>
      </c>
      <c r="AH51" s="40">
        <f t="shared" si="77"/>
        <v>122.7625</v>
      </c>
      <c r="AI51" s="41">
        <f t="shared" si="78"/>
        <v>0.06281329106</v>
      </c>
      <c r="AJ51" s="42">
        <f t="shared" si="79"/>
        <v>0.25</v>
      </c>
      <c r="AK51" s="29">
        <f t="shared" si="80"/>
        <v>1619.444175</v>
      </c>
      <c r="AL51" s="29">
        <f t="shared" si="81"/>
        <v>0</v>
      </c>
    </row>
    <row r="52" ht="28.5" customHeight="1">
      <c r="A52" s="21" t="s">
        <v>94</v>
      </c>
      <c r="B52" s="52" t="s">
        <v>84</v>
      </c>
      <c r="C52" s="24" t="s">
        <v>91</v>
      </c>
      <c r="D52" s="29">
        <v>964.0</v>
      </c>
      <c r="E52" s="26">
        <v>3070.0</v>
      </c>
      <c r="F52" s="26">
        <v>48.0</v>
      </c>
      <c r="G52" s="26">
        <v>6.6</v>
      </c>
      <c r="H52" s="26">
        <v>2900.0</v>
      </c>
      <c r="I52" s="28">
        <v>0.45</v>
      </c>
      <c r="J52" s="30">
        <f t="shared" si="62"/>
        <v>1595</v>
      </c>
      <c r="K52" s="31">
        <v>313.84</v>
      </c>
      <c r="L52" s="32">
        <f t="shared" si="63"/>
        <v>60</v>
      </c>
      <c r="M52" s="33">
        <f t="shared" si="64"/>
        <v>373.84</v>
      </c>
      <c r="N52" s="34">
        <v>0.41</v>
      </c>
      <c r="O52" s="29">
        <f t="shared" si="65"/>
        <v>1189</v>
      </c>
      <c r="P52" s="35">
        <v>67.0</v>
      </c>
      <c r="Q52" s="29">
        <f t="shared" si="66"/>
        <v>58</v>
      </c>
      <c r="R52" s="35">
        <v>25.0</v>
      </c>
      <c r="S52" s="29">
        <f t="shared" si="67"/>
        <v>43.5</v>
      </c>
      <c r="T52" s="29">
        <f t="shared" si="68"/>
        <v>111.65</v>
      </c>
      <c r="U52" s="36">
        <v>0.9</v>
      </c>
      <c r="V52" s="35">
        <v>67.0</v>
      </c>
      <c r="W52" s="29">
        <f t="shared" si="69"/>
        <v>6.7</v>
      </c>
      <c r="X52" s="37">
        <v>0.86</v>
      </c>
      <c r="Y52" s="29">
        <f t="shared" si="70"/>
        <v>0</v>
      </c>
      <c r="Z52" s="33">
        <f t="shared" si="71"/>
        <v>4.44878</v>
      </c>
      <c r="AA52" s="34">
        <v>0.07</v>
      </c>
      <c r="AB52" s="29">
        <f t="shared" si="72"/>
        <v>203</v>
      </c>
      <c r="AC52" s="36">
        <v>0.08</v>
      </c>
      <c r="AD52" s="29">
        <f t="shared" si="73"/>
        <v>232</v>
      </c>
      <c r="AE52" s="29">
        <f t="shared" si="74"/>
        <v>435</v>
      </c>
      <c r="AF52" s="38">
        <f t="shared" si="75"/>
        <v>0.15</v>
      </c>
      <c r="AG52" s="39">
        <f t="shared" si="76"/>
        <v>1020.86122</v>
      </c>
      <c r="AH52" s="40">
        <f t="shared" si="77"/>
        <v>585.86122</v>
      </c>
      <c r="AI52" s="41">
        <f t="shared" si="78"/>
        <v>0.2020211103</v>
      </c>
      <c r="AJ52" s="42">
        <f t="shared" si="79"/>
        <v>1.567144286</v>
      </c>
      <c r="AK52" s="29">
        <f t="shared" si="80"/>
        <v>1301.470068</v>
      </c>
      <c r="AL52" s="29">
        <f t="shared" si="81"/>
        <v>0</v>
      </c>
    </row>
    <row r="53" ht="28.5" customHeight="1">
      <c r="A53" s="21" t="s">
        <v>95</v>
      </c>
      <c r="B53" s="23"/>
      <c r="C53" s="24"/>
      <c r="D53" s="29">
        <v>1021.0</v>
      </c>
      <c r="E53" s="26">
        <v>3820.0</v>
      </c>
      <c r="F53" s="26">
        <v>22.0</v>
      </c>
      <c r="G53" s="26">
        <v>7.0</v>
      </c>
      <c r="H53" s="26">
        <f t="shared" ref="H53:H55" si="82">(1.25*M53+P53+R53+W53+Y53+Z53)/(1-N53-$H$8-$H$4-(1-I53)*$H$3-$H$11-AA53-AC53)</f>
        <v>1817.800218</v>
      </c>
      <c r="I53" s="28">
        <v>0.45</v>
      </c>
      <c r="J53" s="30">
        <f t="shared" si="62"/>
        <v>999.7901201</v>
      </c>
      <c r="K53" s="31">
        <v>390.46</v>
      </c>
      <c r="L53" s="32">
        <f t="shared" si="63"/>
        <v>60</v>
      </c>
      <c r="M53" s="33">
        <f t="shared" si="64"/>
        <v>450.46</v>
      </c>
      <c r="N53" s="34">
        <v>0.41</v>
      </c>
      <c r="O53" s="29">
        <f t="shared" si="65"/>
        <v>745.2980895</v>
      </c>
      <c r="P53" s="35">
        <v>67.0</v>
      </c>
      <c r="Q53" s="29">
        <f t="shared" si="66"/>
        <v>36.35600437</v>
      </c>
      <c r="R53" s="35">
        <v>25.0</v>
      </c>
      <c r="S53" s="29">
        <f t="shared" si="67"/>
        <v>27.26700327</v>
      </c>
      <c r="T53" s="29">
        <f t="shared" si="68"/>
        <v>69.9853084</v>
      </c>
      <c r="U53" s="36">
        <v>0.9</v>
      </c>
      <c r="V53" s="35">
        <v>67.0</v>
      </c>
      <c r="W53" s="29">
        <f t="shared" si="69"/>
        <v>6.7</v>
      </c>
      <c r="X53" s="37">
        <v>0.86</v>
      </c>
      <c r="Y53" s="29">
        <f t="shared" si="70"/>
        <v>0</v>
      </c>
      <c r="Z53" s="33">
        <f t="shared" si="71"/>
        <v>4.44878</v>
      </c>
      <c r="AA53" s="34">
        <v>0.07</v>
      </c>
      <c r="AB53" s="29">
        <f t="shared" si="72"/>
        <v>127.2460153</v>
      </c>
      <c r="AC53" s="36">
        <v>0.08</v>
      </c>
      <c r="AD53" s="29">
        <f t="shared" si="73"/>
        <v>145.4240175</v>
      </c>
      <c r="AE53" s="29">
        <f t="shared" si="74"/>
        <v>272.6700327</v>
      </c>
      <c r="AF53" s="38">
        <f t="shared" si="75"/>
        <v>0.15</v>
      </c>
      <c r="AG53" s="39">
        <f t="shared" si="76"/>
        <v>385.2850327</v>
      </c>
      <c r="AH53" s="40">
        <f t="shared" si="77"/>
        <v>112.615</v>
      </c>
      <c r="AI53" s="41">
        <f t="shared" si="78"/>
        <v>0.06195125233</v>
      </c>
      <c r="AJ53" s="42">
        <f t="shared" si="79"/>
        <v>0.25</v>
      </c>
      <c r="AK53" s="29">
        <f t="shared" si="80"/>
        <v>1510.528731</v>
      </c>
      <c r="AL53" s="29">
        <f t="shared" si="81"/>
        <v>0</v>
      </c>
    </row>
    <row r="54" ht="28.5" customHeight="1">
      <c r="A54" s="21" t="s">
        <v>96</v>
      </c>
      <c r="B54" s="52" t="s">
        <v>84</v>
      </c>
      <c r="C54" s="24"/>
      <c r="D54" s="29">
        <v>2535.0</v>
      </c>
      <c r="E54" s="26">
        <v>2000.0</v>
      </c>
      <c r="F54" s="26">
        <v>23.0</v>
      </c>
      <c r="G54" s="26">
        <v>1.0</v>
      </c>
      <c r="H54" s="26">
        <f t="shared" si="82"/>
        <v>1882.586576</v>
      </c>
      <c r="I54" s="28">
        <v>0.45</v>
      </c>
      <c r="J54" s="30">
        <f t="shared" si="62"/>
        <v>1035.422617</v>
      </c>
      <c r="K54" s="31">
        <v>400.76</v>
      </c>
      <c r="L54" s="32">
        <f t="shared" si="63"/>
        <v>60</v>
      </c>
      <c r="M54" s="33">
        <f t="shared" si="64"/>
        <v>460.76</v>
      </c>
      <c r="N54" s="34">
        <v>0.41</v>
      </c>
      <c r="O54" s="29">
        <f t="shared" si="65"/>
        <v>771.860496</v>
      </c>
      <c r="P54" s="35">
        <v>75.0</v>
      </c>
      <c r="Q54" s="29">
        <f t="shared" si="66"/>
        <v>37.65173151</v>
      </c>
      <c r="R54" s="35">
        <v>25.0</v>
      </c>
      <c r="S54" s="29">
        <f t="shared" si="67"/>
        <v>28.23879864</v>
      </c>
      <c r="T54" s="29">
        <f t="shared" si="68"/>
        <v>72.47958317</v>
      </c>
      <c r="U54" s="36">
        <v>0.9</v>
      </c>
      <c r="V54" s="35">
        <v>75.0</v>
      </c>
      <c r="W54" s="29">
        <f t="shared" si="69"/>
        <v>7.5</v>
      </c>
      <c r="X54" s="37">
        <v>1.26</v>
      </c>
      <c r="Y54" s="29">
        <f t="shared" si="70"/>
        <v>0</v>
      </c>
      <c r="Z54" s="33">
        <f t="shared" si="71"/>
        <v>6.51798</v>
      </c>
      <c r="AA54" s="34">
        <v>0.07</v>
      </c>
      <c r="AB54" s="29">
        <f t="shared" si="72"/>
        <v>131.7810603</v>
      </c>
      <c r="AC54" s="36">
        <v>0.08</v>
      </c>
      <c r="AD54" s="29">
        <f t="shared" si="73"/>
        <v>150.6069261</v>
      </c>
      <c r="AE54" s="29">
        <f t="shared" si="74"/>
        <v>282.3879864</v>
      </c>
      <c r="AF54" s="38">
        <f t="shared" si="75"/>
        <v>0.15</v>
      </c>
      <c r="AG54" s="39">
        <f t="shared" si="76"/>
        <v>397.5779864</v>
      </c>
      <c r="AH54" s="40">
        <f t="shared" si="77"/>
        <v>115.19</v>
      </c>
      <c r="AI54" s="41">
        <f t="shared" si="78"/>
        <v>0.06118709306</v>
      </c>
      <c r="AJ54" s="42">
        <f t="shared" si="79"/>
        <v>0.25</v>
      </c>
      <c r="AK54" s="29">
        <f t="shared" si="80"/>
        <v>1568.289168</v>
      </c>
      <c r="AL54" s="29">
        <f t="shared" si="81"/>
        <v>0</v>
      </c>
    </row>
    <row r="55" ht="28.5" customHeight="1">
      <c r="A55" s="21" t="s">
        <v>97</v>
      </c>
      <c r="B55" s="52" t="s">
        <v>84</v>
      </c>
      <c r="C55" s="24"/>
      <c r="D55" s="29">
        <v>3679.0</v>
      </c>
      <c r="E55" s="26">
        <v>2128.0</v>
      </c>
      <c r="F55" s="26">
        <v>22.0</v>
      </c>
      <c r="G55" s="26">
        <v>7.5</v>
      </c>
      <c r="H55" s="26">
        <f t="shared" si="82"/>
        <v>1868.807585</v>
      </c>
      <c r="I55" s="28">
        <v>0.45</v>
      </c>
      <c r="J55" s="30">
        <f t="shared" si="62"/>
        <v>1027.844172</v>
      </c>
      <c r="K55" s="31">
        <v>396.72</v>
      </c>
      <c r="L55" s="32">
        <f t="shared" si="63"/>
        <v>60</v>
      </c>
      <c r="M55" s="33">
        <f t="shared" si="64"/>
        <v>456.72</v>
      </c>
      <c r="N55" s="34">
        <v>0.41</v>
      </c>
      <c r="O55" s="29">
        <f t="shared" si="65"/>
        <v>766.21111</v>
      </c>
      <c r="P55" s="35">
        <v>75.0</v>
      </c>
      <c r="Q55" s="29">
        <f t="shared" si="66"/>
        <v>37.37615171</v>
      </c>
      <c r="R55" s="35">
        <v>25.0</v>
      </c>
      <c r="S55" s="29">
        <f t="shared" si="67"/>
        <v>28.03211378</v>
      </c>
      <c r="T55" s="29">
        <f t="shared" si="68"/>
        <v>71.94909203</v>
      </c>
      <c r="U55" s="36">
        <v>0.9</v>
      </c>
      <c r="V55" s="35">
        <v>75.0</v>
      </c>
      <c r="W55" s="29">
        <f t="shared" si="69"/>
        <v>7.5</v>
      </c>
      <c r="X55" s="37">
        <v>1.26</v>
      </c>
      <c r="Y55" s="29">
        <f t="shared" si="70"/>
        <v>0</v>
      </c>
      <c r="Z55" s="33">
        <f t="shared" si="71"/>
        <v>6.51798</v>
      </c>
      <c r="AA55" s="34">
        <v>0.07</v>
      </c>
      <c r="AB55" s="29">
        <f t="shared" si="72"/>
        <v>130.816531</v>
      </c>
      <c r="AC55" s="36">
        <v>0.08</v>
      </c>
      <c r="AD55" s="29">
        <f t="shared" si="73"/>
        <v>149.5046068</v>
      </c>
      <c r="AE55" s="29">
        <f t="shared" si="74"/>
        <v>280.3211378</v>
      </c>
      <c r="AF55" s="38">
        <f t="shared" si="75"/>
        <v>0.15</v>
      </c>
      <c r="AG55" s="39">
        <f t="shared" si="76"/>
        <v>394.5011378</v>
      </c>
      <c r="AH55" s="40">
        <f t="shared" si="77"/>
        <v>114.18</v>
      </c>
      <c r="AI55" s="41">
        <f t="shared" si="78"/>
        <v>0.06109778283</v>
      </c>
      <c r="AJ55" s="42">
        <f t="shared" si="79"/>
        <v>0.25</v>
      </c>
      <c r="AK55" s="29">
        <f t="shared" si="80"/>
        <v>1557.265975</v>
      </c>
      <c r="AL55" s="29">
        <f t="shared" si="81"/>
        <v>0</v>
      </c>
    </row>
    <row r="56" ht="28.5" customHeight="1">
      <c r="A56" s="21" t="s">
        <v>98</v>
      </c>
      <c r="B56" s="23"/>
      <c r="C56" s="24"/>
      <c r="D56" s="29">
        <v>484.0</v>
      </c>
      <c r="E56" s="26">
        <v>2145.0</v>
      </c>
      <c r="F56" s="26">
        <v>48.0</v>
      </c>
      <c r="G56" s="26">
        <v>5.0</v>
      </c>
      <c r="H56" s="26">
        <v>1800.0</v>
      </c>
      <c r="I56" s="28">
        <v>0.45</v>
      </c>
      <c r="J56" s="30">
        <f t="shared" si="62"/>
        <v>990</v>
      </c>
      <c r="K56" s="31">
        <v>231.73</v>
      </c>
      <c r="L56" s="32">
        <f t="shared" si="63"/>
        <v>60</v>
      </c>
      <c r="M56" s="33">
        <f t="shared" si="64"/>
        <v>291.73</v>
      </c>
      <c r="N56" s="34">
        <v>0.41</v>
      </c>
      <c r="O56" s="29">
        <f t="shared" si="65"/>
        <v>738</v>
      </c>
      <c r="P56" s="35">
        <v>63.0</v>
      </c>
      <c r="Q56" s="29">
        <f t="shared" si="66"/>
        <v>36</v>
      </c>
      <c r="R56" s="35">
        <v>25.0</v>
      </c>
      <c r="S56" s="29">
        <f t="shared" si="67"/>
        <v>27</v>
      </c>
      <c r="T56" s="29">
        <f t="shared" si="68"/>
        <v>69.3</v>
      </c>
      <c r="U56" s="36">
        <v>0.9</v>
      </c>
      <c r="V56" s="35">
        <v>63.0</v>
      </c>
      <c r="W56" s="29">
        <f t="shared" si="69"/>
        <v>6.3</v>
      </c>
      <c r="X56" s="37">
        <v>0.22</v>
      </c>
      <c r="Y56" s="29">
        <f t="shared" si="70"/>
        <v>0</v>
      </c>
      <c r="Z56" s="33">
        <f t="shared" si="71"/>
        <v>1.13806</v>
      </c>
      <c r="AA56" s="34">
        <v>0.07</v>
      </c>
      <c r="AB56" s="29">
        <f t="shared" si="72"/>
        <v>126</v>
      </c>
      <c r="AC56" s="36">
        <v>0.08</v>
      </c>
      <c r="AD56" s="29">
        <f t="shared" si="73"/>
        <v>144</v>
      </c>
      <c r="AE56" s="29">
        <f t="shared" si="74"/>
        <v>270</v>
      </c>
      <c r="AF56" s="38">
        <f t="shared" si="75"/>
        <v>0.15</v>
      </c>
      <c r="AG56" s="39">
        <f t="shared" si="76"/>
        <v>542.53194</v>
      </c>
      <c r="AH56" s="40">
        <f t="shared" si="77"/>
        <v>272.53194</v>
      </c>
      <c r="AI56" s="41">
        <f t="shared" si="78"/>
        <v>0.1514066333</v>
      </c>
      <c r="AJ56" s="42">
        <f t="shared" si="79"/>
        <v>0.9341923697</v>
      </c>
      <c r="AK56" s="29">
        <f t="shared" si="80"/>
        <v>1056.39307</v>
      </c>
      <c r="AL56" s="29">
        <f t="shared" si="81"/>
        <v>0</v>
      </c>
    </row>
    <row r="57" ht="28.5" customHeight="1">
      <c r="A57" s="21" t="s">
        <v>99</v>
      </c>
      <c r="B57" s="23"/>
      <c r="C57" s="24"/>
      <c r="D57" s="29">
        <v>287.0</v>
      </c>
      <c r="E57" s="26">
        <v>4300.0</v>
      </c>
      <c r="F57" s="26">
        <v>29.0</v>
      </c>
      <c r="G57" s="26">
        <v>7.0</v>
      </c>
      <c r="H57" s="26">
        <f t="shared" ref="H57:H58" si="83">(1.25*M57+P57+R57+W57+Y57+Z57)/(1-N57-$H$8-$H$4-(1-I57)*$H$3-$H$11-AA57-AC57)</f>
        <v>2134.170832</v>
      </c>
      <c r="I57" s="28">
        <v>0.45</v>
      </c>
      <c r="J57" s="30">
        <f t="shared" si="62"/>
        <v>1173.793958</v>
      </c>
      <c r="K57" s="31">
        <v>484.42</v>
      </c>
      <c r="L57" s="32">
        <f t="shared" si="63"/>
        <v>60</v>
      </c>
      <c r="M57" s="33">
        <f t="shared" si="64"/>
        <v>544.42</v>
      </c>
      <c r="N57" s="34">
        <v>0.41</v>
      </c>
      <c r="O57" s="29">
        <f t="shared" si="65"/>
        <v>875.0100412</v>
      </c>
      <c r="P57" s="35">
        <v>67.0</v>
      </c>
      <c r="Q57" s="29">
        <f t="shared" si="66"/>
        <v>42.68341664</v>
      </c>
      <c r="R57" s="35">
        <v>25.0</v>
      </c>
      <c r="S57" s="29">
        <f t="shared" si="67"/>
        <v>32.01256248</v>
      </c>
      <c r="T57" s="29">
        <f t="shared" si="68"/>
        <v>82.16557704</v>
      </c>
      <c r="U57" s="36">
        <v>0.9</v>
      </c>
      <c r="V57" s="35">
        <v>67.0</v>
      </c>
      <c r="W57" s="29">
        <f t="shared" si="69"/>
        <v>6.7</v>
      </c>
      <c r="X57" s="37">
        <v>0.57</v>
      </c>
      <c r="Y57" s="29">
        <f t="shared" si="70"/>
        <v>0</v>
      </c>
      <c r="Z57" s="33">
        <f t="shared" si="71"/>
        <v>2.94861</v>
      </c>
      <c r="AA57" s="34">
        <v>0.07</v>
      </c>
      <c r="AB57" s="29">
        <f t="shared" si="72"/>
        <v>149.3919583</v>
      </c>
      <c r="AC57" s="36">
        <v>0.08</v>
      </c>
      <c r="AD57" s="29">
        <f t="shared" si="73"/>
        <v>170.7336666</v>
      </c>
      <c r="AE57" s="29">
        <f t="shared" si="74"/>
        <v>320.1256248</v>
      </c>
      <c r="AF57" s="38">
        <f t="shared" si="75"/>
        <v>0.15</v>
      </c>
      <c r="AG57" s="39">
        <f t="shared" si="76"/>
        <v>456.2306248</v>
      </c>
      <c r="AH57" s="40">
        <f t="shared" si="77"/>
        <v>136.105</v>
      </c>
      <c r="AI57" s="41">
        <f t="shared" si="78"/>
        <v>0.06377418244</v>
      </c>
      <c r="AJ57" s="42">
        <f t="shared" si="79"/>
        <v>0.25</v>
      </c>
      <c r="AK57" s="29">
        <f t="shared" si="80"/>
        <v>1762.806576</v>
      </c>
      <c r="AL57" s="29">
        <f t="shared" si="81"/>
        <v>0</v>
      </c>
    </row>
    <row r="58" ht="28.5" customHeight="1">
      <c r="A58" s="21" t="s">
        <v>100</v>
      </c>
      <c r="B58" s="23"/>
      <c r="C58" s="24"/>
      <c r="D58" s="29">
        <v>515.0</v>
      </c>
      <c r="E58" s="26">
        <v>1100.0</v>
      </c>
      <c r="F58" s="26">
        <v>163.0</v>
      </c>
      <c r="G58" s="26">
        <v>4.5</v>
      </c>
      <c r="H58" s="26">
        <f t="shared" si="83"/>
        <v>1032.704256</v>
      </c>
      <c r="I58" s="28">
        <v>0.45</v>
      </c>
      <c r="J58" s="30">
        <f t="shared" si="62"/>
        <v>567.9873411</v>
      </c>
      <c r="K58" s="31">
        <v>161.47</v>
      </c>
      <c r="L58" s="32">
        <f t="shared" si="63"/>
        <v>60</v>
      </c>
      <c r="M58" s="33">
        <f t="shared" si="64"/>
        <v>221.47</v>
      </c>
      <c r="N58" s="34">
        <v>0.41</v>
      </c>
      <c r="O58" s="29">
        <f t="shared" si="65"/>
        <v>423.4087452</v>
      </c>
      <c r="P58" s="35">
        <v>67.0</v>
      </c>
      <c r="Q58" s="29">
        <f t="shared" si="66"/>
        <v>20.65408513</v>
      </c>
      <c r="R58" s="35">
        <v>25.0</v>
      </c>
      <c r="S58" s="29">
        <f t="shared" si="67"/>
        <v>15.49056385</v>
      </c>
      <c r="T58" s="29">
        <f t="shared" si="68"/>
        <v>39.75911387</v>
      </c>
      <c r="U58" s="36">
        <v>0.9</v>
      </c>
      <c r="V58" s="35">
        <v>67.0</v>
      </c>
      <c r="W58" s="29">
        <f t="shared" si="69"/>
        <v>6.7</v>
      </c>
      <c r="X58" s="37">
        <v>0.57</v>
      </c>
      <c r="Y58" s="29">
        <f t="shared" si="70"/>
        <v>0</v>
      </c>
      <c r="Z58" s="33">
        <f t="shared" si="71"/>
        <v>2.94861</v>
      </c>
      <c r="AA58" s="34">
        <v>0.07</v>
      </c>
      <c r="AB58" s="29">
        <f t="shared" si="72"/>
        <v>72.28929795</v>
      </c>
      <c r="AC58" s="36">
        <v>0.08</v>
      </c>
      <c r="AD58" s="29">
        <f t="shared" si="73"/>
        <v>82.61634052</v>
      </c>
      <c r="AE58" s="29">
        <f t="shared" si="74"/>
        <v>154.9056385</v>
      </c>
      <c r="AF58" s="38">
        <f t="shared" si="75"/>
        <v>0.15</v>
      </c>
      <c r="AG58" s="39">
        <f t="shared" si="76"/>
        <v>210.2731385</v>
      </c>
      <c r="AH58" s="40">
        <f t="shared" si="77"/>
        <v>55.3675</v>
      </c>
      <c r="AI58" s="41">
        <f t="shared" si="78"/>
        <v>0.05361409102</v>
      </c>
      <c r="AJ58" s="42">
        <f t="shared" si="79"/>
        <v>0.25</v>
      </c>
      <c r="AK58" s="29">
        <f t="shared" si="80"/>
        <v>881.6333151</v>
      </c>
      <c r="AL58" s="29">
        <f t="shared" si="81"/>
        <v>0</v>
      </c>
    </row>
    <row r="59" ht="14.25" customHeight="1">
      <c r="A59" s="20" t="s">
        <v>101</v>
      </c>
      <c r="B59" s="19"/>
      <c r="C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</row>
    <row r="60" ht="28.5" customHeight="1">
      <c r="A60" s="21" t="s">
        <v>102</v>
      </c>
      <c r="B60" s="23"/>
      <c r="C60" s="24"/>
      <c r="D60" s="29">
        <v>1025.0</v>
      </c>
      <c r="E60" s="26">
        <v>2980.0</v>
      </c>
      <c r="F60" s="26">
        <v>100.0</v>
      </c>
      <c r="G60" s="26">
        <v>0.0</v>
      </c>
      <c r="H60" s="26">
        <v>2750.0</v>
      </c>
      <c r="I60" s="28">
        <v>0.45</v>
      </c>
      <c r="J60" s="30">
        <f>H60*(1-I60)</f>
        <v>1512.5</v>
      </c>
      <c r="K60" s="31">
        <v>770.48</v>
      </c>
      <c r="L60" s="32">
        <f>$H$5</f>
        <v>60</v>
      </c>
      <c r="M60" s="33">
        <f>K60+L60</f>
        <v>830.48</v>
      </c>
      <c r="N60" s="34">
        <v>0.41</v>
      </c>
      <c r="O60" s="29">
        <f>H60*N60</f>
        <v>1127.5</v>
      </c>
      <c r="P60" s="35">
        <v>56.0</v>
      </c>
      <c r="Q60" s="29">
        <f>H60*$H$8</f>
        <v>55</v>
      </c>
      <c r="R60" s="35">
        <v>25.0</v>
      </c>
      <c r="S60" s="29">
        <f>H60*$H$4</f>
        <v>41.25</v>
      </c>
      <c r="T60" s="29">
        <f>J60*$H$3</f>
        <v>105.875</v>
      </c>
      <c r="U60" s="36">
        <v>0.9</v>
      </c>
      <c r="V60" s="35">
        <v>56.0</v>
      </c>
      <c r="W60" s="29">
        <f>V60*(1-U60)</f>
        <v>5.6</v>
      </c>
      <c r="X60" s="37">
        <v>0.14</v>
      </c>
      <c r="Y60" s="29">
        <f>$H$6*$H$7*X60</f>
        <v>0</v>
      </c>
      <c r="Z60" s="33">
        <f>X60*($H$9+$H$10)</f>
        <v>0.72422</v>
      </c>
      <c r="AA60" s="34">
        <v>0.05</v>
      </c>
      <c r="AB60" s="29">
        <f>H60*AA60</f>
        <v>137.5</v>
      </c>
      <c r="AC60" s="36">
        <v>0.05</v>
      </c>
      <c r="AD60" s="29">
        <f>H60*AC60</f>
        <v>137.5</v>
      </c>
      <c r="AE60" s="29">
        <f>AB60+AD60</f>
        <v>275</v>
      </c>
      <c r="AF60" s="38">
        <f>AE60/H60</f>
        <v>0.1</v>
      </c>
      <c r="AG60" s="39">
        <f>H60-O60-P60-Q60-R60-S60-T60-W60-Y60-Z60-M60-AL60</f>
        <v>502.57078</v>
      </c>
      <c r="AH60" s="40">
        <f>AG60-AE60</f>
        <v>227.57078</v>
      </c>
      <c r="AI60" s="41">
        <f>AH60/H60</f>
        <v>0.08275301091</v>
      </c>
      <c r="AJ60" s="42">
        <f>AH60/M60</f>
        <v>0.2740231914</v>
      </c>
      <c r="AK60" s="29">
        <f>(P60+R60+W60+Y60+Z60+M60)/(1-(N60+$H$4+(1-I60)*$H$3+$H$8+$H$11+AA60+AC60))</f>
        <v>2203.611573</v>
      </c>
      <c r="AL60" s="29">
        <f>H60*$H$11</f>
        <v>0</v>
      </c>
    </row>
    <row r="61" ht="28.5" customHeight="1">
      <c r="A61" s="44" t="s">
        <v>120</v>
      </c>
      <c r="B61" s="45"/>
      <c r="C61" s="45"/>
      <c r="D61" s="29">
        <v>400.0</v>
      </c>
      <c r="E61" s="29"/>
      <c r="F61" s="29"/>
      <c r="G61" s="29"/>
      <c r="H61" s="29"/>
      <c r="I61" s="46"/>
      <c r="J61" s="30"/>
      <c r="K61" s="32"/>
      <c r="L61" s="32"/>
      <c r="M61" s="33"/>
      <c r="N61" s="47"/>
      <c r="O61" s="29"/>
      <c r="P61" s="29"/>
      <c r="Q61" s="29"/>
      <c r="R61" s="29"/>
      <c r="S61" s="29"/>
      <c r="T61" s="29"/>
      <c r="U61" s="41"/>
      <c r="V61" s="29"/>
      <c r="W61" s="29"/>
      <c r="X61" s="48"/>
      <c r="Y61" s="29"/>
      <c r="Z61" s="33"/>
      <c r="AA61" s="47"/>
      <c r="AB61" s="29"/>
      <c r="AC61" s="41"/>
      <c r="AD61" s="29"/>
      <c r="AE61" s="29"/>
      <c r="AF61" s="38"/>
      <c r="AG61" s="39"/>
      <c r="AH61" s="29"/>
      <c r="AI61" s="41"/>
      <c r="AJ61" s="41"/>
      <c r="AK61" s="29"/>
    </row>
    <row r="62" ht="14.25" customHeight="1">
      <c r="A62" s="20" t="s">
        <v>103</v>
      </c>
      <c r="B62" s="19"/>
      <c r="C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</row>
    <row r="63" ht="28.5" customHeight="1">
      <c r="A63" s="21" t="s">
        <v>104</v>
      </c>
      <c r="B63" s="23"/>
      <c r="C63" s="24"/>
      <c r="D63" s="29">
        <v>7668.0</v>
      </c>
      <c r="E63" s="26">
        <v>980.0</v>
      </c>
      <c r="F63" s="26">
        <v>160.0</v>
      </c>
      <c r="G63" s="26">
        <v>4.5</v>
      </c>
      <c r="H63" s="26">
        <v>880.0</v>
      </c>
      <c r="I63" s="28">
        <v>0.45</v>
      </c>
      <c r="J63" s="30">
        <f t="shared" ref="J63:J65" si="84">H63*(1-I63)</f>
        <v>484</v>
      </c>
      <c r="K63" s="31">
        <v>202.27</v>
      </c>
      <c r="L63" s="32">
        <f t="shared" ref="L63:L65" si="85">$H$5</f>
        <v>60</v>
      </c>
      <c r="M63" s="33">
        <f t="shared" ref="M63:M65" si="86">K63+L63</f>
        <v>262.27</v>
      </c>
      <c r="N63" s="34">
        <v>0.41</v>
      </c>
      <c r="O63" s="29">
        <f t="shared" ref="O63:O65" si="87">H63*N63</f>
        <v>360.8</v>
      </c>
      <c r="P63" s="35">
        <v>67.0</v>
      </c>
      <c r="Q63" s="29">
        <f t="shared" ref="Q63:Q65" si="88">H63*$H$8</f>
        <v>17.6</v>
      </c>
      <c r="R63" s="35">
        <v>25.0</v>
      </c>
      <c r="S63" s="29">
        <f t="shared" ref="S63:S65" si="89">H63*$H$4</f>
        <v>13.2</v>
      </c>
      <c r="T63" s="29">
        <f t="shared" ref="T63:T65" si="90">J63*$H$3</f>
        <v>33.88</v>
      </c>
      <c r="U63" s="36">
        <v>0.9</v>
      </c>
      <c r="V63" s="35">
        <v>67.0</v>
      </c>
      <c r="W63" s="29">
        <f t="shared" ref="W63:W65" si="91">V63*(1-U63)</f>
        <v>6.7</v>
      </c>
      <c r="X63" s="37">
        <v>0.42</v>
      </c>
      <c r="Y63" s="29">
        <f t="shared" ref="Y63:Y65" si="92">$H$6*$H$7*X63</f>
        <v>0</v>
      </c>
      <c r="Z63" s="33">
        <f t="shared" ref="Z63:Z65" si="93">X63*($H$9+$H$10)</f>
        <v>2.17266</v>
      </c>
      <c r="AA63" s="34">
        <v>0.07</v>
      </c>
      <c r="AB63" s="29">
        <f t="shared" ref="AB63:AB65" si="94">H63*AA63</f>
        <v>61.6</v>
      </c>
      <c r="AC63" s="36">
        <v>0.08</v>
      </c>
      <c r="AD63" s="29">
        <f t="shared" ref="AD63:AD65" si="95">H63*AC63</f>
        <v>70.4</v>
      </c>
      <c r="AE63" s="29">
        <f t="shared" ref="AE63:AE65" si="96">AB63+AD63</f>
        <v>132</v>
      </c>
      <c r="AF63" s="38">
        <f t="shared" ref="AF63:AF65" si="97">AE63/H63</f>
        <v>0.15</v>
      </c>
      <c r="AG63" s="39">
        <f t="shared" ref="AG63:AG65" si="98">H63-O63-P63-Q63-R63-S63-T63-W63-Y63-Z63-M63-AL63</f>
        <v>91.37734</v>
      </c>
      <c r="AH63" s="53">
        <f t="shared" ref="AH63:AH65" si="99">AG63-AE63</f>
        <v>-40.62266</v>
      </c>
      <c r="AI63" s="54">
        <f t="shared" ref="AI63:AI65" si="100">AH63/H63</f>
        <v>-0.04616211364</v>
      </c>
      <c r="AJ63" s="55">
        <f t="shared" ref="AJ63:AJ65" si="101">AH63/M63</f>
        <v>-0.1548887025</v>
      </c>
      <c r="AK63" s="29">
        <f t="shared" ref="AK63:AK65" si="102">(P63+R63+W63+Y63+Z63+M63)/(1-(N63+$H$4+(1-I63)*$H$3+$H$8+$H$11+AA63+AC63))</f>
        <v>990.8394543</v>
      </c>
      <c r="AL63" s="29">
        <f t="shared" ref="AL63:AL65" si="103">H63*$H$11</f>
        <v>0</v>
      </c>
    </row>
    <row r="64" ht="28.5" customHeight="1">
      <c r="A64" s="21" t="s">
        <v>105</v>
      </c>
      <c r="B64" s="23"/>
      <c r="C64" s="24"/>
      <c r="D64" s="29">
        <v>1241.0</v>
      </c>
      <c r="E64" s="26">
        <v>1030.0</v>
      </c>
      <c r="F64" s="26">
        <v>153.0</v>
      </c>
      <c r="G64" s="26">
        <v>5.0</v>
      </c>
      <c r="H64" s="26">
        <v>930.0</v>
      </c>
      <c r="I64" s="28">
        <v>0.45</v>
      </c>
      <c r="J64" s="30">
        <f t="shared" si="84"/>
        <v>511.5</v>
      </c>
      <c r="K64" s="31">
        <v>185.86</v>
      </c>
      <c r="L64" s="32">
        <f t="shared" si="85"/>
        <v>60</v>
      </c>
      <c r="M64" s="33">
        <f t="shared" si="86"/>
        <v>245.86</v>
      </c>
      <c r="N64" s="34">
        <v>0.41</v>
      </c>
      <c r="O64" s="29">
        <f t="shared" si="87"/>
        <v>381.3</v>
      </c>
      <c r="P64" s="35">
        <v>67.0</v>
      </c>
      <c r="Q64" s="29">
        <f t="shared" si="88"/>
        <v>18.6</v>
      </c>
      <c r="R64" s="35">
        <v>25.0</v>
      </c>
      <c r="S64" s="29">
        <f t="shared" si="89"/>
        <v>13.95</v>
      </c>
      <c r="T64" s="29">
        <f t="shared" si="90"/>
        <v>35.805</v>
      </c>
      <c r="U64" s="36">
        <v>0.9</v>
      </c>
      <c r="V64" s="35">
        <v>67.0</v>
      </c>
      <c r="W64" s="29">
        <f t="shared" si="91"/>
        <v>6.7</v>
      </c>
      <c r="X64" s="37">
        <v>0.57</v>
      </c>
      <c r="Y64" s="29">
        <f t="shared" si="92"/>
        <v>0</v>
      </c>
      <c r="Z64" s="33">
        <f t="shared" si="93"/>
        <v>2.94861</v>
      </c>
      <c r="AA64" s="34">
        <v>0.07</v>
      </c>
      <c r="AB64" s="29">
        <f t="shared" si="94"/>
        <v>65.1</v>
      </c>
      <c r="AC64" s="36">
        <v>0.08</v>
      </c>
      <c r="AD64" s="29">
        <f t="shared" si="95"/>
        <v>74.4</v>
      </c>
      <c r="AE64" s="29">
        <f t="shared" si="96"/>
        <v>139.5</v>
      </c>
      <c r="AF64" s="38">
        <f t="shared" si="97"/>
        <v>0.15</v>
      </c>
      <c r="AG64" s="39">
        <f t="shared" si="98"/>
        <v>132.83639</v>
      </c>
      <c r="AH64" s="53">
        <f t="shared" si="99"/>
        <v>-6.66361</v>
      </c>
      <c r="AI64" s="54">
        <f t="shared" si="100"/>
        <v>-0.007165172043</v>
      </c>
      <c r="AJ64" s="55">
        <f t="shared" si="101"/>
        <v>-0.02710327015</v>
      </c>
      <c r="AK64" s="29">
        <f t="shared" si="102"/>
        <v>948.1817462</v>
      </c>
      <c r="AL64" s="29">
        <f t="shared" si="103"/>
        <v>0</v>
      </c>
    </row>
    <row r="65" ht="28.5" customHeight="1">
      <c r="A65" s="21" t="s">
        <v>106</v>
      </c>
      <c r="B65" s="23"/>
      <c r="C65" s="24"/>
      <c r="D65" s="29">
        <v>1814.0</v>
      </c>
      <c r="E65" s="26">
        <v>1040.0</v>
      </c>
      <c r="F65" s="26">
        <v>49.0</v>
      </c>
      <c r="G65" s="26">
        <v>4.0</v>
      </c>
      <c r="H65" s="26">
        <v>960.0</v>
      </c>
      <c r="I65" s="28">
        <v>0.45</v>
      </c>
      <c r="J65" s="30">
        <f t="shared" si="84"/>
        <v>528</v>
      </c>
      <c r="K65" s="31">
        <v>202.27</v>
      </c>
      <c r="L65" s="32">
        <f t="shared" si="85"/>
        <v>60</v>
      </c>
      <c r="M65" s="33">
        <f t="shared" si="86"/>
        <v>262.27</v>
      </c>
      <c r="N65" s="34">
        <v>0.41</v>
      </c>
      <c r="O65" s="29">
        <f t="shared" si="87"/>
        <v>393.6</v>
      </c>
      <c r="P65" s="35">
        <v>67.0</v>
      </c>
      <c r="Q65" s="29">
        <f t="shared" si="88"/>
        <v>19.2</v>
      </c>
      <c r="R65" s="35">
        <v>25.0</v>
      </c>
      <c r="S65" s="29">
        <f t="shared" si="89"/>
        <v>14.4</v>
      </c>
      <c r="T65" s="29">
        <f t="shared" si="90"/>
        <v>36.96</v>
      </c>
      <c r="U65" s="36">
        <v>0.9</v>
      </c>
      <c r="V65" s="35">
        <v>67.0</v>
      </c>
      <c r="W65" s="29">
        <f t="shared" si="91"/>
        <v>6.7</v>
      </c>
      <c r="X65" s="37">
        <v>0.42</v>
      </c>
      <c r="Y65" s="29">
        <f t="shared" si="92"/>
        <v>0</v>
      </c>
      <c r="Z65" s="33">
        <f t="shared" si="93"/>
        <v>2.17266</v>
      </c>
      <c r="AA65" s="34">
        <v>0.07</v>
      </c>
      <c r="AB65" s="29">
        <f t="shared" si="94"/>
        <v>67.2</v>
      </c>
      <c r="AC65" s="36">
        <v>0.08</v>
      </c>
      <c r="AD65" s="29">
        <f t="shared" si="95"/>
        <v>76.8</v>
      </c>
      <c r="AE65" s="29">
        <f t="shared" si="96"/>
        <v>144</v>
      </c>
      <c r="AF65" s="38">
        <f t="shared" si="97"/>
        <v>0.15</v>
      </c>
      <c r="AG65" s="39">
        <f t="shared" si="98"/>
        <v>132.69734</v>
      </c>
      <c r="AH65" s="53">
        <f t="shared" si="99"/>
        <v>-11.30266</v>
      </c>
      <c r="AI65" s="54">
        <f t="shared" si="100"/>
        <v>-0.01177360417</v>
      </c>
      <c r="AJ65" s="55">
        <f t="shared" si="101"/>
        <v>-0.04309551226</v>
      </c>
      <c r="AK65" s="29">
        <f t="shared" si="102"/>
        <v>990.8394543</v>
      </c>
      <c r="AL65" s="29">
        <f t="shared" si="103"/>
        <v>0</v>
      </c>
    </row>
    <row r="66" ht="14.25" customHeight="1">
      <c r="A66" s="20" t="s">
        <v>107</v>
      </c>
      <c r="B66" s="19"/>
      <c r="C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</row>
    <row r="67" ht="14.25" customHeight="1">
      <c r="A67" s="44" t="s">
        <v>108</v>
      </c>
      <c r="B67" s="45"/>
      <c r="C67" s="45"/>
      <c r="D67" s="29">
        <v>1350.0</v>
      </c>
      <c r="E67" s="29"/>
      <c r="F67" s="29"/>
      <c r="G67" s="29"/>
      <c r="H67" s="29"/>
      <c r="I67" s="46"/>
      <c r="J67" s="30"/>
      <c r="K67" s="32"/>
      <c r="L67" s="32"/>
      <c r="M67" s="33"/>
      <c r="N67" s="47"/>
      <c r="O67" s="29"/>
      <c r="P67" s="29"/>
      <c r="Q67" s="29"/>
      <c r="R67" s="29"/>
      <c r="S67" s="29"/>
      <c r="T67" s="29"/>
      <c r="U67" s="41"/>
      <c r="V67" s="29"/>
      <c r="W67" s="29"/>
      <c r="X67" s="48"/>
      <c r="Y67" s="29"/>
      <c r="Z67" s="33"/>
      <c r="AA67" s="47"/>
      <c r="AB67" s="29"/>
      <c r="AC67" s="41"/>
      <c r="AD67" s="29"/>
      <c r="AE67" s="29"/>
      <c r="AF67" s="38"/>
      <c r="AG67" s="39"/>
      <c r="AH67" s="29"/>
      <c r="AI67" s="41"/>
      <c r="AJ67" s="41"/>
      <c r="AK67" s="29"/>
    </row>
    <row r="68" ht="14.25" customHeight="1">
      <c r="A68" s="20" t="s">
        <v>109</v>
      </c>
      <c r="B68" s="19"/>
      <c r="C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</row>
    <row r="69" ht="28.5" customHeight="1">
      <c r="A69" s="21" t="s">
        <v>110</v>
      </c>
      <c r="B69" s="23"/>
      <c r="C69" s="24"/>
      <c r="D69" s="29">
        <v>1296.0</v>
      </c>
      <c r="E69" s="26">
        <v>1140.0</v>
      </c>
      <c r="F69" s="26">
        <v>131.0</v>
      </c>
      <c r="G69" s="26">
        <v>0.0</v>
      </c>
      <c r="H69" s="26">
        <v>960.0</v>
      </c>
      <c r="I69" s="28">
        <v>0.45</v>
      </c>
      <c r="J69" s="30">
        <f t="shared" ref="J69:J72" si="104">H69*(1-I69)</f>
        <v>528</v>
      </c>
      <c r="K69" s="31">
        <v>265.36</v>
      </c>
      <c r="L69" s="32">
        <f t="shared" ref="L69:L72" si="105">$H$5</f>
        <v>60</v>
      </c>
      <c r="M69" s="33">
        <f t="shared" ref="M69:M72" si="106">K69+L69</f>
        <v>325.36</v>
      </c>
      <c r="N69" s="34">
        <v>0.41</v>
      </c>
      <c r="O69" s="29">
        <f t="shared" ref="O69:O72" si="107">H69*N69</f>
        <v>393.6</v>
      </c>
      <c r="P69" s="35">
        <v>67.0</v>
      </c>
      <c r="Q69" s="29">
        <f t="shared" ref="Q69:Q72" si="108">H69*$H$8</f>
        <v>19.2</v>
      </c>
      <c r="R69" s="35">
        <v>25.0</v>
      </c>
      <c r="S69" s="29">
        <f t="shared" ref="S69:S72" si="109">H69*$H$4</f>
        <v>14.4</v>
      </c>
      <c r="T69" s="29">
        <f t="shared" ref="T69:T72" si="110">J69*$H$3</f>
        <v>36.96</v>
      </c>
      <c r="U69" s="36">
        <v>0.9</v>
      </c>
      <c r="V69" s="35">
        <v>67.0</v>
      </c>
      <c r="W69" s="29">
        <f t="shared" ref="W69:W72" si="111">V69*(1-U69)</f>
        <v>6.7</v>
      </c>
      <c r="X69" s="37">
        <v>0.93</v>
      </c>
      <c r="Y69" s="29">
        <f t="shared" ref="Y69:Y72" si="112">$H$6*$H$7*X69</f>
        <v>0</v>
      </c>
      <c r="Z69" s="33">
        <f t="shared" ref="Z69:Z72" si="113">X69*($H$9+$H$10)</f>
        <v>4.81089</v>
      </c>
      <c r="AA69" s="34">
        <v>0.07</v>
      </c>
      <c r="AB69" s="29">
        <f t="shared" ref="AB69:AB72" si="114">H69*AA69</f>
        <v>67.2</v>
      </c>
      <c r="AC69" s="36">
        <v>0.08</v>
      </c>
      <c r="AD69" s="29">
        <f t="shared" ref="AD69:AD72" si="115">H69*AC69</f>
        <v>76.8</v>
      </c>
      <c r="AE69" s="29">
        <f t="shared" ref="AE69:AE72" si="116">AB69+AD69</f>
        <v>144</v>
      </c>
      <c r="AF69" s="38">
        <f t="shared" ref="AF69:AF72" si="117">AE69/H69</f>
        <v>0.15</v>
      </c>
      <c r="AG69" s="39">
        <f t="shared" ref="AG69:AG72" si="118">H69-O69-P69-Q69-R69-S69-T69-W69-Y69-Z69-M69-AL69</f>
        <v>66.96911</v>
      </c>
      <c r="AH69" s="53">
        <f t="shared" ref="AH69:AH72" si="119">AG69-AE69</f>
        <v>-77.03089</v>
      </c>
      <c r="AI69" s="54">
        <f t="shared" ref="AI69:AI72" si="120">AH69/H69</f>
        <v>-0.08024051042</v>
      </c>
      <c r="AJ69" s="55">
        <f t="shared" ref="AJ69:AJ72" si="121">AH69/M69</f>
        <v>-0.2367558704</v>
      </c>
      <c r="AK69" s="29">
        <f t="shared" ref="AK69:AK72" si="122">(P69+R69+W69+Y69+Z69+M69)/(1-(N69+$H$4+(1-I69)*$H$3+$H$8+$H$11+AA69+AC69))</f>
        <v>1170.179782</v>
      </c>
      <c r="AL69" s="29">
        <f t="shared" ref="AL69:AL72" si="123">H69*$H$11</f>
        <v>0</v>
      </c>
    </row>
    <row r="70" ht="28.5" customHeight="1">
      <c r="A70" s="21" t="s">
        <v>111</v>
      </c>
      <c r="B70" s="23"/>
      <c r="C70" s="24"/>
      <c r="D70" s="29">
        <v>1468.0</v>
      </c>
      <c r="E70" s="26">
        <v>1140.0</v>
      </c>
      <c r="F70" s="26">
        <v>191.0</v>
      </c>
      <c r="G70" s="26">
        <v>0.0</v>
      </c>
      <c r="H70" s="26">
        <v>960.0</v>
      </c>
      <c r="I70" s="28">
        <v>0.45</v>
      </c>
      <c r="J70" s="30">
        <f t="shared" si="104"/>
        <v>528</v>
      </c>
      <c r="K70" s="31">
        <v>265.36</v>
      </c>
      <c r="L70" s="32">
        <f t="shared" si="105"/>
        <v>60</v>
      </c>
      <c r="M70" s="33">
        <f t="shared" si="106"/>
        <v>325.36</v>
      </c>
      <c r="N70" s="34">
        <v>0.41</v>
      </c>
      <c r="O70" s="29">
        <f t="shared" si="107"/>
        <v>393.6</v>
      </c>
      <c r="P70" s="35">
        <v>67.0</v>
      </c>
      <c r="Q70" s="29">
        <f t="shared" si="108"/>
        <v>19.2</v>
      </c>
      <c r="R70" s="35">
        <v>25.0</v>
      </c>
      <c r="S70" s="29">
        <f t="shared" si="109"/>
        <v>14.4</v>
      </c>
      <c r="T70" s="29">
        <f t="shared" si="110"/>
        <v>36.96</v>
      </c>
      <c r="U70" s="36">
        <v>0.9</v>
      </c>
      <c r="V70" s="35">
        <v>67.0</v>
      </c>
      <c r="W70" s="29">
        <f t="shared" si="111"/>
        <v>6.7</v>
      </c>
      <c r="X70" s="37">
        <v>0.93</v>
      </c>
      <c r="Y70" s="29">
        <f t="shared" si="112"/>
        <v>0</v>
      </c>
      <c r="Z70" s="33">
        <f t="shared" si="113"/>
        <v>4.81089</v>
      </c>
      <c r="AA70" s="34">
        <v>0.07</v>
      </c>
      <c r="AB70" s="29">
        <f t="shared" si="114"/>
        <v>67.2</v>
      </c>
      <c r="AC70" s="36">
        <v>0.08</v>
      </c>
      <c r="AD70" s="29">
        <f t="shared" si="115"/>
        <v>76.8</v>
      </c>
      <c r="AE70" s="29">
        <f t="shared" si="116"/>
        <v>144</v>
      </c>
      <c r="AF70" s="38">
        <f t="shared" si="117"/>
        <v>0.15</v>
      </c>
      <c r="AG70" s="39">
        <f t="shared" si="118"/>
        <v>66.96911</v>
      </c>
      <c r="AH70" s="53">
        <f t="shared" si="119"/>
        <v>-77.03089</v>
      </c>
      <c r="AI70" s="54">
        <f t="shared" si="120"/>
        <v>-0.08024051042</v>
      </c>
      <c r="AJ70" s="55">
        <f t="shared" si="121"/>
        <v>-0.2367558704</v>
      </c>
      <c r="AK70" s="29">
        <f t="shared" si="122"/>
        <v>1170.179782</v>
      </c>
      <c r="AL70" s="29">
        <f t="shared" si="123"/>
        <v>0</v>
      </c>
    </row>
    <row r="71" ht="28.5" customHeight="1">
      <c r="A71" s="21" t="s">
        <v>112</v>
      </c>
      <c r="B71" s="23"/>
      <c r="C71" s="24"/>
      <c r="D71" s="29">
        <v>424.0</v>
      </c>
      <c r="E71" s="26">
        <v>975.0</v>
      </c>
      <c r="F71" s="26">
        <v>77.0</v>
      </c>
      <c r="G71" s="26">
        <v>0.0</v>
      </c>
      <c r="H71" s="26">
        <v>900.0</v>
      </c>
      <c r="I71" s="28">
        <v>0.45</v>
      </c>
      <c r="J71" s="30">
        <f t="shared" si="104"/>
        <v>495</v>
      </c>
      <c r="K71" s="31">
        <v>265.36</v>
      </c>
      <c r="L71" s="32">
        <f t="shared" si="105"/>
        <v>60</v>
      </c>
      <c r="M71" s="33">
        <f t="shared" si="106"/>
        <v>325.36</v>
      </c>
      <c r="N71" s="34">
        <v>0.41</v>
      </c>
      <c r="O71" s="29">
        <f t="shared" si="107"/>
        <v>369</v>
      </c>
      <c r="P71" s="35">
        <v>67.0</v>
      </c>
      <c r="Q71" s="29">
        <f t="shared" si="108"/>
        <v>18</v>
      </c>
      <c r="R71" s="35">
        <v>25.0</v>
      </c>
      <c r="S71" s="29">
        <f t="shared" si="109"/>
        <v>13.5</v>
      </c>
      <c r="T71" s="29">
        <f t="shared" si="110"/>
        <v>34.65</v>
      </c>
      <c r="U71" s="36">
        <v>0.9</v>
      </c>
      <c r="V71" s="35">
        <v>67.0</v>
      </c>
      <c r="W71" s="29">
        <f t="shared" si="111"/>
        <v>6.7</v>
      </c>
      <c r="X71" s="37">
        <v>0.93</v>
      </c>
      <c r="Y71" s="29">
        <f t="shared" si="112"/>
        <v>0</v>
      </c>
      <c r="Z71" s="33">
        <f t="shared" si="113"/>
        <v>4.81089</v>
      </c>
      <c r="AA71" s="34">
        <v>0.07</v>
      </c>
      <c r="AB71" s="29">
        <f t="shared" si="114"/>
        <v>63</v>
      </c>
      <c r="AC71" s="36">
        <v>0.08</v>
      </c>
      <c r="AD71" s="29">
        <f t="shared" si="115"/>
        <v>72</v>
      </c>
      <c r="AE71" s="29">
        <f t="shared" si="116"/>
        <v>135</v>
      </c>
      <c r="AF71" s="38">
        <f t="shared" si="117"/>
        <v>0.15</v>
      </c>
      <c r="AG71" s="39">
        <f t="shared" si="118"/>
        <v>35.97911</v>
      </c>
      <c r="AH71" s="53">
        <f t="shared" si="119"/>
        <v>-99.02089</v>
      </c>
      <c r="AI71" s="54">
        <f t="shared" si="120"/>
        <v>-0.1100232111</v>
      </c>
      <c r="AJ71" s="55">
        <f t="shared" si="121"/>
        <v>-0.3043425436</v>
      </c>
      <c r="AK71" s="29">
        <f t="shared" si="122"/>
        <v>1170.179782</v>
      </c>
      <c r="AL71" s="29">
        <f t="shared" si="123"/>
        <v>0</v>
      </c>
    </row>
    <row r="72" ht="28.5" customHeight="1">
      <c r="A72" s="21" t="s">
        <v>113</v>
      </c>
      <c r="B72" s="23"/>
      <c r="C72" s="24"/>
      <c r="D72" s="29">
        <v>356.0</v>
      </c>
      <c r="E72" s="26">
        <v>1100.0</v>
      </c>
      <c r="F72" s="26">
        <v>169.0</v>
      </c>
      <c r="G72" s="26">
        <v>8.0</v>
      </c>
      <c r="H72" s="26">
        <v>1000.0</v>
      </c>
      <c r="I72" s="28">
        <v>0.45</v>
      </c>
      <c r="J72" s="30">
        <f t="shared" si="104"/>
        <v>550</v>
      </c>
      <c r="K72" s="31">
        <v>265.36</v>
      </c>
      <c r="L72" s="32">
        <f t="shared" si="105"/>
        <v>60</v>
      </c>
      <c r="M72" s="33">
        <f t="shared" si="106"/>
        <v>325.36</v>
      </c>
      <c r="N72" s="34">
        <v>0.41</v>
      </c>
      <c r="O72" s="29">
        <f t="shared" si="107"/>
        <v>410</v>
      </c>
      <c r="P72" s="35">
        <v>67.0</v>
      </c>
      <c r="Q72" s="29">
        <f t="shared" si="108"/>
        <v>20</v>
      </c>
      <c r="R72" s="35">
        <v>25.0</v>
      </c>
      <c r="S72" s="29">
        <f t="shared" si="109"/>
        <v>15</v>
      </c>
      <c r="T72" s="29">
        <f t="shared" si="110"/>
        <v>38.5</v>
      </c>
      <c r="U72" s="36">
        <v>0.9</v>
      </c>
      <c r="V72" s="35">
        <v>67.0</v>
      </c>
      <c r="W72" s="29">
        <f t="shared" si="111"/>
        <v>6.7</v>
      </c>
      <c r="X72" s="37">
        <v>0.93</v>
      </c>
      <c r="Y72" s="29">
        <f t="shared" si="112"/>
        <v>0</v>
      </c>
      <c r="Z72" s="33">
        <f t="shared" si="113"/>
        <v>4.81089</v>
      </c>
      <c r="AA72" s="34">
        <v>0.07</v>
      </c>
      <c r="AB72" s="29">
        <f t="shared" si="114"/>
        <v>70</v>
      </c>
      <c r="AC72" s="36">
        <v>0.08</v>
      </c>
      <c r="AD72" s="29">
        <f t="shared" si="115"/>
        <v>80</v>
      </c>
      <c r="AE72" s="29">
        <f t="shared" si="116"/>
        <v>150</v>
      </c>
      <c r="AF72" s="38">
        <f t="shared" si="117"/>
        <v>0.15</v>
      </c>
      <c r="AG72" s="39">
        <f t="shared" si="118"/>
        <v>87.62911</v>
      </c>
      <c r="AH72" s="53">
        <f t="shared" si="119"/>
        <v>-62.37089</v>
      </c>
      <c r="AI72" s="54">
        <f t="shared" si="120"/>
        <v>-0.06237089</v>
      </c>
      <c r="AJ72" s="55">
        <f t="shared" si="121"/>
        <v>-0.1916980883</v>
      </c>
      <c r="AK72" s="29">
        <f t="shared" si="122"/>
        <v>1170.179782</v>
      </c>
      <c r="AL72" s="29">
        <f t="shared" si="123"/>
        <v>0</v>
      </c>
    </row>
    <row r="73" ht="14.25" customHeight="1">
      <c r="A73" s="20" t="s">
        <v>114</v>
      </c>
      <c r="B73" s="19"/>
      <c r="C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</row>
    <row r="74" ht="28.5" customHeight="1">
      <c r="A74" s="21" t="s">
        <v>115</v>
      </c>
      <c r="B74" s="23"/>
      <c r="C74" s="24"/>
      <c r="D74" s="29">
        <v>1039.0</v>
      </c>
      <c r="E74" s="26">
        <v>2340.0</v>
      </c>
      <c r="F74" s="26" t="s">
        <v>116</v>
      </c>
      <c r="G74" s="26">
        <v>4.0</v>
      </c>
      <c r="H74" s="26">
        <v>2086.0</v>
      </c>
      <c r="I74" s="28">
        <v>0.45</v>
      </c>
      <c r="J74" s="30">
        <f>H74*(1-I74)</f>
        <v>1147.3</v>
      </c>
      <c r="K74" s="31">
        <v>463.2</v>
      </c>
      <c r="L74" s="32">
        <f>$H$5</f>
        <v>60</v>
      </c>
      <c r="M74" s="33">
        <f>K74+L74</f>
        <v>523.2</v>
      </c>
      <c r="N74" s="34">
        <v>0.41</v>
      </c>
      <c r="O74" s="29">
        <f>H74*N74</f>
        <v>855.26</v>
      </c>
      <c r="P74" s="35">
        <v>72.0</v>
      </c>
      <c r="Q74" s="29">
        <f>H74*$H$8</f>
        <v>41.72</v>
      </c>
      <c r="R74" s="35">
        <v>25.0</v>
      </c>
      <c r="S74" s="29">
        <f>H74*$H$4</f>
        <v>31.29</v>
      </c>
      <c r="T74" s="29">
        <f>J74*$H$3</f>
        <v>80.311</v>
      </c>
      <c r="U74" s="36">
        <v>0.9</v>
      </c>
      <c r="V74" s="35">
        <v>72.0</v>
      </c>
      <c r="W74" s="29">
        <f>V74*(1-U74)</f>
        <v>7.2</v>
      </c>
      <c r="X74" s="37">
        <v>1.25</v>
      </c>
      <c r="Y74" s="29">
        <f>$H$6*$H$7*X74</f>
        <v>0</v>
      </c>
      <c r="Z74" s="33">
        <f>X74*($H$9+$H$10)</f>
        <v>6.46625</v>
      </c>
      <c r="AA74" s="34">
        <v>0.07</v>
      </c>
      <c r="AB74" s="29">
        <f>H74*AA74</f>
        <v>146.02</v>
      </c>
      <c r="AC74" s="36">
        <v>0.08</v>
      </c>
      <c r="AD74" s="29">
        <f>H74*AC74</f>
        <v>166.88</v>
      </c>
      <c r="AE74" s="29">
        <f>AB74+AD74</f>
        <v>312.9</v>
      </c>
      <c r="AF74" s="38">
        <f>AE74/H74</f>
        <v>0.15</v>
      </c>
      <c r="AG74" s="39">
        <f>H74-O74-P74-Q74-R74-S74-T74-W74-Y74-Z74-M74-AL74</f>
        <v>443.55275</v>
      </c>
      <c r="AH74" s="40">
        <f>AG74-AE74</f>
        <v>130.65275</v>
      </c>
      <c r="AI74" s="41">
        <f>AH74/H74</f>
        <v>0.06263314957</v>
      </c>
      <c r="AJ74" s="42">
        <f>AH74/M74</f>
        <v>0.2497185589</v>
      </c>
      <c r="AK74" s="29">
        <f>(P74+R74+W74+Y74+Z74+M74)/(1-(N74+$H$4+(1-I74)*$H$3+$H$8+$H$11+AA74+AC74))</f>
        <v>1729.512278</v>
      </c>
      <c r="AL74" s="29">
        <f>H74*$H$11</f>
        <v>0</v>
      </c>
    </row>
    <row r="75" ht="14.25" customHeight="1">
      <c r="A75" s="20" t="s">
        <v>117</v>
      </c>
      <c r="B75" s="19"/>
      <c r="C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</row>
    <row r="76" ht="14.25" customHeight="1">
      <c r="A76" s="21" t="s">
        <v>118</v>
      </c>
      <c r="B76" s="23"/>
      <c r="C76" s="24" t="s">
        <v>119</v>
      </c>
      <c r="D76" s="29">
        <v>835.0</v>
      </c>
      <c r="E76" s="26"/>
      <c r="F76" s="26"/>
      <c r="G76" s="26"/>
      <c r="H76" s="26">
        <v>2086.0</v>
      </c>
      <c r="I76" s="28">
        <v>0.45</v>
      </c>
      <c r="J76" s="30">
        <f>H76*(1-I76)</f>
        <v>1147.3</v>
      </c>
      <c r="K76" s="31">
        <v>463.2</v>
      </c>
      <c r="L76" s="32">
        <f>$H$5</f>
        <v>60</v>
      </c>
      <c r="M76" s="33">
        <f>K76+L76</f>
        <v>523.2</v>
      </c>
      <c r="N76" s="34">
        <v>0.41</v>
      </c>
      <c r="O76" s="29">
        <f>H76*N76</f>
        <v>855.26</v>
      </c>
      <c r="P76" s="35">
        <v>72.0</v>
      </c>
      <c r="Q76" s="29">
        <f>H76*$H$8</f>
        <v>41.72</v>
      </c>
      <c r="R76" s="35">
        <v>25.0</v>
      </c>
      <c r="S76" s="29">
        <f>H76*$H$4</f>
        <v>31.29</v>
      </c>
      <c r="T76" s="29">
        <f>J76*$H$3</f>
        <v>80.311</v>
      </c>
      <c r="U76" s="36">
        <v>0.9</v>
      </c>
      <c r="V76" s="35">
        <v>72.0</v>
      </c>
      <c r="W76" s="29">
        <f>V76*(1-U76)</f>
        <v>7.2</v>
      </c>
      <c r="X76" s="37">
        <v>1.25</v>
      </c>
      <c r="Y76" s="29">
        <f>$H$6*$H$7*X76</f>
        <v>0</v>
      </c>
      <c r="Z76" s="33">
        <f>X76*($H$9+$H$10)</f>
        <v>6.46625</v>
      </c>
      <c r="AA76" s="34">
        <v>0.07</v>
      </c>
      <c r="AB76" s="29">
        <f>H76*AA76</f>
        <v>146.02</v>
      </c>
      <c r="AC76" s="36">
        <v>0.08</v>
      </c>
      <c r="AD76" s="29">
        <f>H76*AC76</f>
        <v>166.88</v>
      </c>
      <c r="AE76" s="29">
        <f>AB76+AD76</f>
        <v>312.9</v>
      </c>
      <c r="AF76" s="38">
        <f>AE76/H76</f>
        <v>0.15</v>
      </c>
      <c r="AG76" s="39">
        <f>H76-O76-P76-Q76-R76-S76-T76-W76-Y76-Z76-M76-AL76</f>
        <v>443.55275</v>
      </c>
      <c r="AH76" s="40">
        <f>AG76-AE76</f>
        <v>130.65275</v>
      </c>
      <c r="AI76" s="41">
        <f>AH76/H76</f>
        <v>0.06263314957</v>
      </c>
      <c r="AJ76" s="42">
        <f>AH76/M76</f>
        <v>0.2497185589</v>
      </c>
      <c r="AK76" s="29">
        <f>(P76+R76+W76+Y76+Z76+M76)/(1-(N76+$H$4+(1-I76)*$H$3+$H$8+$H$11+AA76+AC76))</f>
        <v>1729.512278</v>
      </c>
      <c r="AL76" s="29">
        <f>H76*$H$11</f>
        <v>0</v>
      </c>
    </row>
    <row r="77" ht="14.25" customHeight="1">
      <c r="A77" s="20" t="s">
        <v>121</v>
      </c>
      <c r="B77" s="19"/>
      <c r="C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</row>
    <row r="78" ht="28.5" customHeight="1">
      <c r="A78" s="21" t="s">
        <v>122</v>
      </c>
      <c r="B78" s="23"/>
      <c r="C78" s="24"/>
      <c r="D78" s="29">
        <v>410.0</v>
      </c>
      <c r="E78" s="26">
        <v>667.0</v>
      </c>
      <c r="F78" s="26">
        <v>1738.0</v>
      </c>
      <c r="G78" s="26">
        <v>22.0</v>
      </c>
      <c r="H78" s="26">
        <v>600.0</v>
      </c>
      <c r="I78" s="28">
        <v>0.45</v>
      </c>
      <c r="J78" s="30">
        <f>H78*(1-I78)</f>
        <v>330</v>
      </c>
      <c r="K78" s="31">
        <v>108.15</v>
      </c>
      <c r="L78" s="32">
        <f>$H$5</f>
        <v>60</v>
      </c>
      <c r="M78" s="33">
        <f>K78+L78</f>
        <v>168.15</v>
      </c>
      <c r="N78" s="34">
        <v>0.41</v>
      </c>
      <c r="O78" s="29">
        <f>H78*N78</f>
        <v>246</v>
      </c>
      <c r="P78" s="35">
        <v>63.0</v>
      </c>
      <c r="Q78" s="29">
        <f>H78*$H$8</f>
        <v>12</v>
      </c>
      <c r="R78" s="35">
        <v>25.0</v>
      </c>
      <c r="S78" s="29">
        <f>H78*$H$4</f>
        <v>9</v>
      </c>
      <c r="T78" s="29">
        <f>J78*$H$3</f>
        <v>23.1</v>
      </c>
      <c r="U78" s="36">
        <v>0.9</v>
      </c>
      <c r="V78" s="35">
        <v>63.0</v>
      </c>
      <c r="W78" s="29">
        <f>V78*(1-U78)</f>
        <v>6.3</v>
      </c>
      <c r="X78" s="37">
        <v>0.27</v>
      </c>
      <c r="Y78" s="29">
        <f>$H$6*$H$7*X78</f>
        <v>0</v>
      </c>
      <c r="Z78" s="33">
        <f>X78*($H$9+$H$10)</f>
        <v>1.39671</v>
      </c>
      <c r="AA78" s="34">
        <v>0.07</v>
      </c>
      <c r="AB78" s="29">
        <f>H78*AA78</f>
        <v>42</v>
      </c>
      <c r="AC78" s="36">
        <v>0.08</v>
      </c>
      <c r="AD78" s="29">
        <f>H78*AC78</f>
        <v>48</v>
      </c>
      <c r="AE78" s="29">
        <f>AB78+AD78</f>
        <v>90</v>
      </c>
      <c r="AF78" s="38">
        <f>AE78/H78</f>
        <v>0.15</v>
      </c>
      <c r="AG78" s="39">
        <f>H78-O78-P78-Q78-R78-S78-T78-W78-Y78-Z78-M78-AL78</f>
        <v>46.05329</v>
      </c>
      <c r="AH78" s="40">
        <f>AG78-AE78</f>
        <v>-43.94671</v>
      </c>
      <c r="AI78" s="41">
        <f>AH78/H78</f>
        <v>-0.07324451667</v>
      </c>
      <c r="AJ78" s="42">
        <f>AH78/M78</f>
        <v>-0.2613542076</v>
      </c>
      <c r="AK78" s="29">
        <f>(P78+R78+W78+Y78+Z78+M78)/(1-(N78+$H$4+(1-I78)*$H$3+$H$8+$H$11+AA78+AC78))</f>
        <v>719.9091678</v>
      </c>
      <c r="AL78" s="29">
        <f>H78*$H$11</f>
        <v>0</v>
      </c>
    </row>
    <row r="79" ht="14.25" customHeight="1">
      <c r="A79" s="20" t="s">
        <v>123</v>
      </c>
      <c r="B79" s="19"/>
      <c r="C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</row>
    <row r="80" ht="14.25" customHeight="1">
      <c r="A80" s="21" t="s">
        <v>124</v>
      </c>
      <c r="B80" s="23"/>
      <c r="C80" s="24"/>
      <c r="D80" s="29">
        <v>341.0</v>
      </c>
      <c r="E80" s="26">
        <v>1470.0</v>
      </c>
      <c r="F80" s="26">
        <v>568.0</v>
      </c>
      <c r="G80" s="26">
        <v>10.0</v>
      </c>
      <c r="H80" s="26">
        <f>(1.25*M80+P80+R80+W80+Y80+Z80)/(1-N80-$H$8-$H$4-(1-I80)*$H$3-$H$11-AA80-AC80)</f>
        <v>890.0671214</v>
      </c>
      <c r="I80" s="28">
        <v>0.45</v>
      </c>
      <c r="J80" s="30">
        <f>H80*(1-I80)</f>
        <v>489.5369168</v>
      </c>
      <c r="K80" s="31">
        <v>130.86</v>
      </c>
      <c r="L80" s="32">
        <f>$H$5</f>
        <v>60</v>
      </c>
      <c r="M80" s="33">
        <f>K80+L80</f>
        <v>190.86</v>
      </c>
      <c r="N80" s="34">
        <v>0.41</v>
      </c>
      <c r="O80" s="29">
        <f>H80*N80</f>
        <v>364.9275198</v>
      </c>
      <c r="P80" s="35">
        <v>56.0</v>
      </c>
      <c r="Q80" s="29">
        <f>H80*$H$8</f>
        <v>17.80134243</v>
      </c>
      <c r="R80" s="35">
        <v>25.0</v>
      </c>
      <c r="S80" s="29">
        <f>H80*$H$4</f>
        <v>13.35100682</v>
      </c>
      <c r="T80" s="29">
        <f>J80*$H$3</f>
        <v>34.26758417</v>
      </c>
      <c r="U80" s="36">
        <v>0.9</v>
      </c>
      <c r="V80" s="35">
        <v>56.0</v>
      </c>
      <c r="W80" s="29">
        <f>V80*(1-U80)</f>
        <v>5.6</v>
      </c>
      <c r="X80" s="37">
        <v>0.2</v>
      </c>
      <c r="Y80" s="29">
        <f>$H$6*$H$7*X80</f>
        <v>0</v>
      </c>
      <c r="Z80" s="33">
        <f>X80*($H$9+$H$10)</f>
        <v>1.0346</v>
      </c>
      <c r="AA80" s="34">
        <v>0.07</v>
      </c>
      <c r="AB80" s="29">
        <f>H80*AA80</f>
        <v>62.3046985</v>
      </c>
      <c r="AC80" s="36">
        <v>0.08</v>
      </c>
      <c r="AD80" s="29">
        <f>H80*AC80</f>
        <v>71.20536971</v>
      </c>
      <c r="AE80" s="29">
        <f>AB80+AD80</f>
        <v>133.5100682</v>
      </c>
      <c r="AF80" s="38">
        <f>AE80/H80</f>
        <v>0.15</v>
      </c>
      <c r="AG80" s="39">
        <f>H80-O80-P80-Q80-R80-S80-T80-W80-Y80-Z80-M80-AL80</f>
        <v>181.2250682</v>
      </c>
      <c r="AH80" s="40">
        <f>AG80-AE80</f>
        <v>47.715</v>
      </c>
      <c r="AI80" s="41">
        <f>AH80/H80</f>
        <v>0.05360831655</v>
      </c>
      <c r="AJ80" s="42">
        <f>AH80/M80</f>
        <v>0.25</v>
      </c>
      <c r="AK80" s="29">
        <f>(P80+R80+W80+Y80+Z80+M80)/(1-(N80+$H$4+(1-I80)*$H$3+$H$8+$H$11+AA80+AC80))</f>
        <v>759.8761255</v>
      </c>
      <c r="AL80" s="29">
        <f>H80*$H$11</f>
        <v>0</v>
      </c>
    </row>
    <row r="81" ht="14.25" customHeight="1">
      <c r="A81" s="20" t="s">
        <v>125</v>
      </c>
      <c r="B81" s="19"/>
      <c r="C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</row>
    <row r="82" ht="28.5" customHeight="1">
      <c r="A82" s="21" t="s">
        <v>126</v>
      </c>
      <c r="B82" s="52" t="s">
        <v>84</v>
      </c>
      <c r="C82" s="24"/>
      <c r="D82" s="29">
        <v>1473.0</v>
      </c>
      <c r="E82" s="26">
        <v>5800.0</v>
      </c>
      <c r="F82" s="26">
        <v>152.0</v>
      </c>
      <c r="G82" s="26">
        <v>0.0</v>
      </c>
      <c r="H82" s="26">
        <v>5500.0</v>
      </c>
      <c r="I82" s="28">
        <v>0.45</v>
      </c>
      <c r="J82" s="30">
        <f t="shared" ref="J82:J87" si="124">H82*(1-I82)</f>
        <v>3025</v>
      </c>
      <c r="K82" s="31">
        <v>899.78</v>
      </c>
      <c r="L82" s="32">
        <f t="shared" ref="L82:L87" si="125">$H$5</f>
        <v>60</v>
      </c>
      <c r="M82" s="33">
        <f t="shared" ref="M82:M87" si="126">K82+L82</f>
        <v>959.78</v>
      </c>
      <c r="N82" s="34">
        <v>0.41</v>
      </c>
      <c r="O82" s="29">
        <f t="shared" ref="O82:O87" si="127">H82*N82</f>
        <v>2255</v>
      </c>
      <c r="P82" s="35">
        <v>63.0</v>
      </c>
      <c r="Q82" s="29">
        <f t="shared" ref="Q82:Q87" si="128">H82*$H$8</f>
        <v>110</v>
      </c>
      <c r="R82" s="35">
        <v>25.0</v>
      </c>
      <c r="S82" s="29">
        <f t="shared" ref="S82:S87" si="129">H82*$H$4</f>
        <v>82.5</v>
      </c>
      <c r="T82" s="29">
        <f t="shared" ref="T82:T87" si="130">J82*$H$3</f>
        <v>211.75</v>
      </c>
      <c r="U82" s="36">
        <v>0.9</v>
      </c>
      <c r="V82" s="35">
        <v>63.0</v>
      </c>
      <c r="W82" s="29">
        <f t="shared" ref="W82:W87" si="131">V82*(1-U82)</f>
        <v>6.3</v>
      </c>
      <c r="X82" s="37">
        <v>0.3</v>
      </c>
      <c r="Y82" s="29">
        <f t="shared" ref="Y82:Y87" si="132">$H$6*$H$7*X82</f>
        <v>0</v>
      </c>
      <c r="Z82" s="33">
        <f t="shared" ref="Z82:Z87" si="133">X82*($H$9+$H$10)</f>
        <v>1.5519</v>
      </c>
      <c r="AA82" s="34">
        <v>0.025</v>
      </c>
      <c r="AB82" s="29">
        <f t="shared" ref="AB82:AB87" si="134">H82*AA82</f>
        <v>137.5</v>
      </c>
      <c r="AC82" s="36">
        <v>0.025</v>
      </c>
      <c r="AD82" s="29">
        <f t="shared" ref="AD82:AD87" si="135">H82*AC82</f>
        <v>137.5</v>
      </c>
      <c r="AE82" s="29">
        <f t="shared" ref="AE82:AE87" si="136">AB82+AD82</f>
        <v>275</v>
      </c>
      <c r="AF82" s="38">
        <f t="shared" ref="AF82:AF87" si="137">AE82/H82</f>
        <v>0.05</v>
      </c>
      <c r="AG82" s="39">
        <f t="shared" ref="AG82:AG87" si="138">H82-O82-P82-Q82-R82-S82-T82-W82-Y82-Z82-M82-AL82</f>
        <v>1785.1181</v>
      </c>
      <c r="AH82" s="40">
        <f t="shared" ref="AH82:AH87" si="139">AG82-AE82</f>
        <v>1510.1181</v>
      </c>
      <c r="AI82" s="41">
        <f t="shared" ref="AI82:AI87" si="140">AH82/H82</f>
        <v>0.2745669273</v>
      </c>
      <c r="AJ82" s="42">
        <f t="shared" ref="AJ82:AJ87" si="141">AH82/M82</f>
        <v>1.573400258</v>
      </c>
      <c r="AK82" s="29">
        <f t="shared" ref="AK82:AK87" si="142">(P82+R82+W82+Y82+Z82+M82)/(1-(N82+$H$4+(1-I82)*$H$3+$H$8+$H$11+AA82+AC82))</f>
        <v>2262.876527</v>
      </c>
      <c r="AL82" s="29">
        <f t="shared" ref="AL82:AL87" si="143">H82*$H$11</f>
        <v>0</v>
      </c>
    </row>
    <row r="83" ht="28.5" customHeight="1">
      <c r="A83" s="21" t="s">
        <v>127</v>
      </c>
      <c r="B83" s="52" t="s">
        <v>84</v>
      </c>
      <c r="C83" s="24" t="s">
        <v>128</v>
      </c>
      <c r="D83" s="29">
        <v>854.0</v>
      </c>
      <c r="E83" s="26">
        <v>4000.0</v>
      </c>
      <c r="F83" s="26">
        <v>163.0</v>
      </c>
      <c r="G83" s="26">
        <v>0.0</v>
      </c>
      <c r="H83" s="26">
        <v>3700.0</v>
      </c>
      <c r="I83" s="28">
        <v>0.45</v>
      </c>
      <c r="J83" s="30">
        <f t="shared" si="124"/>
        <v>2035</v>
      </c>
      <c r="K83" s="31">
        <v>646.83</v>
      </c>
      <c r="L83" s="32">
        <f t="shared" si="125"/>
        <v>60</v>
      </c>
      <c r="M83" s="33">
        <f t="shared" si="126"/>
        <v>706.83</v>
      </c>
      <c r="N83" s="34">
        <v>0.41</v>
      </c>
      <c r="O83" s="29">
        <f t="shared" si="127"/>
        <v>1517</v>
      </c>
      <c r="P83" s="35">
        <v>56.0</v>
      </c>
      <c r="Q83" s="29">
        <f t="shared" si="128"/>
        <v>74</v>
      </c>
      <c r="R83" s="35">
        <v>25.0</v>
      </c>
      <c r="S83" s="29">
        <f t="shared" si="129"/>
        <v>55.5</v>
      </c>
      <c r="T83" s="29">
        <f t="shared" si="130"/>
        <v>142.45</v>
      </c>
      <c r="U83" s="36">
        <v>0.9</v>
      </c>
      <c r="V83" s="35">
        <v>56.0</v>
      </c>
      <c r="W83" s="29">
        <f t="shared" si="131"/>
        <v>5.6</v>
      </c>
      <c r="X83" s="37">
        <v>0.19</v>
      </c>
      <c r="Y83" s="29">
        <f t="shared" si="132"/>
        <v>0</v>
      </c>
      <c r="Z83" s="33">
        <f t="shared" si="133"/>
        <v>0.98287</v>
      </c>
      <c r="AA83" s="34">
        <v>0.025</v>
      </c>
      <c r="AB83" s="29">
        <f t="shared" si="134"/>
        <v>92.5</v>
      </c>
      <c r="AC83" s="36">
        <v>0.025</v>
      </c>
      <c r="AD83" s="29">
        <f t="shared" si="135"/>
        <v>92.5</v>
      </c>
      <c r="AE83" s="29">
        <f t="shared" si="136"/>
        <v>185</v>
      </c>
      <c r="AF83" s="38">
        <f t="shared" si="137"/>
        <v>0.05</v>
      </c>
      <c r="AG83" s="39">
        <f t="shared" si="138"/>
        <v>1116.63713</v>
      </c>
      <c r="AH83" s="40">
        <f t="shared" si="139"/>
        <v>931.63713</v>
      </c>
      <c r="AI83" s="41">
        <f t="shared" si="140"/>
        <v>0.2517938189</v>
      </c>
      <c r="AJ83" s="42">
        <f t="shared" si="141"/>
        <v>1.318049786</v>
      </c>
      <c r="AK83" s="29">
        <f t="shared" si="142"/>
        <v>1702.921479</v>
      </c>
      <c r="AL83" s="29">
        <f t="shared" si="143"/>
        <v>0</v>
      </c>
    </row>
    <row r="84" ht="28.5" customHeight="1">
      <c r="A84" s="21" t="s">
        <v>129</v>
      </c>
      <c r="B84" s="52" t="s">
        <v>84</v>
      </c>
      <c r="C84" s="24" t="s">
        <v>130</v>
      </c>
      <c r="D84" s="29">
        <v>756.0</v>
      </c>
      <c r="E84" s="26">
        <v>4000.0</v>
      </c>
      <c r="F84" s="26">
        <v>140.0</v>
      </c>
      <c r="G84" s="26">
        <v>0.0</v>
      </c>
      <c r="H84" s="26">
        <v>3700.0</v>
      </c>
      <c r="I84" s="28">
        <v>0.45</v>
      </c>
      <c r="J84" s="30">
        <f t="shared" si="124"/>
        <v>2035</v>
      </c>
      <c r="K84" s="31">
        <v>735.34</v>
      </c>
      <c r="L84" s="32">
        <f t="shared" si="125"/>
        <v>60</v>
      </c>
      <c r="M84" s="33">
        <f t="shared" si="126"/>
        <v>795.34</v>
      </c>
      <c r="N84" s="34">
        <v>0.41</v>
      </c>
      <c r="O84" s="29">
        <f t="shared" si="127"/>
        <v>1517</v>
      </c>
      <c r="P84" s="35">
        <v>67.0</v>
      </c>
      <c r="Q84" s="29">
        <f t="shared" si="128"/>
        <v>74</v>
      </c>
      <c r="R84" s="35">
        <v>25.0</v>
      </c>
      <c r="S84" s="29">
        <f t="shared" si="129"/>
        <v>55.5</v>
      </c>
      <c r="T84" s="29">
        <f t="shared" si="130"/>
        <v>142.45</v>
      </c>
      <c r="U84" s="36">
        <v>0.9</v>
      </c>
      <c r="V84" s="35">
        <v>67.0</v>
      </c>
      <c r="W84" s="29">
        <f t="shared" si="131"/>
        <v>6.7</v>
      </c>
      <c r="X84" s="37">
        <v>0.61</v>
      </c>
      <c r="Y84" s="29">
        <f t="shared" si="132"/>
        <v>0</v>
      </c>
      <c r="Z84" s="33">
        <f t="shared" si="133"/>
        <v>3.15553</v>
      </c>
      <c r="AA84" s="34">
        <v>0.025</v>
      </c>
      <c r="AB84" s="29">
        <f t="shared" si="134"/>
        <v>92.5</v>
      </c>
      <c r="AC84" s="36">
        <v>0.025</v>
      </c>
      <c r="AD84" s="29">
        <f t="shared" si="135"/>
        <v>92.5</v>
      </c>
      <c r="AE84" s="29">
        <f t="shared" si="136"/>
        <v>185</v>
      </c>
      <c r="AF84" s="38">
        <f t="shared" si="137"/>
        <v>0.05</v>
      </c>
      <c r="AG84" s="39">
        <f t="shared" si="138"/>
        <v>1013.85447</v>
      </c>
      <c r="AH84" s="40">
        <f t="shared" si="139"/>
        <v>828.85447</v>
      </c>
      <c r="AI84" s="41">
        <f t="shared" si="140"/>
        <v>0.2240147216</v>
      </c>
      <c r="AJ84" s="42">
        <f t="shared" si="141"/>
        <v>1.042138545</v>
      </c>
      <c r="AK84" s="29">
        <f t="shared" si="142"/>
        <v>1923.248725</v>
      </c>
      <c r="AL84" s="29">
        <f t="shared" si="143"/>
        <v>0</v>
      </c>
    </row>
    <row r="85" ht="28.5" customHeight="1">
      <c r="A85" s="21" t="s">
        <v>131</v>
      </c>
      <c r="B85" s="23"/>
      <c r="C85" s="24" t="s">
        <v>128</v>
      </c>
      <c r="D85" s="29">
        <v>243.0</v>
      </c>
      <c r="E85" s="26">
        <v>4000.0</v>
      </c>
      <c r="F85" s="26">
        <v>60.0</v>
      </c>
      <c r="G85" s="26">
        <v>0.0</v>
      </c>
      <c r="H85" s="26">
        <v>3700.0</v>
      </c>
      <c r="I85" s="28">
        <v>0.45</v>
      </c>
      <c r="J85" s="30">
        <f t="shared" si="124"/>
        <v>2035</v>
      </c>
      <c r="K85" s="31">
        <v>853.0</v>
      </c>
      <c r="L85" s="32">
        <f t="shared" si="125"/>
        <v>60</v>
      </c>
      <c r="M85" s="33">
        <f t="shared" si="126"/>
        <v>913</v>
      </c>
      <c r="N85" s="34">
        <v>0.41</v>
      </c>
      <c r="O85" s="29">
        <f t="shared" si="127"/>
        <v>1517</v>
      </c>
      <c r="P85" s="35">
        <v>67.0</v>
      </c>
      <c r="Q85" s="29">
        <f t="shared" si="128"/>
        <v>74</v>
      </c>
      <c r="R85" s="35">
        <v>25.0</v>
      </c>
      <c r="S85" s="29">
        <f t="shared" si="129"/>
        <v>55.5</v>
      </c>
      <c r="T85" s="29">
        <f t="shared" si="130"/>
        <v>142.45</v>
      </c>
      <c r="U85" s="36">
        <v>0.9</v>
      </c>
      <c r="V85" s="35">
        <v>67.0</v>
      </c>
      <c r="W85" s="29">
        <f t="shared" si="131"/>
        <v>6.7</v>
      </c>
      <c r="X85" s="37">
        <v>0.5</v>
      </c>
      <c r="Y85" s="29">
        <f t="shared" si="132"/>
        <v>0</v>
      </c>
      <c r="Z85" s="33">
        <f t="shared" si="133"/>
        <v>2.5865</v>
      </c>
      <c r="AA85" s="34">
        <v>0.025</v>
      </c>
      <c r="AB85" s="29">
        <f t="shared" si="134"/>
        <v>92.5</v>
      </c>
      <c r="AC85" s="36">
        <v>0.025</v>
      </c>
      <c r="AD85" s="29">
        <f t="shared" si="135"/>
        <v>92.5</v>
      </c>
      <c r="AE85" s="29">
        <f t="shared" si="136"/>
        <v>185</v>
      </c>
      <c r="AF85" s="38">
        <f t="shared" si="137"/>
        <v>0.05</v>
      </c>
      <c r="AG85" s="39">
        <f t="shared" si="138"/>
        <v>896.7635</v>
      </c>
      <c r="AH85" s="40">
        <f t="shared" si="139"/>
        <v>711.7635</v>
      </c>
      <c r="AI85" s="41">
        <f t="shared" si="140"/>
        <v>0.1923685135</v>
      </c>
      <c r="AJ85" s="42">
        <f t="shared" si="141"/>
        <v>0.7795876232</v>
      </c>
      <c r="AK85" s="29">
        <f t="shared" si="142"/>
        <v>2174.247588</v>
      </c>
      <c r="AL85" s="29">
        <f t="shared" si="143"/>
        <v>0</v>
      </c>
    </row>
    <row r="86" ht="28.5" customHeight="1">
      <c r="A86" s="21" t="s">
        <v>132</v>
      </c>
      <c r="B86" s="52" t="s">
        <v>84</v>
      </c>
      <c r="C86" s="24" t="s">
        <v>128</v>
      </c>
      <c r="D86" s="29">
        <v>814.0</v>
      </c>
      <c r="E86" s="26">
        <v>4800.0</v>
      </c>
      <c r="F86" s="26">
        <v>20.0</v>
      </c>
      <c r="G86" s="26">
        <v>0.0</v>
      </c>
      <c r="H86" s="26">
        <v>4500.0</v>
      </c>
      <c r="I86" s="28">
        <v>0.45</v>
      </c>
      <c r="J86" s="30">
        <f t="shared" si="124"/>
        <v>2475</v>
      </c>
      <c r="K86" s="31">
        <v>650.0</v>
      </c>
      <c r="L86" s="32">
        <f t="shared" si="125"/>
        <v>60</v>
      </c>
      <c r="M86" s="33">
        <f t="shared" si="126"/>
        <v>710</v>
      </c>
      <c r="N86" s="34">
        <v>0.41</v>
      </c>
      <c r="O86" s="29">
        <f t="shared" si="127"/>
        <v>1845</v>
      </c>
      <c r="P86" s="35">
        <v>75.0</v>
      </c>
      <c r="Q86" s="29">
        <f t="shared" si="128"/>
        <v>90</v>
      </c>
      <c r="R86" s="35">
        <v>25.0</v>
      </c>
      <c r="S86" s="29">
        <f t="shared" si="129"/>
        <v>67.5</v>
      </c>
      <c r="T86" s="29">
        <f t="shared" si="130"/>
        <v>173.25</v>
      </c>
      <c r="U86" s="36">
        <v>0.9</v>
      </c>
      <c r="V86" s="35">
        <v>75.0</v>
      </c>
      <c r="W86" s="29">
        <f t="shared" si="131"/>
        <v>7.5</v>
      </c>
      <c r="X86" s="37">
        <v>0.931</v>
      </c>
      <c r="Y86" s="29">
        <f t="shared" si="132"/>
        <v>0</v>
      </c>
      <c r="Z86" s="33">
        <f t="shared" si="133"/>
        <v>4.816063</v>
      </c>
      <c r="AA86" s="34">
        <v>0.025</v>
      </c>
      <c r="AB86" s="29">
        <f t="shared" si="134"/>
        <v>112.5</v>
      </c>
      <c r="AC86" s="36">
        <v>0.025</v>
      </c>
      <c r="AD86" s="29">
        <f t="shared" si="135"/>
        <v>112.5</v>
      </c>
      <c r="AE86" s="29">
        <f t="shared" si="136"/>
        <v>225</v>
      </c>
      <c r="AF86" s="38">
        <f t="shared" si="137"/>
        <v>0.05</v>
      </c>
      <c r="AG86" s="39">
        <f t="shared" si="138"/>
        <v>1501.933937</v>
      </c>
      <c r="AH86" s="40">
        <f t="shared" si="139"/>
        <v>1276.933937</v>
      </c>
      <c r="AI86" s="41">
        <f t="shared" si="140"/>
        <v>0.2837630971</v>
      </c>
      <c r="AJ86" s="42">
        <f t="shared" si="141"/>
        <v>1.798498503</v>
      </c>
      <c r="AK86" s="29">
        <f t="shared" si="142"/>
        <v>1762.735398</v>
      </c>
      <c r="AL86" s="29">
        <f t="shared" si="143"/>
        <v>0</v>
      </c>
    </row>
    <row r="87" ht="28.5" customHeight="1">
      <c r="A87" s="21" t="s">
        <v>133</v>
      </c>
      <c r="B87" s="52" t="s">
        <v>84</v>
      </c>
      <c r="C87" s="24"/>
      <c r="D87" s="29">
        <v>786.0</v>
      </c>
      <c r="E87" s="26">
        <v>3800.0</v>
      </c>
      <c r="F87" s="26">
        <v>370.0</v>
      </c>
      <c r="G87" s="26">
        <v>0.0</v>
      </c>
      <c r="H87" s="26">
        <v>3500.0</v>
      </c>
      <c r="I87" s="28">
        <v>0.45</v>
      </c>
      <c r="J87" s="30">
        <f t="shared" si="124"/>
        <v>1925</v>
      </c>
      <c r="K87" s="31">
        <v>899.78</v>
      </c>
      <c r="L87" s="32">
        <f t="shared" si="125"/>
        <v>60</v>
      </c>
      <c r="M87" s="33">
        <f t="shared" si="126"/>
        <v>959.78</v>
      </c>
      <c r="N87" s="34">
        <v>0.41</v>
      </c>
      <c r="O87" s="29">
        <f t="shared" si="127"/>
        <v>1435</v>
      </c>
      <c r="P87" s="35">
        <v>63.0</v>
      </c>
      <c r="Q87" s="29">
        <f t="shared" si="128"/>
        <v>70</v>
      </c>
      <c r="R87" s="35">
        <v>25.0</v>
      </c>
      <c r="S87" s="29">
        <f t="shared" si="129"/>
        <v>52.5</v>
      </c>
      <c r="T87" s="29">
        <f t="shared" si="130"/>
        <v>134.75</v>
      </c>
      <c r="U87" s="36">
        <v>0.9</v>
      </c>
      <c r="V87" s="35">
        <v>63.0</v>
      </c>
      <c r="W87" s="29">
        <f t="shared" si="131"/>
        <v>6.3</v>
      </c>
      <c r="X87" s="37">
        <v>0.3</v>
      </c>
      <c r="Y87" s="29">
        <f t="shared" si="132"/>
        <v>0</v>
      </c>
      <c r="Z87" s="33">
        <f t="shared" si="133"/>
        <v>1.5519</v>
      </c>
      <c r="AA87" s="34">
        <v>0.025</v>
      </c>
      <c r="AB87" s="29">
        <f t="shared" si="134"/>
        <v>87.5</v>
      </c>
      <c r="AC87" s="36">
        <v>0.025</v>
      </c>
      <c r="AD87" s="29">
        <f t="shared" si="135"/>
        <v>87.5</v>
      </c>
      <c r="AE87" s="29">
        <f t="shared" si="136"/>
        <v>175</v>
      </c>
      <c r="AF87" s="38">
        <f t="shared" si="137"/>
        <v>0.05</v>
      </c>
      <c r="AG87" s="39">
        <f t="shared" si="138"/>
        <v>752.1181</v>
      </c>
      <c r="AH87" s="40">
        <f t="shared" si="139"/>
        <v>577.1181</v>
      </c>
      <c r="AI87" s="41">
        <f t="shared" si="140"/>
        <v>0.1648908857</v>
      </c>
      <c r="AJ87" s="42">
        <f t="shared" si="141"/>
        <v>0.601302486</v>
      </c>
      <c r="AK87" s="29">
        <f t="shared" si="142"/>
        <v>2262.876527</v>
      </c>
      <c r="AL87" s="29">
        <f t="shared" si="143"/>
        <v>0</v>
      </c>
    </row>
    <row r="88" ht="14.25" customHeight="1">
      <c r="A88" s="20" t="s">
        <v>134</v>
      </c>
      <c r="B88" s="19"/>
      <c r="C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</row>
    <row r="89" ht="14.25" customHeight="1">
      <c r="A89" s="44" t="s">
        <v>135</v>
      </c>
      <c r="B89" s="45"/>
      <c r="C89" s="45"/>
      <c r="D89" s="29">
        <v>119.0</v>
      </c>
      <c r="E89" s="29"/>
      <c r="F89" s="29"/>
      <c r="G89" s="29"/>
      <c r="H89" s="29"/>
      <c r="I89" s="46"/>
      <c r="J89" s="30"/>
      <c r="K89" s="32"/>
      <c r="L89" s="32"/>
      <c r="M89" s="33"/>
      <c r="N89" s="47"/>
      <c r="O89" s="29"/>
      <c r="P89" s="29"/>
      <c r="Q89" s="29"/>
      <c r="R89" s="29"/>
      <c r="S89" s="29"/>
      <c r="T89" s="29"/>
      <c r="U89" s="41"/>
      <c r="V89" s="29"/>
      <c r="W89" s="29"/>
      <c r="X89" s="48"/>
      <c r="Y89" s="29"/>
      <c r="Z89" s="33"/>
      <c r="AA89" s="47"/>
      <c r="AB89" s="29"/>
      <c r="AC89" s="41"/>
      <c r="AD89" s="29"/>
      <c r="AE89" s="29"/>
      <c r="AF89" s="38"/>
      <c r="AG89" s="39"/>
      <c r="AH89" s="29"/>
      <c r="AI89" s="41"/>
      <c r="AJ89" s="41"/>
      <c r="AK89" s="29"/>
    </row>
    <row r="90" ht="14.25" customHeight="1">
      <c r="A90" s="20" t="s">
        <v>136</v>
      </c>
      <c r="B90" s="19"/>
      <c r="C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</row>
    <row r="91" ht="28.5" customHeight="1">
      <c r="A91" s="21" t="s">
        <v>137</v>
      </c>
      <c r="B91" s="23"/>
      <c r="C91" s="24"/>
      <c r="D91" s="56">
        <v>1008.0</v>
      </c>
      <c r="E91" s="26">
        <v>1818.0</v>
      </c>
      <c r="F91" s="26">
        <v>734.0</v>
      </c>
      <c r="G91" s="26">
        <v>16.0</v>
      </c>
      <c r="H91" s="26">
        <v>1700.0</v>
      </c>
      <c r="I91" s="28">
        <v>0.45</v>
      </c>
      <c r="J91" s="30">
        <f t="shared" ref="J91:J102" si="144">H91*(1-I91)</f>
        <v>935</v>
      </c>
      <c r="K91" s="31">
        <v>385.05</v>
      </c>
      <c r="L91" s="32">
        <f t="shared" ref="L91:L102" si="145">$H$5</f>
        <v>60</v>
      </c>
      <c r="M91" s="33">
        <f t="shared" ref="M91:M102" si="146">K91+L91</f>
        <v>445.05</v>
      </c>
      <c r="N91" s="34">
        <v>0.41</v>
      </c>
      <c r="O91" s="29">
        <f t="shared" ref="O91:O102" si="147">H91*N91</f>
        <v>697</v>
      </c>
      <c r="P91" s="35">
        <v>67.0</v>
      </c>
      <c r="Q91" s="29">
        <f t="shared" ref="Q91:Q102" si="148">H91*$H$8</f>
        <v>34</v>
      </c>
      <c r="R91" s="35">
        <v>25.0</v>
      </c>
      <c r="S91" s="29">
        <f t="shared" ref="S91:S102" si="149">H91*$H$4</f>
        <v>25.5</v>
      </c>
      <c r="T91" s="29">
        <f t="shared" ref="T91:T102" si="150">J91*$H$3</f>
        <v>65.45</v>
      </c>
      <c r="U91" s="36">
        <v>0.9</v>
      </c>
      <c r="V91" s="35">
        <v>67.0</v>
      </c>
      <c r="W91" s="29">
        <f t="shared" ref="W91:W102" si="151">V91*(1-U91)</f>
        <v>6.7</v>
      </c>
      <c r="X91" s="37">
        <v>0.6</v>
      </c>
      <c r="Y91" s="29">
        <f t="shared" ref="Y91:Y102" si="152">$H$6*$H$7*X91</f>
        <v>0</v>
      </c>
      <c r="Z91" s="33">
        <f t="shared" ref="Z91:Z102" si="153">X91*($H$9+$H$10)</f>
        <v>3.1038</v>
      </c>
      <c r="AA91" s="34">
        <v>0.07</v>
      </c>
      <c r="AB91" s="29">
        <f t="shared" ref="AB91:AB102" si="154">H91*AA91</f>
        <v>119</v>
      </c>
      <c r="AC91" s="36">
        <v>0.08</v>
      </c>
      <c r="AD91" s="29">
        <f t="shared" ref="AD91:AD102" si="155">H91*AC91</f>
        <v>136</v>
      </c>
      <c r="AE91" s="29">
        <f t="shared" ref="AE91:AE102" si="156">AB91+AD91</f>
        <v>255</v>
      </c>
      <c r="AF91" s="38">
        <f t="shared" ref="AF91:AF102" si="157">AE91/H91</f>
        <v>0.15</v>
      </c>
      <c r="AG91" s="39">
        <f t="shared" ref="AG91:AG102" si="158">H91-O91-P91-Q91-R91-S91-T91-W91-Y91-Z91-M91-AL91</f>
        <v>331.1962</v>
      </c>
      <c r="AH91" s="40">
        <f t="shared" ref="AH91:AH102" si="159">AG91-AE91</f>
        <v>76.1962</v>
      </c>
      <c r="AI91" s="41">
        <f t="shared" ref="AI91:AI102" si="160">AH91/H91</f>
        <v>0.04482129412</v>
      </c>
      <c r="AJ91" s="42">
        <f t="shared" ref="AJ91:AJ102" si="161">AH91/M91</f>
        <v>0.1712081789</v>
      </c>
      <c r="AK91" s="29">
        <f t="shared" ref="AK91:AK102" si="162">(P91+R91+W91+Y91+Z91+M91)/(1-(N91+$H$4+(1-I91)*$H$3+$H$8+$H$11+AA91+AC91))</f>
        <v>1492.097681</v>
      </c>
      <c r="AL91" s="29">
        <f t="shared" ref="AL91:AL102" si="163">H91*$H$11</f>
        <v>0</v>
      </c>
    </row>
    <row r="92" ht="28.5" customHeight="1">
      <c r="A92" s="21" t="s">
        <v>138</v>
      </c>
      <c r="B92" s="23"/>
      <c r="C92" s="24"/>
      <c r="D92" s="29">
        <v>587.0</v>
      </c>
      <c r="E92" s="26"/>
      <c r="F92" s="26"/>
      <c r="G92" s="26"/>
      <c r="H92" s="26">
        <f t="shared" ref="H92:H98" si="164">(1.25*M92+P92+R92+W92+Y92+Z92)/(1-N92-$H$8-$H$4-(1-I92)*$H$3-$H$11-AA92-AC92)</f>
        <v>2146.994243</v>
      </c>
      <c r="I92" s="28">
        <v>0.45</v>
      </c>
      <c r="J92" s="30">
        <f t="shared" si="144"/>
        <v>1180.846834</v>
      </c>
      <c r="K92" s="31">
        <v>486.69</v>
      </c>
      <c r="L92" s="32">
        <f t="shared" si="145"/>
        <v>60</v>
      </c>
      <c r="M92" s="33">
        <f t="shared" si="146"/>
        <v>546.69</v>
      </c>
      <c r="N92" s="34">
        <v>0.41</v>
      </c>
      <c r="O92" s="29">
        <f t="shared" si="147"/>
        <v>880.2676396</v>
      </c>
      <c r="P92" s="35">
        <v>67.0</v>
      </c>
      <c r="Q92" s="29">
        <f t="shared" si="148"/>
        <v>42.93988486</v>
      </c>
      <c r="R92" s="35">
        <v>25.0</v>
      </c>
      <c r="S92" s="29">
        <f t="shared" si="149"/>
        <v>32.20491364</v>
      </c>
      <c r="T92" s="29">
        <f t="shared" si="150"/>
        <v>82.65927835</v>
      </c>
      <c r="U92" s="36">
        <v>0.9</v>
      </c>
      <c r="V92" s="35">
        <v>67.0</v>
      </c>
      <c r="W92" s="29">
        <f t="shared" si="151"/>
        <v>6.7</v>
      </c>
      <c r="X92" s="37">
        <v>0.93</v>
      </c>
      <c r="Y92" s="29">
        <f t="shared" si="152"/>
        <v>0</v>
      </c>
      <c r="Z92" s="33">
        <f t="shared" si="153"/>
        <v>4.81089</v>
      </c>
      <c r="AA92" s="34">
        <v>0.07</v>
      </c>
      <c r="AB92" s="29">
        <f t="shared" si="154"/>
        <v>150.289597</v>
      </c>
      <c r="AC92" s="36">
        <v>0.08</v>
      </c>
      <c r="AD92" s="29">
        <f t="shared" si="155"/>
        <v>171.7595394</v>
      </c>
      <c r="AE92" s="29">
        <f t="shared" si="156"/>
        <v>322.0491364</v>
      </c>
      <c r="AF92" s="38">
        <f t="shared" si="157"/>
        <v>0.15</v>
      </c>
      <c r="AG92" s="39">
        <f t="shared" si="158"/>
        <v>458.7216364</v>
      </c>
      <c r="AH92" s="40">
        <f t="shared" si="159"/>
        <v>136.6725</v>
      </c>
      <c r="AI92" s="41">
        <f t="shared" si="160"/>
        <v>0.06365759967</v>
      </c>
      <c r="AJ92" s="42">
        <f t="shared" si="161"/>
        <v>0.25</v>
      </c>
      <c r="AK92" s="29">
        <f t="shared" si="162"/>
        <v>1774.081555</v>
      </c>
      <c r="AL92" s="29">
        <f t="shared" si="163"/>
        <v>0</v>
      </c>
    </row>
    <row r="93" ht="28.5" customHeight="1">
      <c r="A93" s="21" t="s">
        <v>139</v>
      </c>
      <c r="B93" s="23"/>
      <c r="C93" s="24"/>
      <c r="D93" s="29">
        <v>300.0</v>
      </c>
      <c r="E93" s="26"/>
      <c r="F93" s="26"/>
      <c r="G93" s="26"/>
      <c r="H93" s="26">
        <f t="shared" si="164"/>
        <v>1899.396453</v>
      </c>
      <c r="I93" s="28">
        <v>0.45</v>
      </c>
      <c r="J93" s="30">
        <f t="shared" si="144"/>
        <v>1044.668049</v>
      </c>
      <c r="K93" s="31">
        <v>415.46</v>
      </c>
      <c r="L93" s="32">
        <f t="shared" si="145"/>
        <v>60</v>
      </c>
      <c r="M93" s="33">
        <f t="shared" si="146"/>
        <v>475.46</v>
      </c>
      <c r="N93" s="34">
        <v>0.41</v>
      </c>
      <c r="O93" s="29">
        <f t="shared" si="147"/>
        <v>778.7525457</v>
      </c>
      <c r="P93" s="35">
        <v>67.0</v>
      </c>
      <c r="Q93" s="29">
        <f t="shared" si="148"/>
        <v>37.98792906</v>
      </c>
      <c r="R93" s="35">
        <v>25.0</v>
      </c>
      <c r="S93" s="29">
        <f t="shared" si="149"/>
        <v>28.49094679</v>
      </c>
      <c r="T93" s="29">
        <f t="shared" si="150"/>
        <v>73.12676344</v>
      </c>
      <c r="U93" s="36">
        <v>0.9</v>
      </c>
      <c r="V93" s="35">
        <v>67.0</v>
      </c>
      <c r="W93" s="29">
        <f t="shared" si="151"/>
        <v>6.7</v>
      </c>
      <c r="X93" s="37">
        <v>0.6</v>
      </c>
      <c r="Y93" s="29">
        <f t="shared" si="152"/>
        <v>0</v>
      </c>
      <c r="Z93" s="33">
        <f t="shared" si="153"/>
        <v>3.1038</v>
      </c>
      <c r="AA93" s="34">
        <v>0.07</v>
      </c>
      <c r="AB93" s="29">
        <f t="shared" si="154"/>
        <v>132.9577517</v>
      </c>
      <c r="AC93" s="36">
        <v>0.08</v>
      </c>
      <c r="AD93" s="29">
        <f t="shared" si="155"/>
        <v>151.9517162</v>
      </c>
      <c r="AE93" s="29">
        <f t="shared" si="156"/>
        <v>284.9094679</v>
      </c>
      <c r="AF93" s="38">
        <f t="shared" si="157"/>
        <v>0.15</v>
      </c>
      <c r="AG93" s="39">
        <f t="shared" si="158"/>
        <v>403.7744679</v>
      </c>
      <c r="AH93" s="40">
        <f t="shared" si="159"/>
        <v>118.865</v>
      </c>
      <c r="AI93" s="41">
        <f t="shared" si="160"/>
        <v>0.06258040538</v>
      </c>
      <c r="AJ93" s="42">
        <f t="shared" si="161"/>
        <v>0.25</v>
      </c>
      <c r="AK93" s="29">
        <f t="shared" si="162"/>
        <v>1575.07176</v>
      </c>
      <c r="AL93" s="29">
        <f t="shared" si="163"/>
        <v>0</v>
      </c>
    </row>
    <row r="94" ht="14.25" customHeight="1">
      <c r="A94" s="21" t="s">
        <v>140</v>
      </c>
      <c r="B94" s="23"/>
      <c r="C94" s="24"/>
      <c r="D94" s="29">
        <v>95.0</v>
      </c>
      <c r="E94" s="26"/>
      <c r="F94" s="26"/>
      <c r="G94" s="26"/>
      <c r="H94" s="26">
        <f t="shared" si="164"/>
        <v>2503.747312</v>
      </c>
      <c r="I94" s="28">
        <v>0.45</v>
      </c>
      <c r="J94" s="30">
        <f t="shared" si="144"/>
        <v>1377.061022</v>
      </c>
      <c r="K94" s="31">
        <v>591.29</v>
      </c>
      <c r="L94" s="32">
        <f t="shared" si="145"/>
        <v>60</v>
      </c>
      <c r="M94" s="33">
        <f t="shared" si="146"/>
        <v>651.29</v>
      </c>
      <c r="N94" s="34">
        <v>0.41</v>
      </c>
      <c r="O94" s="29">
        <f t="shared" si="147"/>
        <v>1026.536398</v>
      </c>
      <c r="P94" s="35">
        <v>67.0</v>
      </c>
      <c r="Q94" s="29">
        <f t="shared" si="148"/>
        <v>50.07494625</v>
      </c>
      <c r="R94" s="35">
        <v>25.0</v>
      </c>
      <c r="S94" s="29">
        <f t="shared" si="149"/>
        <v>37.55620969</v>
      </c>
      <c r="T94" s="29">
        <f t="shared" si="150"/>
        <v>96.39427153</v>
      </c>
      <c r="U94" s="36">
        <v>0.9</v>
      </c>
      <c r="V94" s="35">
        <v>67.0</v>
      </c>
      <c r="W94" s="29">
        <f t="shared" si="151"/>
        <v>6.7</v>
      </c>
      <c r="X94" s="37">
        <v>0.93</v>
      </c>
      <c r="Y94" s="29">
        <f t="shared" si="152"/>
        <v>0</v>
      </c>
      <c r="Z94" s="33">
        <f t="shared" si="153"/>
        <v>4.81089</v>
      </c>
      <c r="AA94" s="34">
        <v>0.07</v>
      </c>
      <c r="AB94" s="29">
        <f t="shared" si="154"/>
        <v>175.2623119</v>
      </c>
      <c r="AC94" s="36">
        <v>0.08</v>
      </c>
      <c r="AD94" s="29">
        <f t="shared" si="155"/>
        <v>200.299785</v>
      </c>
      <c r="AE94" s="29">
        <f t="shared" si="156"/>
        <v>375.5620969</v>
      </c>
      <c r="AF94" s="38">
        <f t="shared" si="157"/>
        <v>0.15</v>
      </c>
      <c r="AG94" s="39">
        <f t="shared" si="158"/>
        <v>538.3845969</v>
      </c>
      <c r="AH94" s="40">
        <f t="shared" si="159"/>
        <v>162.8225</v>
      </c>
      <c r="AI94" s="41">
        <f t="shared" si="160"/>
        <v>0.06503152263</v>
      </c>
      <c r="AJ94" s="42">
        <f t="shared" si="161"/>
        <v>0.25</v>
      </c>
      <c r="AK94" s="29">
        <f t="shared" si="162"/>
        <v>2059.484011</v>
      </c>
      <c r="AL94" s="29">
        <f t="shared" si="163"/>
        <v>0</v>
      </c>
    </row>
    <row r="95" ht="28.5" customHeight="1">
      <c r="A95" s="21" t="s">
        <v>141</v>
      </c>
      <c r="B95" s="23"/>
      <c r="C95" s="24"/>
      <c r="D95" s="29">
        <v>713.0</v>
      </c>
      <c r="E95" s="26"/>
      <c r="F95" s="26"/>
      <c r="G95" s="26"/>
      <c r="H95" s="26">
        <f t="shared" si="164"/>
        <v>1899.396453</v>
      </c>
      <c r="I95" s="28">
        <v>0.45</v>
      </c>
      <c r="J95" s="30">
        <f t="shared" si="144"/>
        <v>1044.668049</v>
      </c>
      <c r="K95" s="31">
        <v>415.46</v>
      </c>
      <c r="L95" s="32">
        <f t="shared" si="145"/>
        <v>60</v>
      </c>
      <c r="M95" s="33">
        <f t="shared" si="146"/>
        <v>475.46</v>
      </c>
      <c r="N95" s="34">
        <v>0.41</v>
      </c>
      <c r="O95" s="29">
        <f t="shared" si="147"/>
        <v>778.7525457</v>
      </c>
      <c r="P95" s="35">
        <v>67.0</v>
      </c>
      <c r="Q95" s="29">
        <f t="shared" si="148"/>
        <v>37.98792906</v>
      </c>
      <c r="R95" s="35">
        <v>25.0</v>
      </c>
      <c r="S95" s="29">
        <f t="shared" si="149"/>
        <v>28.49094679</v>
      </c>
      <c r="T95" s="29">
        <f t="shared" si="150"/>
        <v>73.12676344</v>
      </c>
      <c r="U95" s="36">
        <v>0.9</v>
      </c>
      <c r="V95" s="35">
        <v>67.0</v>
      </c>
      <c r="W95" s="29">
        <f t="shared" si="151"/>
        <v>6.7</v>
      </c>
      <c r="X95" s="37">
        <v>0.6</v>
      </c>
      <c r="Y95" s="29">
        <f t="shared" si="152"/>
        <v>0</v>
      </c>
      <c r="Z95" s="33">
        <f t="shared" si="153"/>
        <v>3.1038</v>
      </c>
      <c r="AA95" s="34">
        <v>0.07</v>
      </c>
      <c r="AB95" s="29">
        <f t="shared" si="154"/>
        <v>132.9577517</v>
      </c>
      <c r="AC95" s="36">
        <v>0.08</v>
      </c>
      <c r="AD95" s="29">
        <f t="shared" si="155"/>
        <v>151.9517162</v>
      </c>
      <c r="AE95" s="29">
        <f t="shared" si="156"/>
        <v>284.9094679</v>
      </c>
      <c r="AF95" s="38">
        <f t="shared" si="157"/>
        <v>0.15</v>
      </c>
      <c r="AG95" s="39">
        <f t="shared" si="158"/>
        <v>403.7744679</v>
      </c>
      <c r="AH95" s="40">
        <f t="shared" si="159"/>
        <v>118.865</v>
      </c>
      <c r="AI95" s="41">
        <f t="shared" si="160"/>
        <v>0.06258040538</v>
      </c>
      <c r="AJ95" s="42">
        <f t="shared" si="161"/>
        <v>0.25</v>
      </c>
      <c r="AK95" s="29">
        <f t="shared" si="162"/>
        <v>1575.07176</v>
      </c>
      <c r="AL95" s="29">
        <f t="shared" si="163"/>
        <v>0</v>
      </c>
    </row>
    <row r="96" ht="28.5" customHeight="1">
      <c r="A96" s="21" t="s">
        <v>142</v>
      </c>
      <c r="B96" s="23"/>
      <c r="C96" s="24"/>
      <c r="D96" s="29">
        <v>288.0</v>
      </c>
      <c r="E96" s="26"/>
      <c r="F96" s="26"/>
      <c r="G96" s="26"/>
      <c r="H96" s="26">
        <f t="shared" si="164"/>
        <v>1899.396453</v>
      </c>
      <c r="I96" s="28">
        <v>0.45</v>
      </c>
      <c r="J96" s="30">
        <f t="shared" si="144"/>
        <v>1044.668049</v>
      </c>
      <c r="K96" s="31">
        <v>415.46</v>
      </c>
      <c r="L96" s="32">
        <f t="shared" si="145"/>
        <v>60</v>
      </c>
      <c r="M96" s="33">
        <f t="shared" si="146"/>
        <v>475.46</v>
      </c>
      <c r="N96" s="34">
        <v>0.41</v>
      </c>
      <c r="O96" s="29">
        <f t="shared" si="147"/>
        <v>778.7525457</v>
      </c>
      <c r="P96" s="35">
        <v>67.0</v>
      </c>
      <c r="Q96" s="29">
        <f t="shared" si="148"/>
        <v>37.98792906</v>
      </c>
      <c r="R96" s="35">
        <v>25.0</v>
      </c>
      <c r="S96" s="29">
        <f t="shared" si="149"/>
        <v>28.49094679</v>
      </c>
      <c r="T96" s="29">
        <f t="shared" si="150"/>
        <v>73.12676344</v>
      </c>
      <c r="U96" s="36">
        <v>0.9</v>
      </c>
      <c r="V96" s="35">
        <v>67.0</v>
      </c>
      <c r="W96" s="29">
        <f t="shared" si="151"/>
        <v>6.7</v>
      </c>
      <c r="X96" s="37">
        <v>0.6</v>
      </c>
      <c r="Y96" s="29">
        <f t="shared" si="152"/>
        <v>0</v>
      </c>
      <c r="Z96" s="33">
        <f t="shared" si="153"/>
        <v>3.1038</v>
      </c>
      <c r="AA96" s="34">
        <v>0.07</v>
      </c>
      <c r="AB96" s="29">
        <f t="shared" si="154"/>
        <v>132.9577517</v>
      </c>
      <c r="AC96" s="36">
        <v>0.08</v>
      </c>
      <c r="AD96" s="29">
        <f t="shared" si="155"/>
        <v>151.9517162</v>
      </c>
      <c r="AE96" s="29">
        <f t="shared" si="156"/>
        <v>284.9094679</v>
      </c>
      <c r="AF96" s="38">
        <f t="shared" si="157"/>
        <v>0.15</v>
      </c>
      <c r="AG96" s="39">
        <f t="shared" si="158"/>
        <v>403.7744679</v>
      </c>
      <c r="AH96" s="40">
        <f t="shared" si="159"/>
        <v>118.865</v>
      </c>
      <c r="AI96" s="41">
        <f t="shared" si="160"/>
        <v>0.06258040538</v>
      </c>
      <c r="AJ96" s="42">
        <f t="shared" si="161"/>
        <v>0.25</v>
      </c>
      <c r="AK96" s="29">
        <f t="shared" si="162"/>
        <v>1575.07176</v>
      </c>
      <c r="AL96" s="29">
        <f t="shared" si="163"/>
        <v>0</v>
      </c>
    </row>
    <row r="97" ht="28.5" customHeight="1">
      <c r="A97" s="21" t="s">
        <v>143</v>
      </c>
      <c r="B97" s="23"/>
      <c r="C97" s="24"/>
      <c r="D97" s="29">
        <v>72.0</v>
      </c>
      <c r="E97" s="26"/>
      <c r="F97" s="26"/>
      <c r="G97" s="26"/>
      <c r="H97" s="26">
        <f t="shared" si="164"/>
        <v>1795.678854</v>
      </c>
      <c r="I97" s="28">
        <v>0.45</v>
      </c>
      <c r="J97" s="30">
        <f t="shared" si="144"/>
        <v>987.6233697</v>
      </c>
      <c r="K97" s="31">
        <v>385.05</v>
      </c>
      <c r="L97" s="32">
        <f t="shared" si="145"/>
        <v>60</v>
      </c>
      <c r="M97" s="33">
        <f t="shared" si="146"/>
        <v>445.05</v>
      </c>
      <c r="N97" s="34">
        <v>0.41</v>
      </c>
      <c r="O97" s="29">
        <f t="shared" si="147"/>
        <v>736.2283302</v>
      </c>
      <c r="P97" s="35">
        <v>67.0</v>
      </c>
      <c r="Q97" s="29">
        <f t="shared" si="148"/>
        <v>35.91357708</v>
      </c>
      <c r="R97" s="35">
        <v>25.0</v>
      </c>
      <c r="S97" s="29">
        <f t="shared" si="149"/>
        <v>26.93518281</v>
      </c>
      <c r="T97" s="29">
        <f t="shared" si="150"/>
        <v>69.13363588</v>
      </c>
      <c r="U97" s="36">
        <v>0.9</v>
      </c>
      <c r="V97" s="35">
        <v>67.0</v>
      </c>
      <c r="W97" s="29">
        <f t="shared" si="151"/>
        <v>6.7</v>
      </c>
      <c r="X97" s="37">
        <v>0.6</v>
      </c>
      <c r="Y97" s="29">
        <f t="shared" si="152"/>
        <v>0</v>
      </c>
      <c r="Z97" s="33">
        <f t="shared" si="153"/>
        <v>3.1038</v>
      </c>
      <c r="AA97" s="34">
        <v>0.07</v>
      </c>
      <c r="AB97" s="29">
        <f t="shared" si="154"/>
        <v>125.6975198</v>
      </c>
      <c r="AC97" s="36">
        <v>0.08</v>
      </c>
      <c r="AD97" s="29">
        <f t="shared" si="155"/>
        <v>143.6543083</v>
      </c>
      <c r="AE97" s="29">
        <f t="shared" si="156"/>
        <v>269.3518281</v>
      </c>
      <c r="AF97" s="38">
        <f t="shared" si="157"/>
        <v>0.15</v>
      </c>
      <c r="AG97" s="39">
        <f t="shared" si="158"/>
        <v>380.6143281</v>
      </c>
      <c r="AH97" s="40">
        <f t="shared" si="159"/>
        <v>111.2625</v>
      </c>
      <c r="AI97" s="41">
        <f t="shared" si="160"/>
        <v>0.06196124644</v>
      </c>
      <c r="AJ97" s="42">
        <f t="shared" si="161"/>
        <v>0.25</v>
      </c>
      <c r="AK97" s="29">
        <f t="shared" si="162"/>
        <v>1492.097681</v>
      </c>
      <c r="AL97" s="29">
        <f t="shared" si="163"/>
        <v>0</v>
      </c>
    </row>
    <row r="98" ht="28.5" customHeight="1">
      <c r="A98" s="21" t="s">
        <v>144</v>
      </c>
      <c r="B98" s="23"/>
      <c r="C98" s="24"/>
      <c r="D98" s="29">
        <v>267.0</v>
      </c>
      <c r="E98" s="26"/>
      <c r="F98" s="26"/>
      <c r="G98" s="26"/>
      <c r="H98" s="26">
        <f t="shared" si="164"/>
        <v>2146.994243</v>
      </c>
      <c r="I98" s="28">
        <v>0.45</v>
      </c>
      <c r="J98" s="30">
        <f t="shared" si="144"/>
        <v>1180.846834</v>
      </c>
      <c r="K98" s="31">
        <v>486.69</v>
      </c>
      <c r="L98" s="32">
        <f t="shared" si="145"/>
        <v>60</v>
      </c>
      <c r="M98" s="33">
        <f t="shared" si="146"/>
        <v>546.69</v>
      </c>
      <c r="N98" s="34">
        <v>0.41</v>
      </c>
      <c r="O98" s="29">
        <f t="shared" si="147"/>
        <v>880.2676396</v>
      </c>
      <c r="P98" s="35">
        <v>67.0</v>
      </c>
      <c r="Q98" s="29">
        <f t="shared" si="148"/>
        <v>42.93988486</v>
      </c>
      <c r="R98" s="35">
        <v>25.0</v>
      </c>
      <c r="S98" s="29">
        <f t="shared" si="149"/>
        <v>32.20491364</v>
      </c>
      <c r="T98" s="29">
        <f t="shared" si="150"/>
        <v>82.65927835</v>
      </c>
      <c r="U98" s="36">
        <v>0.9</v>
      </c>
      <c r="V98" s="35">
        <v>67.0</v>
      </c>
      <c r="W98" s="29">
        <f t="shared" si="151"/>
        <v>6.7</v>
      </c>
      <c r="X98" s="37">
        <v>0.93</v>
      </c>
      <c r="Y98" s="29">
        <f t="shared" si="152"/>
        <v>0</v>
      </c>
      <c r="Z98" s="33">
        <f t="shared" si="153"/>
        <v>4.81089</v>
      </c>
      <c r="AA98" s="34">
        <v>0.07</v>
      </c>
      <c r="AB98" s="29">
        <f t="shared" si="154"/>
        <v>150.289597</v>
      </c>
      <c r="AC98" s="36">
        <v>0.08</v>
      </c>
      <c r="AD98" s="29">
        <f t="shared" si="155"/>
        <v>171.7595394</v>
      </c>
      <c r="AE98" s="29">
        <f t="shared" si="156"/>
        <v>322.0491364</v>
      </c>
      <c r="AF98" s="38">
        <f t="shared" si="157"/>
        <v>0.15</v>
      </c>
      <c r="AG98" s="39">
        <f t="shared" si="158"/>
        <v>458.7216364</v>
      </c>
      <c r="AH98" s="40">
        <f t="shared" si="159"/>
        <v>136.6725</v>
      </c>
      <c r="AI98" s="41">
        <f t="shared" si="160"/>
        <v>0.06365759967</v>
      </c>
      <c r="AJ98" s="42">
        <f t="shared" si="161"/>
        <v>0.25</v>
      </c>
      <c r="AK98" s="29">
        <f t="shared" si="162"/>
        <v>1774.081555</v>
      </c>
      <c r="AL98" s="29">
        <f t="shared" si="163"/>
        <v>0</v>
      </c>
    </row>
    <row r="99" ht="28.5" customHeight="1">
      <c r="A99" s="21" t="s">
        <v>145</v>
      </c>
      <c r="B99" s="23"/>
      <c r="C99" s="24"/>
      <c r="D99" s="29">
        <v>909.0</v>
      </c>
      <c r="E99" s="26">
        <v>1780.0</v>
      </c>
      <c r="F99" s="26">
        <v>489.0</v>
      </c>
      <c r="G99" s="26">
        <v>16.0</v>
      </c>
      <c r="H99" s="26">
        <v>1650.0</v>
      </c>
      <c r="I99" s="28">
        <v>0.45</v>
      </c>
      <c r="J99" s="30">
        <f t="shared" si="144"/>
        <v>907.5</v>
      </c>
      <c r="K99" s="31">
        <v>387.67</v>
      </c>
      <c r="L99" s="32">
        <f t="shared" si="145"/>
        <v>60</v>
      </c>
      <c r="M99" s="33">
        <f t="shared" si="146"/>
        <v>447.67</v>
      </c>
      <c r="N99" s="34">
        <v>0.41</v>
      </c>
      <c r="O99" s="29">
        <f t="shared" si="147"/>
        <v>676.5</v>
      </c>
      <c r="P99" s="35">
        <v>67.0</v>
      </c>
      <c r="Q99" s="29">
        <f t="shared" si="148"/>
        <v>33</v>
      </c>
      <c r="R99" s="35">
        <v>25.0</v>
      </c>
      <c r="S99" s="29">
        <f t="shared" si="149"/>
        <v>24.75</v>
      </c>
      <c r="T99" s="29">
        <f t="shared" si="150"/>
        <v>63.525</v>
      </c>
      <c r="U99" s="36">
        <v>0.9</v>
      </c>
      <c r="V99" s="35">
        <v>67.0</v>
      </c>
      <c r="W99" s="29">
        <f t="shared" si="151"/>
        <v>6.7</v>
      </c>
      <c r="X99" s="37">
        <v>0.6</v>
      </c>
      <c r="Y99" s="29">
        <f t="shared" si="152"/>
        <v>0</v>
      </c>
      <c r="Z99" s="33">
        <f t="shared" si="153"/>
        <v>3.1038</v>
      </c>
      <c r="AA99" s="34">
        <v>0.07</v>
      </c>
      <c r="AB99" s="29">
        <f t="shared" si="154"/>
        <v>115.5</v>
      </c>
      <c r="AC99" s="36">
        <v>0.08</v>
      </c>
      <c r="AD99" s="29">
        <f t="shared" si="155"/>
        <v>132</v>
      </c>
      <c r="AE99" s="29">
        <f t="shared" si="156"/>
        <v>247.5</v>
      </c>
      <c r="AF99" s="38">
        <f t="shared" si="157"/>
        <v>0.15</v>
      </c>
      <c r="AG99" s="39">
        <f t="shared" si="158"/>
        <v>302.7512</v>
      </c>
      <c r="AH99" s="40">
        <f t="shared" si="159"/>
        <v>55.2512</v>
      </c>
      <c r="AI99" s="41">
        <f t="shared" si="160"/>
        <v>0.03348557576</v>
      </c>
      <c r="AJ99" s="42">
        <f t="shared" si="161"/>
        <v>0.1234194831</v>
      </c>
      <c r="AK99" s="29">
        <f t="shared" si="162"/>
        <v>1499.246385</v>
      </c>
      <c r="AL99" s="29">
        <f t="shared" si="163"/>
        <v>0</v>
      </c>
    </row>
    <row r="100" ht="28.5" customHeight="1">
      <c r="A100" s="21" t="s">
        <v>146</v>
      </c>
      <c r="B100" s="23"/>
      <c r="C100" s="24"/>
      <c r="D100" s="29">
        <v>933.0</v>
      </c>
      <c r="E100" s="26">
        <v>1730.0</v>
      </c>
      <c r="F100" s="26">
        <v>568.0</v>
      </c>
      <c r="G100" s="26">
        <v>17.0</v>
      </c>
      <c r="H100" s="26">
        <v>1630.0</v>
      </c>
      <c r="I100" s="28">
        <v>0.45</v>
      </c>
      <c r="J100" s="30">
        <f t="shared" si="144"/>
        <v>896.5</v>
      </c>
      <c r="K100" s="31">
        <v>415.46</v>
      </c>
      <c r="L100" s="32">
        <f t="shared" si="145"/>
        <v>60</v>
      </c>
      <c r="M100" s="33">
        <f t="shared" si="146"/>
        <v>475.46</v>
      </c>
      <c r="N100" s="34">
        <v>0.41</v>
      </c>
      <c r="O100" s="29">
        <f t="shared" si="147"/>
        <v>668.3</v>
      </c>
      <c r="P100" s="35">
        <v>67.0</v>
      </c>
      <c r="Q100" s="29">
        <f t="shared" si="148"/>
        <v>32.6</v>
      </c>
      <c r="R100" s="35">
        <v>25.0</v>
      </c>
      <c r="S100" s="29">
        <f t="shared" si="149"/>
        <v>24.45</v>
      </c>
      <c r="T100" s="29">
        <f t="shared" si="150"/>
        <v>62.755</v>
      </c>
      <c r="U100" s="36">
        <v>0.9</v>
      </c>
      <c r="V100" s="35">
        <v>67.0</v>
      </c>
      <c r="W100" s="29">
        <f t="shared" si="151"/>
        <v>6.7</v>
      </c>
      <c r="X100" s="37">
        <v>0.6</v>
      </c>
      <c r="Y100" s="29">
        <f t="shared" si="152"/>
        <v>0</v>
      </c>
      <c r="Z100" s="33">
        <f t="shared" si="153"/>
        <v>3.1038</v>
      </c>
      <c r="AA100" s="34">
        <v>0.07</v>
      </c>
      <c r="AB100" s="29">
        <f t="shared" si="154"/>
        <v>114.1</v>
      </c>
      <c r="AC100" s="36">
        <v>0.08</v>
      </c>
      <c r="AD100" s="29">
        <f t="shared" si="155"/>
        <v>130.4</v>
      </c>
      <c r="AE100" s="29">
        <f t="shared" si="156"/>
        <v>244.5</v>
      </c>
      <c r="AF100" s="38">
        <f t="shared" si="157"/>
        <v>0.15</v>
      </c>
      <c r="AG100" s="39">
        <f t="shared" si="158"/>
        <v>264.6312</v>
      </c>
      <c r="AH100" s="40">
        <f t="shared" si="159"/>
        <v>20.1312</v>
      </c>
      <c r="AI100" s="41">
        <f t="shared" si="160"/>
        <v>0.01235042945</v>
      </c>
      <c r="AJ100" s="42">
        <f t="shared" si="161"/>
        <v>0.04234047028</v>
      </c>
      <c r="AK100" s="29">
        <f t="shared" si="162"/>
        <v>1575.07176</v>
      </c>
      <c r="AL100" s="29">
        <f t="shared" si="163"/>
        <v>0</v>
      </c>
    </row>
    <row r="101" ht="28.5" customHeight="1">
      <c r="A101" s="21" t="s">
        <v>147</v>
      </c>
      <c r="B101" s="23"/>
      <c r="C101" s="24"/>
      <c r="D101" s="29">
        <v>909.0</v>
      </c>
      <c r="E101" s="26">
        <v>1740.0</v>
      </c>
      <c r="F101" s="26">
        <v>150.0</v>
      </c>
      <c r="G101" s="26">
        <v>7.0</v>
      </c>
      <c r="H101" s="26">
        <v>1630.0</v>
      </c>
      <c r="I101" s="28">
        <v>0.45</v>
      </c>
      <c r="J101" s="30">
        <f t="shared" si="144"/>
        <v>896.5</v>
      </c>
      <c r="K101" s="31">
        <v>415.46</v>
      </c>
      <c r="L101" s="32">
        <f t="shared" si="145"/>
        <v>60</v>
      </c>
      <c r="M101" s="33">
        <f t="shared" si="146"/>
        <v>475.46</v>
      </c>
      <c r="N101" s="34">
        <v>0.41</v>
      </c>
      <c r="O101" s="29">
        <f t="shared" si="147"/>
        <v>668.3</v>
      </c>
      <c r="P101" s="35">
        <v>67.0</v>
      </c>
      <c r="Q101" s="29">
        <f t="shared" si="148"/>
        <v>32.6</v>
      </c>
      <c r="R101" s="35">
        <v>25.0</v>
      </c>
      <c r="S101" s="29">
        <f t="shared" si="149"/>
        <v>24.45</v>
      </c>
      <c r="T101" s="29">
        <f t="shared" si="150"/>
        <v>62.755</v>
      </c>
      <c r="U101" s="36">
        <v>0.9</v>
      </c>
      <c r="V101" s="35">
        <v>67.0</v>
      </c>
      <c r="W101" s="29">
        <f t="shared" si="151"/>
        <v>6.7</v>
      </c>
      <c r="X101" s="37">
        <v>0.6</v>
      </c>
      <c r="Y101" s="29">
        <f t="shared" si="152"/>
        <v>0</v>
      </c>
      <c r="Z101" s="33">
        <f t="shared" si="153"/>
        <v>3.1038</v>
      </c>
      <c r="AA101" s="34">
        <v>0.07</v>
      </c>
      <c r="AB101" s="29">
        <f t="shared" si="154"/>
        <v>114.1</v>
      </c>
      <c r="AC101" s="36">
        <v>0.08</v>
      </c>
      <c r="AD101" s="29">
        <f t="shared" si="155"/>
        <v>130.4</v>
      </c>
      <c r="AE101" s="29">
        <f t="shared" si="156"/>
        <v>244.5</v>
      </c>
      <c r="AF101" s="38">
        <f t="shared" si="157"/>
        <v>0.15</v>
      </c>
      <c r="AG101" s="39">
        <f t="shared" si="158"/>
        <v>264.6312</v>
      </c>
      <c r="AH101" s="40">
        <f t="shared" si="159"/>
        <v>20.1312</v>
      </c>
      <c r="AI101" s="41">
        <f t="shared" si="160"/>
        <v>0.01235042945</v>
      </c>
      <c r="AJ101" s="42">
        <f t="shared" si="161"/>
        <v>0.04234047028</v>
      </c>
      <c r="AK101" s="29">
        <f t="shared" si="162"/>
        <v>1575.07176</v>
      </c>
      <c r="AL101" s="29">
        <f t="shared" si="163"/>
        <v>0</v>
      </c>
    </row>
    <row r="102" ht="28.5" customHeight="1">
      <c r="A102" s="21" t="s">
        <v>148</v>
      </c>
      <c r="B102" s="23"/>
      <c r="C102" s="24"/>
      <c r="D102" s="29">
        <v>700.0</v>
      </c>
      <c r="E102" s="26">
        <v>1930.0</v>
      </c>
      <c r="F102" s="26">
        <v>128.0</v>
      </c>
      <c r="G102" s="26">
        <v>2.2</v>
      </c>
      <c r="H102" s="26">
        <v>1800.0</v>
      </c>
      <c r="I102" s="28">
        <v>0.45</v>
      </c>
      <c r="J102" s="30">
        <f t="shared" si="144"/>
        <v>990</v>
      </c>
      <c r="K102" s="31">
        <v>415.46</v>
      </c>
      <c r="L102" s="32">
        <f t="shared" si="145"/>
        <v>60</v>
      </c>
      <c r="M102" s="33">
        <f t="shared" si="146"/>
        <v>475.46</v>
      </c>
      <c r="N102" s="34">
        <v>0.41</v>
      </c>
      <c r="O102" s="29">
        <f t="shared" si="147"/>
        <v>738</v>
      </c>
      <c r="P102" s="35">
        <v>67.0</v>
      </c>
      <c r="Q102" s="29">
        <f t="shared" si="148"/>
        <v>36</v>
      </c>
      <c r="R102" s="35">
        <v>25.0</v>
      </c>
      <c r="S102" s="29">
        <f t="shared" si="149"/>
        <v>27</v>
      </c>
      <c r="T102" s="29">
        <f t="shared" si="150"/>
        <v>69.3</v>
      </c>
      <c r="U102" s="36">
        <v>0.9</v>
      </c>
      <c r="V102" s="35">
        <v>67.0</v>
      </c>
      <c r="W102" s="29">
        <f t="shared" si="151"/>
        <v>6.7</v>
      </c>
      <c r="X102" s="37">
        <v>0.6</v>
      </c>
      <c r="Y102" s="29">
        <f t="shared" si="152"/>
        <v>0</v>
      </c>
      <c r="Z102" s="33">
        <f t="shared" si="153"/>
        <v>3.1038</v>
      </c>
      <c r="AA102" s="34">
        <v>0.07</v>
      </c>
      <c r="AB102" s="29">
        <f t="shared" si="154"/>
        <v>126</v>
      </c>
      <c r="AC102" s="36">
        <v>0.08</v>
      </c>
      <c r="AD102" s="29">
        <f t="shared" si="155"/>
        <v>144</v>
      </c>
      <c r="AE102" s="29">
        <f t="shared" si="156"/>
        <v>270</v>
      </c>
      <c r="AF102" s="38">
        <f t="shared" si="157"/>
        <v>0.15</v>
      </c>
      <c r="AG102" s="39">
        <f t="shared" si="158"/>
        <v>352.4362</v>
      </c>
      <c r="AH102" s="40">
        <f t="shared" si="159"/>
        <v>82.4362</v>
      </c>
      <c r="AI102" s="41">
        <f t="shared" si="160"/>
        <v>0.04579788889</v>
      </c>
      <c r="AJ102" s="42">
        <f t="shared" si="161"/>
        <v>0.173381988</v>
      </c>
      <c r="AK102" s="29">
        <f t="shared" si="162"/>
        <v>1575.07176</v>
      </c>
      <c r="AL102" s="29">
        <f t="shared" si="163"/>
        <v>0</v>
      </c>
    </row>
    <row r="103" ht="28.5" customHeight="1">
      <c r="A103" s="44" t="s">
        <v>149</v>
      </c>
      <c r="B103" s="45"/>
      <c r="C103" s="45"/>
      <c r="D103" s="29">
        <v>320.0</v>
      </c>
      <c r="E103" s="29"/>
      <c r="F103" s="29"/>
      <c r="G103" s="29"/>
      <c r="H103" s="29"/>
      <c r="I103" s="46"/>
      <c r="J103" s="30"/>
      <c r="K103" s="32"/>
      <c r="L103" s="32"/>
      <c r="M103" s="33"/>
      <c r="N103" s="47"/>
      <c r="O103" s="29"/>
      <c r="P103" s="29"/>
      <c r="Q103" s="29"/>
      <c r="R103" s="29"/>
      <c r="S103" s="29"/>
      <c r="T103" s="29"/>
      <c r="U103" s="41"/>
      <c r="V103" s="29"/>
      <c r="W103" s="29"/>
      <c r="X103" s="48"/>
      <c r="Y103" s="29"/>
      <c r="Z103" s="33"/>
      <c r="AA103" s="47"/>
      <c r="AB103" s="29"/>
      <c r="AC103" s="41"/>
      <c r="AD103" s="29"/>
      <c r="AE103" s="29"/>
      <c r="AF103" s="38"/>
      <c r="AG103" s="39"/>
      <c r="AH103" s="29"/>
      <c r="AI103" s="41"/>
      <c r="AJ103" s="41"/>
      <c r="AK103" s="29"/>
    </row>
    <row r="104" ht="28.5" customHeight="1">
      <c r="A104" s="44" t="s">
        <v>150</v>
      </c>
      <c r="B104" s="45"/>
      <c r="C104" s="45"/>
      <c r="D104" s="29">
        <v>428.0</v>
      </c>
      <c r="E104" s="29"/>
      <c r="F104" s="29"/>
      <c r="G104" s="29"/>
      <c r="H104" s="29"/>
      <c r="I104" s="46"/>
      <c r="J104" s="30"/>
      <c r="K104" s="32"/>
      <c r="L104" s="32"/>
      <c r="M104" s="33"/>
      <c r="N104" s="47"/>
      <c r="O104" s="29"/>
      <c r="P104" s="29"/>
      <c r="Q104" s="29"/>
      <c r="R104" s="29"/>
      <c r="S104" s="29"/>
      <c r="T104" s="29"/>
      <c r="U104" s="41"/>
      <c r="V104" s="29"/>
      <c r="W104" s="29"/>
      <c r="X104" s="48"/>
      <c r="Y104" s="29"/>
      <c r="Z104" s="33"/>
      <c r="AA104" s="47"/>
      <c r="AB104" s="29"/>
      <c r="AC104" s="41"/>
      <c r="AD104" s="29"/>
      <c r="AE104" s="29"/>
      <c r="AF104" s="38"/>
      <c r="AG104" s="39"/>
      <c r="AH104" s="29"/>
      <c r="AI104" s="41"/>
      <c r="AJ104" s="41"/>
      <c r="AK104" s="29"/>
    </row>
    <row r="105" ht="14.25" customHeight="1">
      <c r="A105" s="20" t="s">
        <v>151</v>
      </c>
      <c r="B105" s="19"/>
      <c r="C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</row>
    <row r="106" ht="28.5" customHeight="1">
      <c r="A106" s="21" t="s">
        <v>152</v>
      </c>
      <c r="B106" s="23"/>
      <c r="C106" s="24"/>
      <c r="D106" s="29">
        <v>951.0</v>
      </c>
      <c r="E106" s="26">
        <v>2480.0</v>
      </c>
      <c r="F106" s="26">
        <v>293.0</v>
      </c>
      <c r="G106" s="26">
        <v>21.0</v>
      </c>
      <c r="H106" s="26">
        <v>2200.0</v>
      </c>
      <c r="I106" s="28">
        <v>0.45</v>
      </c>
      <c r="J106" s="30">
        <f t="shared" ref="J106:J111" si="165">H106*(1-I106)</f>
        <v>1210</v>
      </c>
      <c r="K106" s="31">
        <v>486.41</v>
      </c>
      <c r="L106" s="32">
        <f t="shared" ref="L106:L111" si="166">$H$5</f>
        <v>60</v>
      </c>
      <c r="M106" s="33">
        <f t="shared" ref="M106:M111" si="167">K106+L106</f>
        <v>546.41</v>
      </c>
      <c r="N106" s="34">
        <v>0.41</v>
      </c>
      <c r="O106" s="29">
        <f t="shared" ref="O106:O111" si="168">H106*N106</f>
        <v>902</v>
      </c>
      <c r="P106" s="35">
        <v>72.0</v>
      </c>
      <c r="Q106" s="29">
        <f t="shared" ref="Q106:Q111" si="169">H106*$H$8</f>
        <v>44</v>
      </c>
      <c r="R106" s="35">
        <v>25.0</v>
      </c>
      <c r="S106" s="29">
        <f t="shared" ref="S106:S111" si="170">H106*$H$4</f>
        <v>33</v>
      </c>
      <c r="T106" s="29">
        <f t="shared" ref="T106:T111" si="171">J106*$H$3</f>
        <v>84.7</v>
      </c>
      <c r="U106" s="36">
        <v>0.9</v>
      </c>
      <c r="V106" s="35">
        <v>72.0</v>
      </c>
      <c r="W106" s="29">
        <f t="shared" ref="W106:W111" si="172">V106*(1-U106)</f>
        <v>7.2</v>
      </c>
      <c r="X106" s="37">
        <v>1.1</v>
      </c>
      <c r="Y106" s="29">
        <f t="shared" ref="Y106:Y111" si="173">$H$6*$H$7*X106</f>
        <v>0</v>
      </c>
      <c r="Z106" s="33">
        <f t="shared" ref="Z106:Z111" si="174">X106*($H$9+$H$10)</f>
        <v>5.6903</v>
      </c>
      <c r="AA106" s="34">
        <v>0.07</v>
      </c>
      <c r="AB106" s="29">
        <f t="shared" ref="AB106:AB111" si="175">H106*AA106</f>
        <v>154</v>
      </c>
      <c r="AC106" s="36">
        <v>0.08</v>
      </c>
      <c r="AD106" s="29">
        <f t="shared" ref="AD106:AD111" si="176">H106*AC106</f>
        <v>176</v>
      </c>
      <c r="AE106" s="29">
        <f t="shared" ref="AE106:AE111" si="177">AB106+AD106</f>
        <v>330</v>
      </c>
      <c r="AF106" s="38">
        <f t="shared" ref="AF106:AF111" si="178">AE106/H106</f>
        <v>0.15</v>
      </c>
      <c r="AG106" s="39">
        <f t="shared" ref="AG106:AG111" si="179">H106-O106-P106-Q106-R106-S106-T106-W106-Y106-Z106-M106-AL106</f>
        <v>479.9997</v>
      </c>
      <c r="AH106" s="40">
        <f t="shared" ref="AH106:AH111" si="180">AG106-AE106</f>
        <v>149.9997</v>
      </c>
      <c r="AI106" s="41">
        <f t="shared" ref="AI106:AI111" si="181">AH106/H106</f>
        <v>0.06818168182</v>
      </c>
      <c r="AJ106" s="42">
        <f t="shared" ref="AJ106:AJ111" si="182">AH106/M106</f>
        <v>0.2745185849</v>
      </c>
      <c r="AK106" s="29">
        <f t="shared" ref="AK106:AK111" si="183">(P106+R106+W106+Y106+Z106+M106)/(1-(N106+$H$4+(1-I106)*$H$3+$H$8+$H$11+AA106+AC106))</f>
        <v>1790.723874</v>
      </c>
      <c r="AL106" s="29">
        <f t="shared" ref="AL106:AL111" si="184">H106*$H$11</f>
        <v>0</v>
      </c>
    </row>
    <row r="107" ht="28.5" customHeight="1">
      <c r="A107" s="21" t="s">
        <v>153</v>
      </c>
      <c r="B107" s="23"/>
      <c r="C107" s="24"/>
      <c r="D107" s="29">
        <v>734.0</v>
      </c>
      <c r="E107" s="26">
        <v>2570.0</v>
      </c>
      <c r="F107" s="26">
        <v>121.0</v>
      </c>
      <c r="G107" s="26">
        <v>12.0</v>
      </c>
      <c r="H107" s="26">
        <v>2300.0</v>
      </c>
      <c r="I107" s="28">
        <v>0.45</v>
      </c>
      <c r="J107" s="30">
        <f t="shared" si="165"/>
        <v>1265</v>
      </c>
      <c r="K107" s="31">
        <v>507.16</v>
      </c>
      <c r="L107" s="32">
        <f t="shared" si="166"/>
        <v>60</v>
      </c>
      <c r="M107" s="33">
        <f t="shared" si="167"/>
        <v>567.16</v>
      </c>
      <c r="N107" s="34">
        <v>0.41</v>
      </c>
      <c r="O107" s="29">
        <f t="shared" si="168"/>
        <v>943</v>
      </c>
      <c r="P107" s="35">
        <v>72.0</v>
      </c>
      <c r="Q107" s="29">
        <f t="shared" si="169"/>
        <v>46</v>
      </c>
      <c r="R107" s="35">
        <v>25.0</v>
      </c>
      <c r="S107" s="29">
        <f t="shared" si="170"/>
        <v>34.5</v>
      </c>
      <c r="T107" s="29">
        <f t="shared" si="171"/>
        <v>88.55</v>
      </c>
      <c r="U107" s="36">
        <v>0.9</v>
      </c>
      <c r="V107" s="35">
        <v>72.0</v>
      </c>
      <c r="W107" s="29">
        <f t="shared" si="172"/>
        <v>7.2</v>
      </c>
      <c r="X107" s="37">
        <v>1.1</v>
      </c>
      <c r="Y107" s="29">
        <f t="shared" si="173"/>
        <v>0</v>
      </c>
      <c r="Z107" s="33">
        <f t="shared" si="174"/>
        <v>5.6903</v>
      </c>
      <c r="AA107" s="34">
        <v>0.07</v>
      </c>
      <c r="AB107" s="29">
        <f t="shared" si="175"/>
        <v>161</v>
      </c>
      <c r="AC107" s="36">
        <v>0.08</v>
      </c>
      <c r="AD107" s="29">
        <f t="shared" si="176"/>
        <v>184</v>
      </c>
      <c r="AE107" s="29">
        <f t="shared" si="177"/>
        <v>345</v>
      </c>
      <c r="AF107" s="38">
        <f t="shared" si="178"/>
        <v>0.15</v>
      </c>
      <c r="AG107" s="39">
        <f t="shared" si="179"/>
        <v>510.8997</v>
      </c>
      <c r="AH107" s="40">
        <f t="shared" si="180"/>
        <v>165.8997</v>
      </c>
      <c r="AI107" s="41">
        <f t="shared" si="181"/>
        <v>0.07213030435</v>
      </c>
      <c r="AJ107" s="42">
        <f t="shared" si="182"/>
        <v>0.2925095211</v>
      </c>
      <c r="AK107" s="29">
        <f t="shared" si="183"/>
        <v>1847.340518</v>
      </c>
      <c r="AL107" s="29">
        <f t="shared" si="184"/>
        <v>0</v>
      </c>
    </row>
    <row r="108" ht="28.5" customHeight="1">
      <c r="A108" s="21" t="s">
        <v>154</v>
      </c>
      <c r="B108" s="23"/>
      <c r="C108" s="24"/>
      <c r="D108" s="29">
        <v>619.0</v>
      </c>
      <c r="E108" s="26">
        <v>2680.0</v>
      </c>
      <c r="F108" s="26">
        <v>38.0</v>
      </c>
      <c r="G108" s="26">
        <v>9.7</v>
      </c>
      <c r="H108" s="26">
        <v>2250.0</v>
      </c>
      <c r="I108" s="28">
        <v>0.45</v>
      </c>
      <c r="J108" s="30">
        <f t="shared" si="165"/>
        <v>1237.5</v>
      </c>
      <c r="K108" s="31">
        <v>496.86</v>
      </c>
      <c r="L108" s="32">
        <f t="shared" si="166"/>
        <v>60</v>
      </c>
      <c r="M108" s="33">
        <f t="shared" si="167"/>
        <v>556.86</v>
      </c>
      <c r="N108" s="34">
        <v>0.41</v>
      </c>
      <c r="O108" s="29">
        <f t="shared" si="168"/>
        <v>922.5</v>
      </c>
      <c r="P108" s="35">
        <v>72.0</v>
      </c>
      <c r="Q108" s="29">
        <f t="shared" si="169"/>
        <v>45</v>
      </c>
      <c r="R108" s="35">
        <v>25.0</v>
      </c>
      <c r="S108" s="29">
        <f t="shared" si="170"/>
        <v>33.75</v>
      </c>
      <c r="T108" s="29">
        <f t="shared" si="171"/>
        <v>86.625</v>
      </c>
      <c r="U108" s="36">
        <v>0.9</v>
      </c>
      <c r="V108" s="35">
        <v>72.0</v>
      </c>
      <c r="W108" s="29">
        <f t="shared" si="172"/>
        <v>7.2</v>
      </c>
      <c r="X108" s="37">
        <v>1.1</v>
      </c>
      <c r="Y108" s="29">
        <f t="shared" si="173"/>
        <v>0</v>
      </c>
      <c r="Z108" s="33">
        <f t="shared" si="174"/>
        <v>5.6903</v>
      </c>
      <c r="AA108" s="34">
        <v>0.07</v>
      </c>
      <c r="AB108" s="29">
        <f t="shared" si="175"/>
        <v>157.5</v>
      </c>
      <c r="AC108" s="36">
        <v>0.08</v>
      </c>
      <c r="AD108" s="29">
        <f t="shared" si="176"/>
        <v>180</v>
      </c>
      <c r="AE108" s="29">
        <f t="shared" si="177"/>
        <v>337.5</v>
      </c>
      <c r="AF108" s="38">
        <f t="shared" si="178"/>
        <v>0.15</v>
      </c>
      <c r="AG108" s="39">
        <f t="shared" si="179"/>
        <v>495.3747</v>
      </c>
      <c r="AH108" s="40">
        <f t="shared" si="180"/>
        <v>157.8747</v>
      </c>
      <c r="AI108" s="41">
        <f t="shared" si="181"/>
        <v>0.07016653333</v>
      </c>
      <c r="AJ108" s="42">
        <f t="shared" si="182"/>
        <v>0.2835087814</v>
      </c>
      <c r="AK108" s="29">
        <f t="shared" si="183"/>
        <v>1819.236835</v>
      </c>
      <c r="AL108" s="29">
        <f t="shared" si="184"/>
        <v>0</v>
      </c>
    </row>
    <row r="109" ht="28.5" customHeight="1">
      <c r="A109" s="21" t="s">
        <v>155</v>
      </c>
      <c r="B109" s="23"/>
      <c r="C109" s="24"/>
      <c r="D109" s="29">
        <v>542.0</v>
      </c>
      <c r="E109" s="26">
        <v>2420.0</v>
      </c>
      <c r="F109" s="26">
        <v>409.0</v>
      </c>
      <c r="G109" s="26">
        <v>23.0</v>
      </c>
      <c r="H109" s="26">
        <v>2300.0</v>
      </c>
      <c r="I109" s="28">
        <v>0.45</v>
      </c>
      <c r="J109" s="30">
        <f t="shared" si="165"/>
        <v>1265</v>
      </c>
      <c r="K109" s="31">
        <v>498.54</v>
      </c>
      <c r="L109" s="32">
        <f t="shared" si="166"/>
        <v>60</v>
      </c>
      <c r="M109" s="33">
        <f t="shared" si="167"/>
        <v>558.54</v>
      </c>
      <c r="N109" s="34">
        <v>0.41</v>
      </c>
      <c r="O109" s="29">
        <f t="shared" si="168"/>
        <v>943</v>
      </c>
      <c r="P109" s="35">
        <v>72.0</v>
      </c>
      <c r="Q109" s="29">
        <f t="shared" si="169"/>
        <v>46</v>
      </c>
      <c r="R109" s="35">
        <v>25.0</v>
      </c>
      <c r="S109" s="29">
        <f t="shared" si="170"/>
        <v>34.5</v>
      </c>
      <c r="T109" s="29">
        <f t="shared" si="171"/>
        <v>88.55</v>
      </c>
      <c r="U109" s="36">
        <v>0.9</v>
      </c>
      <c r="V109" s="35">
        <v>72.0</v>
      </c>
      <c r="W109" s="29">
        <f t="shared" si="172"/>
        <v>7.2</v>
      </c>
      <c r="X109" s="37">
        <v>1.1</v>
      </c>
      <c r="Y109" s="29">
        <f t="shared" si="173"/>
        <v>0</v>
      </c>
      <c r="Z109" s="33">
        <f t="shared" si="174"/>
        <v>5.6903</v>
      </c>
      <c r="AA109" s="34">
        <v>0.07</v>
      </c>
      <c r="AB109" s="29">
        <f t="shared" si="175"/>
        <v>161</v>
      </c>
      <c r="AC109" s="36">
        <v>0.08</v>
      </c>
      <c r="AD109" s="29">
        <f t="shared" si="176"/>
        <v>184</v>
      </c>
      <c r="AE109" s="29">
        <f t="shared" si="177"/>
        <v>345</v>
      </c>
      <c r="AF109" s="38">
        <f t="shared" si="178"/>
        <v>0.15</v>
      </c>
      <c r="AG109" s="39">
        <f t="shared" si="179"/>
        <v>519.5197</v>
      </c>
      <c r="AH109" s="40">
        <f t="shared" si="180"/>
        <v>174.5197</v>
      </c>
      <c r="AI109" s="41">
        <f t="shared" si="181"/>
        <v>0.07587813043</v>
      </c>
      <c r="AJ109" s="42">
        <f t="shared" si="182"/>
        <v>0.3124569413</v>
      </c>
      <c r="AK109" s="29">
        <f t="shared" si="183"/>
        <v>1823.820737</v>
      </c>
      <c r="AL109" s="29">
        <f t="shared" si="184"/>
        <v>0</v>
      </c>
    </row>
    <row r="110" ht="28.5" customHeight="1">
      <c r="A110" s="21" t="s">
        <v>156</v>
      </c>
      <c r="B110" s="23"/>
      <c r="C110" s="24"/>
      <c r="D110" s="29">
        <v>453.0</v>
      </c>
      <c r="E110" s="26">
        <v>2280.0</v>
      </c>
      <c r="F110" s="26">
        <v>19.0</v>
      </c>
      <c r="G110" s="26">
        <v>8.0</v>
      </c>
      <c r="H110" s="26">
        <v>2135.0</v>
      </c>
      <c r="I110" s="28">
        <v>0.45</v>
      </c>
      <c r="J110" s="30">
        <f t="shared" si="165"/>
        <v>1174.25</v>
      </c>
      <c r="K110" s="31">
        <v>478.17</v>
      </c>
      <c r="L110" s="32">
        <f t="shared" si="166"/>
        <v>60</v>
      </c>
      <c r="M110" s="33">
        <f t="shared" si="167"/>
        <v>538.17</v>
      </c>
      <c r="N110" s="34">
        <v>0.41</v>
      </c>
      <c r="O110" s="29">
        <f t="shared" si="168"/>
        <v>875.35</v>
      </c>
      <c r="P110" s="35">
        <v>72.0</v>
      </c>
      <c r="Q110" s="29">
        <f t="shared" si="169"/>
        <v>42.7</v>
      </c>
      <c r="R110" s="35">
        <v>25.0</v>
      </c>
      <c r="S110" s="29">
        <f t="shared" si="170"/>
        <v>32.025</v>
      </c>
      <c r="T110" s="29">
        <f t="shared" si="171"/>
        <v>82.1975</v>
      </c>
      <c r="U110" s="36">
        <v>0.9</v>
      </c>
      <c r="V110" s="35">
        <v>72.0</v>
      </c>
      <c r="W110" s="29">
        <f t="shared" si="172"/>
        <v>7.2</v>
      </c>
      <c r="X110" s="37">
        <v>1.1</v>
      </c>
      <c r="Y110" s="29">
        <f t="shared" si="173"/>
        <v>0</v>
      </c>
      <c r="Z110" s="33">
        <f t="shared" si="174"/>
        <v>5.6903</v>
      </c>
      <c r="AA110" s="34">
        <v>0.07</v>
      </c>
      <c r="AB110" s="29">
        <f t="shared" si="175"/>
        <v>149.45</v>
      </c>
      <c r="AC110" s="36">
        <v>0.08</v>
      </c>
      <c r="AD110" s="29">
        <f t="shared" si="176"/>
        <v>170.8</v>
      </c>
      <c r="AE110" s="29">
        <f t="shared" si="177"/>
        <v>320.25</v>
      </c>
      <c r="AF110" s="38">
        <f t="shared" si="178"/>
        <v>0.15</v>
      </c>
      <c r="AG110" s="39">
        <f t="shared" si="179"/>
        <v>454.6672</v>
      </c>
      <c r="AH110" s="40">
        <f t="shared" si="180"/>
        <v>134.4172</v>
      </c>
      <c r="AI110" s="41">
        <f t="shared" si="181"/>
        <v>0.06295887588</v>
      </c>
      <c r="AJ110" s="42">
        <f t="shared" si="182"/>
        <v>0.2497671739</v>
      </c>
      <c r="AK110" s="29">
        <f t="shared" si="183"/>
        <v>1768.240928</v>
      </c>
      <c r="AL110" s="29">
        <f t="shared" si="184"/>
        <v>0</v>
      </c>
    </row>
    <row r="111" ht="28.5" customHeight="1">
      <c r="A111" s="21" t="s">
        <v>157</v>
      </c>
      <c r="B111" s="23"/>
      <c r="C111" s="24"/>
      <c r="D111" s="29">
        <v>543.0</v>
      </c>
      <c r="E111" s="26">
        <v>2225.0</v>
      </c>
      <c r="F111" s="26">
        <v>156.0</v>
      </c>
      <c r="G111" s="26">
        <v>23.0</v>
      </c>
      <c r="H111" s="26">
        <v>2135.0</v>
      </c>
      <c r="I111" s="28">
        <v>0.45</v>
      </c>
      <c r="J111" s="30">
        <f t="shared" si="165"/>
        <v>1174.25</v>
      </c>
      <c r="K111" s="31">
        <v>478.05</v>
      </c>
      <c r="L111" s="32">
        <f t="shared" si="166"/>
        <v>60</v>
      </c>
      <c r="M111" s="33">
        <f t="shared" si="167"/>
        <v>538.05</v>
      </c>
      <c r="N111" s="34">
        <v>0.41</v>
      </c>
      <c r="O111" s="29">
        <f t="shared" si="168"/>
        <v>875.35</v>
      </c>
      <c r="P111" s="35">
        <v>72.0</v>
      </c>
      <c r="Q111" s="29">
        <f t="shared" si="169"/>
        <v>42.7</v>
      </c>
      <c r="R111" s="35">
        <v>25.0</v>
      </c>
      <c r="S111" s="29">
        <f t="shared" si="170"/>
        <v>32.025</v>
      </c>
      <c r="T111" s="29">
        <f t="shared" si="171"/>
        <v>82.1975</v>
      </c>
      <c r="U111" s="36">
        <v>0.9</v>
      </c>
      <c r="V111" s="35">
        <v>72.0</v>
      </c>
      <c r="W111" s="29">
        <f t="shared" si="172"/>
        <v>7.2</v>
      </c>
      <c r="X111" s="37">
        <v>1.1</v>
      </c>
      <c r="Y111" s="29">
        <f t="shared" si="173"/>
        <v>0</v>
      </c>
      <c r="Z111" s="33">
        <f t="shared" si="174"/>
        <v>5.6903</v>
      </c>
      <c r="AA111" s="34">
        <v>0.07</v>
      </c>
      <c r="AB111" s="29">
        <f t="shared" si="175"/>
        <v>149.45</v>
      </c>
      <c r="AC111" s="36">
        <v>0.08</v>
      </c>
      <c r="AD111" s="29">
        <f t="shared" si="176"/>
        <v>170.8</v>
      </c>
      <c r="AE111" s="29">
        <f t="shared" si="177"/>
        <v>320.25</v>
      </c>
      <c r="AF111" s="38">
        <f t="shared" si="178"/>
        <v>0.15</v>
      </c>
      <c r="AG111" s="39">
        <f t="shared" si="179"/>
        <v>454.7872</v>
      </c>
      <c r="AH111" s="40">
        <f t="shared" si="180"/>
        <v>134.5372</v>
      </c>
      <c r="AI111" s="41">
        <f t="shared" si="181"/>
        <v>0.06301508197</v>
      </c>
      <c r="AJ111" s="42">
        <f t="shared" si="182"/>
        <v>0.2500459065</v>
      </c>
      <c r="AK111" s="29">
        <f t="shared" si="183"/>
        <v>1767.913506</v>
      </c>
      <c r="AL111" s="29">
        <f t="shared" si="184"/>
        <v>0</v>
      </c>
    </row>
    <row r="112" ht="14.25" customHeight="1">
      <c r="A112" s="20" t="s">
        <v>158</v>
      </c>
      <c r="B112" s="19"/>
      <c r="C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</row>
    <row r="113" ht="14.25" customHeight="1">
      <c r="A113" s="21" t="s">
        <v>159</v>
      </c>
      <c r="B113" s="52" t="s">
        <v>84</v>
      </c>
      <c r="C113" s="24"/>
      <c r="D113" s="29">
        <v>7158.0</v>
      </c>
      <c r="E113" s="26">
        <v>2335.0</v>
      </c>
      <c r="F113" s="26">
        <v>4000.0</v>
      </c>
      <c r="G113" s="26">
        <v>3.0</v>
      </c>
      <c r="H113" s="26">
        <v>2200.0</v>
      </c>
      <c r="I113" s="28">
        <v>0.45</v>
      </c>
      <c r="J113" s="30">
        <f>H113*(1-I113)</f>
        <v>1210</v>
      </c>
      <c r="K113" s="31">
        <v>463.19</v>
      </c>
      <c r="L113" s="32">
        <f>$H$5</f>
        <v>60</v>
      </c>
      <c r="M113" s="33">
        <f>K113+L113</f>
        <v>523.19</v>
      </c>
      <c r="N113" s="34">
        <v>0.41</v>
      </c>
      <c r="O113" s="29">
        <f>H113*N113</f>
        <v>902</v>
      </c>
      <c r="P113" s="35">
        <v>74.0</v>
      </c>
      <c r="Q113" s="29">
        <f>H113*$H$8</f>
        <v>44</v>
      </c>
      <c r="R113" s="35">
        <v>25.0</v>
      </c>
      <c r="S113" s="29">
        <f>H113*$H$4</f>
        <v>33</v>
      </c>
      <c r="T113" s="29">
        <f>J113*$H$3</f>
        <v>84.7</v>
      </c>
      <c r="U113" s="36">
        <v>0.9</v>
      </c>
      <c r="V113" s="35">
        <v>74.0</v>
      </c>
      <c r="W113" s="29">
        <f>V113*(1-U113)</f>
        <v>7.4</v>
      </c>
      <c r="X113" s="37">
        <v>1.28</v>
      </c>
      <c r="Y113" s="29">
        <f>$H$6*$H$7*X113</f>
        <v>0</v>
      </c>
      <c r="Z113" s="33">
        <f>X113*($H$9+$H$10)</f>
        <v>6.62144</v>
      </c>
      <c r="AA113" s="34">
        <v>0.07</v>
      </c>
      <c r="AB113" s="29">
        <f>H113*AA113</f>
        <v>154</v>
      </c>
      <c r="AC113" s="36">
        <v>0.08</v>
      </c>
      <c r="AD113" s="29">
        <f>H113*AC113</f>
        <v>176</v>
      </c>
      <c r="AE113" s="29">
        <f>AB113+AD113</f>
        <v>330</v>
      </c>
      <c r="AF113" s="38">
        <f>AE113/H113</f>
        <v>0.15</v>
      </c>
      <c r="AG113" s="39">
        <f>H113-O113-P113-Q113-R113-S113-T113-W113-Y113-Z113-M113-AL113</f>
        <v>500.08856</v>
      </c>
      <c r="AH113" s="40">
        <f>AG113-AE113</f>
        <v>170.08856</v>
      </c>
      <c r="AI113" s="41">
        <f>AH113/H113</f>
        <v>0.07731298182</v>
      </c>
      <c r="AJ113" s="42">
        <f>AH113/M113</f>
        <v>0.3250990271</v>
      </c>
      <c r="AK113" s="29">
        <f>(P113+R113+W113+Y113+Z113+M113)/(1-(N113+$H$4+(1-I113)*$H$3+$H$8+$H$11+AA113+AC113))</f>
        <v>1735.91116</v>
      </c>
      <c r="AL113" s="29">
        <f>H113*$H$11</f>
        <v>0</v>
      </c>
    </row>
    <row r="114" ht="28.5" customHeight="1">
      <c r="A114" s="44" t="s">
        <v>160</v>
      </c>
      <c r="B114" s="45"/>
      <c r="C114" s="45"/>
      <c r="D114" s="29">
        <v>260.0</v>
      </c>
      <c r="E114" s="29"/>
      <c r="F114" s="29"/>
      <c r="G114" s="29"/>
      <c r="H114" s="29"/>
      <c r="I114" s="46"/>
      <c r="J114" s="30"/>
      <c r="K114" s="32"/>
      <c r="L114" s="32"/>
      <c r="M114" s="33"/>
      <c r="N114" s="47"/>
      <c r="O114" s="29"/>
      <c r="P114" s="29"/>
      <c r="Q114" s="29"/>
      <c r="R114" s="29"/>
      <c r="S114" s="29"/>
      <c r="T114" s="29"/>
      <c r="U114" s="41"/>
      <c r="V114" s="29"/>
      <c r="W114" s="29"/>
      <c r="X114" s="48"/>
      <c r="Y114" s="29"/>
      <c r="Z114" s="33"/>
      <c r="AA114" s="47"/>
      <c r="AB114" s="29"/>
      <c r="AC114" s="41"/>
      <c r="AD114" s="29"/>
      <c r="AE114" s="29"/>
      <c r="AF114" s="38"/>
      <c r="AG114" s="39"/>
      <c r="AH114" s="29"/>
      <c r="AI114" s="41"/>
      <c r="AJ114" s="41"/>
      <c r="AK114" s="29"/>
    </row>
    <row r="115" ht="28.5" customHeight="1">
      <c r="A115" s="21" t="s">
        <v>161</v>
      </c>
      <c r="B115" s="58"/>
      <c r="C115" s="24"/>
      <c r="D115" s="29">
        <v>1422.0</v>
      </c>
      <c r="E115" s="26"/>
      <c r="F115" s="26"/>
      <c r="G115" s="26"/>
      <c r="H115" s="26">
        <f>(1.25*M115+P115+R115+W115+Y115+Z115)/(1-N115-$H$8-$H$4-(1-I115)*$H$3-$H$11-AA115-AC115)</f>
        <v>2232.574079</v>
      </c>
      <c r="I115" s="28">
        <v>0.45</v>
      </c>
      <c r="J115" s="30">
        <f>H115*(1-I115)</f>
        <v>1227.915744</v>
      </c>
      <c r="K115" s="31">
        <v>512.32</v>
      </c>
      <c r="L115" s="32">
        <f>$H$5</f>
        <v>60</v>
      </c>
      <c r="M115" s="33">
        <f>K115+L115</f>
        <v>572.32</v>
      </c>
      <c r="N115" s="34">
        <v>0.41</v>
      </c>
      <c r="O115" s="29">
        <f>H115*N115</f>
        <v>915.3553724</v>
      </c>
      <c r="P115" s="35">
        <v>67.0</v>
      </c>
      <c r="Q115" s="29">
        <f>H115*$H$8</f>
        <v>44.65148158</v>
      </c>
      <c r="R115" s="35">
        <v>25.0</v>
      </c>
      <c r="S115" s="29">
        <f>H115*$H$4</f>
        <v>33.48861119</v>
      </c>
      <c r="T115" s="29">
        <f>J115*$H$3</f>
        <v>85.95410205</v>
      </c>
      <c r="U115" s="36">
        <v>0.9</v>
      </c>
      <c r="V115" s="35">
        <v>67.0</v>
      </c>
      <c r="W115" s="29">
        <f>V115*(1-U115)</f>
        <v>6.7</v>
      </c>
      <c r="X115" s="37">
        <v>0.8</v>
      </c>
      <c r="Y115" s="29">
        <f>$H$6*$H$7*X115</f>
        <v>0</v>
      </c>
      <c r="Z115" s="33">
        <f>X115*($H$9+$H$10)</f>
        <v>4.1384</v>
      </c>
      <c r="AA115" s="34">
        <v>0.07</v>
      </c>
      <c r="AB115" s="29">
        <f>H115*AA115</f>
        <v>156.2801855</v>
      </c>
      <c r="AC115" s="36">
        <v>0.08</v>
      </c>
      <c r="AD115" s="29">
        <f>H115*AC115</f>
        <v>178.6059263</v>
      </c>
      <c r="AE115" s="29">
        <f>AB115+AD115</f>
        <v>334.8861119</v>
      </c>
      <c r="AF115" s="38">
        <f>AE115/H115</f>
        <v>0.15</v>
      </c>
      <c r="AG115" s="39">
        <f>H115-O115-P115-Q115-R115-S115-T115-W115-Y115-Z115-M115-AL115</f>
        <v>477.9661119</v>
      </c>
      <c r="AH115" s="40">
        <f>AG115-AE115</f>
        <v>143.08</v>
      </c>
      <c r="AI115" s="41">
        <f>AH115/H115</f>
        <v>0.06408745911</v>
      </c>
      <c r="AJ115" s="42">
        <f>AH115/M115</f>
        <v>0.25</v>
      </c>
      <c r="AK115" s="29">
        <f>(P115+R115+W115+Y115+Z115+M115)/(1-(N115+$H$4+(1-I115)*$H$3+$H$8+$H$11+AA115+AC115))</f>
        <v>1842.178445</v>
      </c>
      <c r="AL115" s="29">
        <f>H115*$H$11</f>
        <v>0</v>
      </c>
    </row>
    <row r="116" ht="28.5" customHeight="1">
      <c r="A116" s="44" t="s">
        <v>162</v>
      </c>
      <c r="B116" s="45"/>
      <c r="C116" s="45"/>
      <c r="D116" s="29">
        <v>150.0</v>
      </c>
      <c r="E116" s="29"/>
      <c r="F116" s="29"/>
      <c r="G116" s="29"/>
      <c r="H116" s="29"/>
      <c r="I116" s="46"/>
      <c r="J116" s="30"/>
      <c r="K116" s="32"/>
      <c r="L116" s="32"/>
      <c r="M116" s="33"/>
      <c r="N116" s="47"/>
      <c r="O116" s="29"/>
      <c r="P116" s="29"/>
      <c r="Q116" s="29"/>
      <c r="R116" s="29"/>
      <c r="S116" s="29"/>
      <c r="T116" s="29"/>
      <c r="U116" s="41"/>
      <c r="V116" s="29"/>
      <c r="W116" s="29"/>
      <c r="X116" s="48"/>
      <c r="Y116" s="29"/>
      <c r="Z116" s="33"/>
      <c r="AA116" s="47"/>
      <c r="AB116" s="29"/>
      <c r="AC116" s="41"/>
      <c r="AD116" s="29"/>
      <c r="AE116" s="29"/>
      <c r="AF116" s="38"/>
      <c r="AG116" s="39"/>
      <c r="AH116" s="29"/>
      <c r="AI116" s="41"/>
      <c r="AJ116" s="41"/>
      <c r="AK116" s="29"/>
    </row>
    <row r="117" ht="28.5" customHeight="1">
      <c r="A117" s="44" t="s">
        <v>163</v>
      </c>
      <c r="B117" s="45"/>
      <c r="C117" s="45"/>
      <c r="D117" s="29">
        <v>37.0</v>
      </c>
      <c r="E117" s="29"/>
      <c r="F117" s="29"/>
      <c r="G117" s="29"/>
      <c r="H117" s="29"/>
      <c r="I117" s="46"/>
      <c r="J117" s="30"/>
      <c r="K117" s="32"/>
      <c r="L117" s="32"/>
      <c r="M117" s="33"/>
      <c r="N117" s="47"/>
      <c r="O117" s="29"/>
      <c r="P117" s="29"/>
      <c r="Q117" s="29"/>
      <c r="R117" s="29"/>
      <c r="S117" s="29"/>
      <c r="T117" s="29"/>
      <c r="U117" s="41"/>
      <c r="V117" s="29"/>
      <c r="W117" s="29"/>
      <c r="X117" s="48"/>
      <c r="Y117" s="29"/>
      <c r="Z117" s="33"/>
      <c r="AA117" s="47"/>
      <c r="AB117" s="29"/>
      <c r="AC117" s="41"/>
      <c r="AD117" s="29"/>
      <c r="AE117" s="29"/>
      <c r="AF117" s="38"/>
      <c r="AG117" s="39"/>
      <c r="AH117" s="29"/>
      <c r="AI117" s="41"/>
      <c r="AJ117" s="41"/>
      <c r="AK117" s="29"/>
    </row>
    <row r="118" ht="14.25" customHeight="1">
      <c r="A118" s="21" t="s">
        <v>164</v>
      </c>
      <c r="B118" s="59" t="s">
        <v>84</v>
      </c>
      <c r="C118" s="4"/>
      <c r="D118" s="29">
        <v>998.0</v>
      </c>
      <c r="E118" s="26">
        <v>3400.0</v>
      </c>
      <c r="F118" s="26">
        <v>260.0</v>
      </c>
      <c r="G118" s="26">
        <v>2.0</v>
      </c>
      <c r="H118" s="26">
        <v>3100.0</v>
      </c>
      <c r="I118" s="28">
        <v>0.45</v>
      </c>
      <c r="J118" s="30">
        <f>H118*(1-I118)</f>
        <v>1705</v>
      </c>
      <c r="K118" s="31">
        <v>463.19</v>
      </c>
      <c r="L118" s="32">
        <f>$H$5</f>
        <v>60</v>
      </c>
      <c r="M118" s="33">
        <f>K118+L118</f>
        <v>523.19</v>
      </c>
      <c r="N118" s="34">
        <v>0.41</v>
      </c>
      <c r="O118" s="29">
        <f>H118*N118</f>
        <v>1271</v>
      </c>
      <c r="P118" s="35">
        <v>74.0</v>
      </c>
      <c r="Q118" s="29">
        <f>H118*$H$8</f>
        <v>62</v>
      </c>
      <c r="R118" s="35">
        <v>25.0</v>
      </c>
      <c r="S118" s="29">
        <f>H118*$H$4</f>
        <v>46.5</v>
      </c>
      <c r="T118" s="29">
        <f>J118*$H$3</f>
        <v>119.35</v>
      </c>
      <c r="U118" s="36">
        <v>0.9</v>
      </c>
      <c r="V118" s="35">
        <v>74.0</v>
      </c>
      <c r="W118" s="29">
        <f>V118*(1-U118)</f>
        <v>7.4</v>
      </c>
      <c r="X118" s="37">
        <v>1.28</v>
      </c>
      <c r="Y118" s="29">
        <f>$H$6*$H$7*X118</f>
        <v>0</v>
      </c>
      <c r="Z118" s="33">
        <f>X118*($H$9+$H$10)</f>
        <v>6.62144</v>
      </c>
      <c r="AA118" s="34">
        <v>0.07</v>
      </c>
      <c r="AB118" s="29">
        <f>H118*AA118</f>
        <v>217</v>
      </c>
      <c r="AC118" s="36">
        <v>0.08</v>
      </c>
      <c r="AD118" s="29">
        <f>H118*AC118</f>
        <v>248</v>
      </c>
      <c r="AE118" s="29">
        <f>AB118+AD118</f>
        <v>465</v>
      </c>
      <c r="AF118" s="38">
        <f>AE118/H118</f>
        <v>0.15</v>
      </c>
      <c r="AG118" s="39">
        <f>H118-O118-P118-Q118-R118-S118-T118-W118-Y118-Z118-M118-AL118</f>
        <v>964.93856</v>
      </c>
      <c r="AH118" s="40">
        <f>AG118-AE118</f>
        <v>499.93856</v>
      </c>
      <c r="AI118" s="41">
        <f>AH118/H118</f>
        <v>0.1612705032</v>
      </c>
      <c r="AJ118" s="42">
        <f>AH118/M118</f>
        <v>0.9555583249</v>
      </c>
      <c r="AK118" s="29">
        <f>(P118+R118+W118+Y118+Z118+M118)/(1-(N118+$H$4+(1-I118)*$H$3+$H$8+$H$11+AA118+AC118))</f>
        <v>1735.91116</v>
      </c>
      <c r="AL118" s="29">
        <f>H118*$H$11</f>
        <v>0</v>
      </c>
    </row>
    <row r="119" ht="14.25" customHeight="1">
      <c r="A119" s="20" t="s">
        <v>165</v>
      </c>
      <c r="B119" s="19"/>
      <c r="C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</row>
    <row r="120" ht="28.5" customHeight="1">
      <c r="A120" s="44" t="s">
        <v>166</v>
      </c>
      <c r="B120" s="45"/>
      <c r="C120" s="45"/>
      <c r="D120" s="29">
        <v>30.0</v>
      </c>
      <c r="E120" s="29"/>
      <c r="F120" s="29"/>
      <c r="G120" s="29"/>
      <c r="H120" s="29"/>
      <c r="I120" s="46"/>
      <c r="J120" s="30"/>
      <c r="K120" s="32"/>
      <c r="L120" s="32"/>
      <c r="M120" s="33"/>
      <c r="N120" s="47"/>
      <c r="O120" s="29"/>
      <c r="P120" s="29"/>
      <c r="Q120" s="29"/>
      <c r="R120" s="29"/>
      <c r="S120" s="29"/>
      <c r="T120" s="29"/>
      <c r="U120" s="41"/>
      <c r="V120" s="29"/>
      <c r="W120" s="29"/>
      <c r="X120" s="48"/>
      <c r="Y120" s="29"/>
      <c r="Z120" s="33"/>
      <c r="AA120" s="47"/>
      <c r="AB120" s="29"/>
      <c r="AC120" s="41"/>
      <c r="AD120" s="29"/>
      <c r="AE120" s="29"/>
      <c r="AF120" s="38"/>
      <c r="AG120" s="39"/>
      <c r="AH120" s="29"/>
      <c r="AI120" s="41"/>
      <c r="AJ120" s="41"/>
      <c r="AK120" s="29"/>
    </row>
    <row r="121" ht="28.5" customHeight="1">
      <c r="A121" s="44" t="s">
        <v>167</v>
      </c>
      <c r="B121" s="45"/>
      <c r="C121" s="45"/>
      <c r="D121" s="29">
        <v>22.0</v>
      </c>
      <c r="E121" s="29"/>
      <c r="F121" s="29"/>
      <c r="G121" s="29"/>
      <c r="H121" s="29"/>
      <c r="I121" s="46"/>
      <c r="J121" s="30"/>
      <c r="K121" s="32"/>
      <c r="L121" s="32"/>
      <c r="M121" s="33"/>
      <c r="N121" s="47"/>
      <c r="O121" s="29"/>
      <c r="P121" s="29"/>
      <c r="Q121" s="29"/>
      <c r="R121" s="29"/>
      <c r="S121" s="29"/>
      <c r="T121" s="29"/>
      <c r="U121" s="41"/>
      <c r="V121" s="29"/>
      <c r="W121" s="29"/>
      <c r="X121" s="48"/>
      <c r="Y121" s="29"/>
      <c r="Z121" s="33"/>
      <c r="AA121" s="47"/>
      <c r="AB121" s="29"/>
      <c r="AC121" s="41"/>
      <c r="AD121" s="29"/>
      <c r="AE121" s="29"/>
      <c r="AF121" s="38"/>
      <c r="AG121" s="39"/>
      <c r="AH121" s="29"/>
      <c r="AI121" s="41"/>
      <c r="AJ121" s="41"/>
      <c r="AK121" s="29"/>
    </row>
    <row r="122" ht="14.25" customHeight="1">
      <c r="A122" s="20" t="s">
        <v>168</v>
      </c>
      <c r="B122" s="19"/>
      <c r="C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</row>
    <row r="123" ht="28.5" customHeight="1">
      <c r="A123" s="44" t="s">
        <v>169</v>
      </c>
      <c r="B123" s="45"/>
      <c r="C123" s="45"/>
      <c r="D123" s="29">
        <v>527.0</v>
      </c>
      <c r="E123" s="29"/>
      <c r="F123" s="29"/>
      <c r="G123" s="29"/>
      <c r="H123" s="29"/>
      <c r="I123" s="46"/>
      <c r="J123" s="30"/>
      <c r="K123" s="32"/>
      <c r="L123" s="32"/>
      <c r="M123" s="33"/>
      <c r="N123" s="47"/>
      <c r="O123" s="29"/>
      <c r="P123" s="29"/>
      <c r="Q123" s="29"/>
      <c r="R123" s="29"/>
      <c r="S123" s="29"/>
      <c r="T123" s="29"/>
      <c r="U123" s="41"/>
      <c r="V123" s="29"/>
      <c r="W123" s="29"/>
      <c r="X123" s="48"/>
      <c r="Y123" s="29"/>
      <c r="Z123" s="33"/>
      <c r="AA123" s="47"/>
      <c r="AB123" s="29"/>
      <c r="AC123" s="41"/>
      <c r="AD123" s="29"/>
      <c r="AE123" s="29"/>
      <c r="AF123" s="38"/>
      <c r="AG123" s="39"/>
      <c r="AH123" s="29"/>
      <c r="AI123" s="41"/>
      <c r="AJ123" s="41"/>
      <c r="AK123" s="29"/>
    </row>
    <row r="124" ht="28.5" customHeight="1">
      <c r="A124" s="44" t="s">
        <v>170</v>
      </c>
      <c r="B124" s="45"/>
      <c r="C124" s="45"/>
      <c r="D124" s="29">
        <v>55.0</v>
      </c>
      <c r="E124" s="29"/>
      <c r="F124" s="29"/>
      <c r="G124" s="29"/>
      <c r="H124" s="29"/>
      <c r="I124" s="46"/>
      <c r="J124" s="30"/>
      <c r="K124" s="32"/>
      <c r="L124" s="32"/>
      <c r="M124" s="33"/>
      <c r="N124" s="47"/>
      <c r="O124" s="29"/>
      <c r="P124" s="29"/>
      <c r="Q124" s="29"/>
      <c r="R124" s="29"/>
      <c r="S124" s="29"/>
      <c r="T124" s="29"/>
      <c r="U124" s="41"/>
      <c r="V124" s="29"/>
      <c r="W124" s="29"/>
      <c r="X124" s="48"/>
      <c r="Y124" s="29"/>
      <c r="Z124" s="33"/>
      <c r="AA124" s="47"/>
      <c r="AB124" s="29"/>
      <c r="AC124" s="41"/>
      <c r="AD124" s="29"/>
      <c r="AE124" s="29"/>
      <c r="AF124" s="38"/>
      <c r="AG124" s="39"/>
      <c r="AH124" s="29"/>
      <c r="AI124" s="41"/>
      <c r="AJ124" s="41"/>
      <c r="AK124" s="29"/>
    </row>
    <row r="125" ht="14.25" customHeight="1">
      <c r="A125" s="20" t="s">
        <v>171</v>
      </c>
      <c r="B125" s="19"/>
      <c r="C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</row>
    <row r="126" ht="28.5" customHeight="1">
      <c r="A126" s="44" t="s">
        <v>172</v>
      </c>
      <c r="B126" s="45"/>
      <c r="C126" s="45"/>
      <c r="D126" s="29">
        <v>117.0</v>
      </c>
      <c r="E126" s="29"/>
      <c r="F126" s="29"/>
      <c r="G126" s="29"/>
      <c r="H126" s="29"/>
      <c r="I126" s="46"/>
      <c r="J126" s="30"/>
      <c r="K126" s="32"/>
      <c r="L126" s="32"/>
      <c r="M126" s="33"/>
      <c r="N126" s="47"/>
      <c r="O126" s="29"/>
      <c r="P126" s="29"/>
      <c r="Q126" s="29"/>
      <c r="R126" s="29"/>
      <c r="S126" s="29"/>
      <c r="T126" s="29"/>
      <c r="U126" s="41"/>
      <c r="V126" s="29"/>
      <c r="W126" s="29"/>
      <c r="X126" s="48"/>
      <c r="Y126" s="29"/>
      <c r="Z126" s="33"/>
      <c r="AA126" s="47"/>
      <c r="AB126" s="29"/>
      <c r="AC126" s="41"/>
      <c r="AD126" s="29"/>
      <c r="AE126" s="29"/>
      <c r="AF126" s="38"/>
      <c r="AG126" s="39"/>
      <c r="AH126" s="29"/>
      <c r="AI126" s="41"/>
      <c r="AJ126" s="41"/>
      <c r="AK126" s="29"/>
    </row>
    <row r="127" ht="28.5" customHeight="1">
      <c r="A127" s="44" t="s">
        <v>173</v>
      </c>
      <c r="B127" s="45"/>
      <c r="C127" s="45"/>
      <c r="D127" s="29">
        <v>32.0</v>
      </c>
      <c r="E127" s="29"/>
      <c r="F127" s="29"/>
      <c r="G127" s="29"/>
      <c r="H127" s="29"/>
      <c r="I127" s="46"/>
      <c r="J127" s="30"/>
      <c r="K127" s="32"/>
      <c r="L127" s="32"/>
      <c r="M127" s="33"/>
      <c r="N127" s="47"/>
      <c r="O127" s="29"/>
      <c r="P127" s="29"/>
      <c r="Q127" s="29"/>
      <c r="R127" s="29"/>
      <c r="S127" s="29"/>
      <c r="T127" s="29"/>
      <c r="U127" s="41"/>
      <c r="V127" s="29"/>
      <c r="W127" s="29"/>
      <c r="X127" s="48"/>
      <c r="Y127" s="29"/>
      <c r="Z127" s="33"/>
      <c r="AA127" s="47"/>
      <c r="AB127" s="29"/>
      <c r="AC127" s="41"/>
      <c r="AD127" s="29"/>
      <c r="AE127" s="29"/>
      <c r="AF127" s="38"/>
      <c r="AG127" s="39"/>
      <c r="AH127" s="29"/>
      <c r="AI127" s="41"/>
      <c r="AJ127" s="41"/>
      <c r="AK127" s="29"/>
    </row>
    <row r="128" ht="14.25" customHeight="1">
      <c r="A128" s="20" t="s">
        <v>174</v>
      </c>
      <c r="B128" s="19"/>
      <c r="C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</row>
    <row r="129" ht="14.25" customHeight="1">
      <c r="A129" s="21" t="s">
        <v>175</v>
      </c>
      <c r="B129" s="52" t="s">
        <v>84</v>
      </c>
      <c r="C129" s="24"/>
      <c r="D129" s="29">
        <v>4929.0</v>
      </c>
      <c r="E129" s="26">
        <v>2600.0</v>
      </c>
      <c r="F129" s="26">
        <v>5500.0</v>
      </c>
      <c r="G129" s="26" t="s">
        <v>176</v>
      </c>
      <c r="H129" s="26">
        <v>2450.0</v>
      </c>
      <c r="I129" s="28">
        <v>0.45</v>
      </c>
      <c r="J129" s="30">
        <f t="shared" ref="J129:J132" si="185">H129*(1-I129)</f>
        <v>1347.5</v>
      </c>
      <c r="K129" s="31">
        <v>663.86</v>
      </c>
      <c r="L129" s="32">
        <f t="shared" ref="L129:L132" si="186">$H$5</f>
        <v>60</v>
      </c>
      <c r="M129" s="33">
        <f t="shared" ref="M129:M132" si="187">K129+L129</f>
        <v>723.86</v>
      </c>
      <c r="N129" s="34">
        <v>0.41</v>
      </c>
      <c r="O129" s="29">
        <f t="shared" ref="O129:O132" si="188">H129*N129</f>
        <v>1004.5</v>
      </c>
      <c r="P129" s="35">
        <v>67.0</v>
      </c>
      <c r="Q129" s="29">
        <f t="shared" ref="Q129:Q132" si="189">H129*$H$8</f>
        <v>49</v>
      </c>
      <c r="R129" s="35">
        <v>25.0</v>
      </c>
      <c r="S129" s="29">
        <f t="shared" ref="S129:S132" si="190">H129*$H$4</f>
        <v>36.75</v>
      </c>
      <c r="T129" s="29">
        <f t="shared" ref="T129:T132" si="191">J129*$H$3</f>
        <v>94.325</v>
      </c>
      <c r="U129" s="36">
        <v>0.9</v>
      </c>
      <c r="V129" s="35">
        <v>67.0</v>
      </c>
      <c r="W129" s="29">
        <f t="shared" ref="W129:W132" si="192">V129*(1-U129)</f>
        <v>6.7</v>
      </c>
      <c r="X129" s="37">
        <v>0.735</v>
      </c>
      <c r="Y129" s="29">
        <f t="shared" ref="Y129:Y132" si="193">$H$6*$H$7*X129</f>
        <v>0</v>
      </c>
      <c r="Z129" s="33">
        <f t="shared" ref="Z129:Z132" si="194">X129*($H$9+$H$10)</f>
        <v>3.802155</v>
      </c>
      <c r="AA129" s="34">
        <v>0.07</v>
      </c>
      <c r="AB129" s="29">
        <f t="shared" ref="AB129:AB132" si="195">H129*AA129</f>
        <v>171.5</v>
      </c>
      <c r="AC129" s="36">
        <v>0.08</v>
      </c>
      <c r="AD129" s="29">
        <f t="shared" ref="AD129:AD132" si="196">H129*AC129</f>
        <v>196</v>
      </c>
      <c r="AE129" s="29">
        <f t="shared" ref="AE129:AE132" si="197">AB129+AD129</f>
        <v>367.5</v>
      </c>
      <c r="AF129" s="38">
        <f t="shared" ref="AF129:AF132" si="198">AE129/H129</f>
        <v>0.15</v>
      </c>
      <c r="AG129" s="39">
        <f t="shared" ref="AG129:AG132" si="199">H129-O129-P129-Q129-R129-S129-T129-W129-Y129-Z129-M129-AL129</f>
        <v>439.062845</v>
      </c>
      <c r="AH129" s="40">
        <f t="shared" ref="AH129:AH132" si="200">AG129-AE129</f>
        <v>71.562845</v>
      </c>
      <c r="AI129" s="41">
        <f t="shared" ref="AI129:AI132" si="201">AH129/H129</f>
        <v>0.02920932449</v>
      </c>
      <c r="AJ129" s="42">
        <f t="shared" ref="AJ129:AJ132" si="202">AH129/M129</f>
        <v>0.09886282568</v>
      </c>
      <c r="AK129" s="29">
        <f t="shared" ref="AK129:AK132" si="203">(P129+R129+W129+Y129+Z129+M129)/(1-(N129+$H$4+(1-I129)*$H$3+$H$8+$H$11+AA129+AC129))</f>
        <v>2254.73985</v>
      </c>
      <c r="AL129" s="29">
        <f t="shared" ref="AL129:AL132" si="204">H129*$H$11</f>
        <v>0</v>
      </c>
    </row>
    <row r="130" ht="28.5" customHeight="1">
      <c r="A130" s="21" t="s">
        <v>177</v>
      </c>
      <c r="B130" s="60" t="s">
        <v>84</v>
      </c>
      <c r="C130" s="24"/>
      <c r="D130" s="29">
        <v>9768.0</v>
      </c>
      <c r="E130" s="26">
        <v>2250.0</v>
      </c>
      <c r="F130" s="26">
        <v>3000.0</v>
      </c>
      <c r="G130" s="26">
        <v>13.0</v>
      </c>
      <c r="H130" s="26">
        <v>2150.0</v>
      </c>
      <c r="I130" s="28">
        <v>0.45</v>
      </c>
      <c r="J130" s="30">
        <f t="shared" si="185"/>
        <v>1182.5</v>
      </c>
      <c r="K130" s="31">
        <v>512.18</v>
      </c>
      <c r="L130" s="32">
        <f t="shared" si="186"/>
        <v>60</v>
      </c>
      <c r="M130" s="33">
        <f t="shared" si="187"/>
        <v>572.18</v>
      </c>
      <c r="N130" s="34">
        <v>0.41</v>
      </c>
      <c r="O130" s="29">
        <f t="shared" si="188"/>
        <v>881.5</v>
      </c>
      <c r="P130" s="35">
        <v>56.0</v>
      </c>
      <c r="Q130" s="29">
        <f t="shared" si="189"/>
        <v>43</v>
      </c>
      <c r="R130" s="35">
        <v>25.0</v>
      </c>
      <c r="S130" s="29">
        <f t="shared" si="190"/>
        <v>32.25</v>
      </c>
      <c r="T130" s="29">
        <f t="shared" si="191"/>
        <v>82.775</v>
      </c>
      <c r="U130" s="36">
        <v>0.9</v>
      </c>
      <c r="V130" s="35">
        <v>56.0</v>
      </c>
      <c r="W130" s="29">
        <f t="shared" si="192"/>
        <v>5.6</v>
      </c>
      <c r="X130" s="37">
        <v>0.18</v>
      </c>
      <c r="Y130" s="29">
        <f t="shared" si="193"/>
        <v>0</v>
      </c>
      <c r="Z130" s="33">
        <f t="shared" si="194"/>
        <v>0.93114</v>
      </c>
      <c r="AA130" s="34">
        <v>0.07</v>
      </c>
      <c r="AB130" s="29">
        <f t="shared" si="195"/>
        <v>150.5</v>
      </c>
      <c r="AC130" s="36">
        <v>0.08</v>
      </c>
      <c r="AD130" s="29">
        <f t="shared" si="196"/>
        <v>172</v>
      </c>
      <c r="AE130" s="29">
        <f t="shared" si="197"/>
        <v>322.5</v>
      </c>
      <c r="AF130" s="38">
        <f t="shared" si="198"/>
        <v>0.15</v>
      </c>
      <c r="AG130" s="39">
        <f t="shared" si="199"/>
        <v>450.76386</v>
      </c>
      <c r="AH130" s="40">
        <f t="shared" si="200"/>
        <v>128.26386</v>
      </c>
      <c r="AI130" s="41">
        <f t="shared" si="201"/>
        <v>0.0596576093</v>
      </c>
      <c r="AJ130" s="42">
        <f t="shared" si="202"/>
        <v>0.2241669754</v>
      </c>
      <c r="AK130" s="29">
        <f t="shared" si="203"/>
        <v>1800.030396</v>
      </c>
      <c r="AL130" s="29">
        <f t="shared" si="204"/>
        <v>0</v>
      </c>
    </row>
    <row r="131" ht="28.5" customHeight="1">
      <c r="A131" s="21" t="s">
        <v>178</v>
      </c>
      <c r="B131" s="60" t="s">
        <v>84</v>
      </c>
      <c r="C131" s="24" t="s">
        <v>128</v>
      </c>
      <c r="D131" s="29">
        <v>3564.0</v>
      </c>
      <c r="E131" s="26">
        <v>2450.0</v>
      </c>
      <c r="F131" s="26">
        <v>3500.0</v>
      </c>
      <c r="G131" s="26">
        <v>10.0</v>
      </c>
      <c r="H131" s="26">
        <v>2350.0</v>
      </c>
      <c r="I131" s="28">
        <v>0.45</v>
      </c>
      <c r="J131" s="30">
        <f t="shared" si="185"/>
        <v>1292.5</v>
      </c>
      <c r="K131" s="31">
        <v>532.1</v>
      </c>
      <c r="L131" s="32">
        <f t="shared" si="186"/>
        <v>60</v>
      </c>
      <c r="M131" s="33">
        <f t="shared" si="187"/>
        <v>592.1</v>
      </c>
      <c r="N131" s="34">
        <v>0.41</v>
      </c>
      <c r="O131" s="29">
        <f t="shared" si="188"/>
        <v>963.5</v>
      </c>
      <c r="P131" s="35">
        <v>63.0</v>
      </c>
      <c r="Q131" s="29">
        <f t="shared" si="189"/>
        <v>47</v>
      </c>
      <c r="R131" s="35">
        <v>25.0</v>
      </c>
      <c r="S131" s="29">
        <f t="shared" si="190"/>
        <v>35.25</v>
      </c>
      <c r="T131" s="29">
        <f t="shared" si="191"/>
        <v>90.475</v>
      </c>
      <c r="U131" s="36">
        <v>0.9</v>
      </c>
      <c r="V131" s="35">
        <v>63.0</v>
      </c>
      <c r="W131" s="29">
        <f t="shared" si="192"/>
        <v>6.3</v>
      </c>
      <c r="X131" s="37">
        <v>0.38</v>
      </c>
      <c r="Y131" s="29">
        <f t="shared" si="193"/>
        <v>0</v>
      </c>
      <c r="Z131" s="33">
        <f t="shared" si="194"/>
        <v>1.96574</v>
      </c>
      <c r="AA131" s="34">
        <v>0.07</v>
      </c>
      <c r="AB131" s="29">
        <f t="shared" si="195"/>
        <v>164.5</v>
      </c>
      <c r="AC131" s="36">
        <v>0.08</v>
      </c>
      <c r="AD131" s="29">
        <f t="shared" si="196"/>
        <v>188</v>
      </c>
      <c r="AE131" s="29">
        <f t="shared" si="197"/>
        <v>352.5</v>
      </c>
      <c r="AF131" s="38">
        <f t="shared" si="198"/>
        <v>0.15</v>
      </c>
      <c r="AG131" s="39">
        <f t="shared" si="199"/>
        <v>525.40926</v>
      </c>
      <c r="AH131" s="40">
        <f t="shared" si="200"/>
        <v>172.90926</v>
      </c>
      <c r="AI131" s="41">
        <f t="shared" si="201"/>
        <v>0.07357840851</v>
      </c>
      <c r="AJ131" s="42">
        <f t="shared" si="202"/>
        <v>0.2920271238</v>
      </c>
      <c r="AK131" s="29">
        <f t="shared" si="203"/>
        <v>1878.214843</v>
      </c>
      <c r="AL131" s="29">
        <f t="shared" si="204"/>
        <v>0</v>
      </c>
    </row>
    <row r="132" ht="28.5" customHeight="1">
      <c r="A132" s="21" t="s">
        <v>179</v>
      </c>
      <c r="B132" s="4"/>
      <c r="C132" s="24"/>
      <c r="D132" s="29">
        <v>1696.0</v>
      </c>
      <c r="E132" s="26">
        <v>775.0</v>
      </c>
      <c r="F132" s="26" t="s">
        <v>180</v>
      </c>
      <c r="G132" s="26">
        <v>11.0</v>
      </c>
      <c r="H132" s="26">
        <v>745.0</v>
      </c>
      <c r="I132" s="28">
        <v>0.45</v>
      </c>
      <c r="J132" s="30">
        <f t="shared" si="185"/>
        <v>409.75</v>
      </c>
      <c r="K132" s="31">
        <v>96.94</v>
      </c>
      <c r="L132" s="32">
        <f t="shared" si="186"/>
        <v>60</v>
      </c>
      <c r="M132" s="33">
        <f t="shared" si="187"/>
        <v>156.94</v>
      </c>
      <c r="N132" s="34">
        <v>0.41</v>
      </c>
      <c r="O132" s="29">
        <f t="shared" si="188"/>
        <v>305.45</v>
      </c>
      <c r="P132" s="35">
        <v>56.0</v>
      </c>
      <c r="Q132" s="29">
        <f t="shared" si="189"/>
        <v>14.9</v>
      </c>
      <c r="R132" s="35">
        <v>25.0</v>
      </c>
      <c r="S132" s="29">
        <f t="shared" si="190"/>
        <v>11.175</v>
      </c>
      <c r="T132" s="29">
        <f t="shared" si="191"/>
        <v>28.6825</v>
      </c>
      <c r="U132" s="36">
        <v>0.9</v>
      </c>
      <c r="V132" s="35">
        <v>56.0</v>
      </c>
      <c r="W132" s="29">
        <f t="shared" si="192"/>
        <v>5.6</v>
      </c>
      <c r="X132" s="37">
        <v>0.14</v>
      </c>
      <c r="Y132" s="29">
        <f t="shared" si="193"/>
        <v>0</v>
      </c>
      <c r="Z132" s="33">
        <f t="shared" si="194"/>
        <v>0.72422</v>
      </c>
      <c r="AA132" s="34">
        <v>0.07</v>
      </c>
      <c r="AB132" s="29">
        <f t="shared" si="195"/>
        <v>52.15</v>
      </c>
      <c r="AC132" s="36">
        <v>0.08</v>
      </c>
      <c r="AD132" s="29">
        <f t="shared" si="196"/>
        <v>59.6</v>
      </c>
      <c r="AE132" s="29">
        <f t="shared" si="197"/>
        <v>111.75</v>
      </c>
      <c r="AF132" s="38">
        <f t="shared" si="198"/>
        <v>0.15</v>
      </c>
      <c r="AG132" s="39">
        <f t="shared" si="199"/>
        <v>140.52828</v>
      </c>
      <c r="AH132" s="40">
        <f t="shared" si="200"/>
        <v>28.77828</v>
      </c>
      <c r="AI132" s="41">
        <f t="shared" si="201"/>
        <v>0.03862856376</v>
      </c>
      <c r="AJ132" s="42">
        <f t="shared" si="202"/>
        <v>0.1833712247</v>
      </c>
      <c r="AK132" s="29">
        <f t="shared" si="203"/>
        <v>666.47809</v>
      </c>
      <c r="AL132" s="29">
        <f t="shared" si="204"/>
        <v>0</v>
      </c>
    </row>
    <row r="133" ht="28.5" customHeight="1">
      <c r="A133" s="44" t="s">
        <v>181</v>
      </c>
      <c r="B133" s="45"/>
      <c r="C133" s="45"/>
      <c r="D133" s="29">
        <v>99.0</v>
      </c>
      <c r="E133" s="29"/>
      <c r="F133" s="29"/>
      <c r="G133" s="29"/>
      <c r="H133" s="29"/>
      <c r="I133" s="46"/>
      <c r="J133" s="30"/>
      <c r="K133" s="32"/>
      <c r="L133" s="32"/>
      <c r="M133" s="33"/>
      <c r="N133" s="47"/>
      <c r="O133" s="29"/>
      <c r="P133" s="29"/>
      <c r="Q133" s="29"/>
      <c r="R133" s="29"/>
      <c r="S133" s="29"/>
      <c r="T133" s="29"/>
      <c r="U133" s="41"/>
      <c r="V133" s="29"/>
      <c r="W133" s="29"/>
      <c r="X133" s="48"/>
      <c r="Y133" s="29"/>
      <c r="Z133" s="33"/>
      <c r="AA133" s="47"/>
      <c r="AB133" s="29"/>
      <c r="AC133" s="41"/>
      <c r="AD133" s="29"/>
      <c r="AE133" s="29"/>
      <c r="AF133" s="38"/>
      <c r="AG133" s="39"/>
      <c r="AH133" s="29"/>
      <c r="AI133" s="41"/>
      <c r="AJ133" s="41"/>
      <c r="AK133" s="29"/>
    </row>
    <row r="134" ht="28.5" customHeight="1">
      <c r="A134" s="44" t="s">
        <v>182</v>
      </c>
      <c r="B134" s="45"/>
      <c r="C134" s="45"/>
      <c r="D134" s="29">
        <v>446.0</v>
      </c>
      <c r="E134" s="29"/>
      <c r="F134" s="29"/>
      <c r="G134" s="29"/>
      <c r="H134" s="29"/>
      <c r="I134" s="46"/>
      <c r="J134" s="30"/>
      <c r="K134" s="32"/>
      <c r="L134" s="32"/>
      <c r="M134" s="33"/>
      <c r="N134" s="47"/>
      <c r="O134" s="29"/>
      <c r="P134" s="29"/>
      <c r="Q134" s="29"/>
      <c r="R134" s="29"/>
      <c r="S134" s="29"/>
      <c r="T134" s="29"/>
      <c r="U134" s="41"/>
      <c r="V134" s="29"/>
      <c r="W134" s="29"/>
      <c r="X134" s="48"/>
      <c r="Y134" s="29"/>
      <c r="Z134" s="33"/>
      <c r="AA134" s="47"/>
      <c r="AB134" s="29"/>
      <c r="AC134" s="41"/>
      <c r="AD134" s="29"/>
      <c r="AE134" s="29"/>
      <c r="AF134" s="38"/>
      <c r="AG134" s="39"/>
      <c r="AH134" s="29"/>
      <c r="AI134" s="41"/>
      <c r="AJ134" s="41"/>
      <c r="AK134" s="29"/>
    </row>
    <row r="135" ht="28.5" customHeight="1">
      <c r="A135" s="21" t="s">
        <v>183</v>
      </c>
      <c r="B135" s="4"/>
      <c r="C135" s="24"/>
      <c r="D135" s="29">
        <v>1620.0</v>
      </c>
      <c r="E135" s="26">
        <v>3450.0</v>
      </c>
      <c r="F135" s="26" t="s">
        <v>184</v>
      </c>
      <c r="G135" s="26">
        <v>11.0</v>
      </c>
      <c r="H135" s="26">
        <v>3150.0</v>
      </c>
      <c r="I135" s="28">
        <v>0.45</v>
      </c>
      <c r="J135" s="30">
        <f>H135*(1-I135)</f>
        <v>1732.5</v>
      </c>
      <c r="K135" s="31">
        <v>707.88</v>
      </c>
      <c r="L135" s="32">
        <f>$H$5</f>
        <v>60</v>
      </c>
      <c r="M135" s="33">
        <f>K135+L135</f>
        <v>767.88</v>
      </c>
      <c r="N135" s="34">
        <v>0.41</v>
      </c>
      <c r="O135" s="29">
        <f>H135*N135</f>
        <v>1291.5</v>
      </c>
      <c r="P135" s="35">
        <v>67.0</v>
      </c>
      <c r="Q135" s="29">
        <f>H135*$H$8</f>
        <v>63</v>
      </c>
      <c r="R135" s="35">
        <v>25.0</v>
      </c>
      <c r="S135" s="29">
        <f>H135*$H$4</f>
        <v>47.25</v>
      </c>
      <c r="T135" s="29">
        <f>J135*$H$3</f>
        <v>121.275</v>
      </c>
      <c r="U135" s="36">
        <v>0.9</v>
      </c>
      <c r="V135" s="35">
        <v>67.0</v>
      </c>
      <c r="W135" s="29">
        <f>V135*(1-U135)</f>
        <v>6.7</v>
      </c>
      <c r="X135" s="37">
        <v>0.96</v>
      </c>
      <c r="Y135" s="29">
        <f>$H$6*$H$7*X135</f>
        <v>0</v>
      </c>
      <c r="Z135" s="33">
        <f>X135*($H$9+$H$10)</f>
        <v>4.96608</v>
      </c>
      <c r="AA135" s="34">
        <v>0.07</v>
      </c>
      <c r="AB135" s="29">
        <f>H135*AA135</f>
        <v>220.5</v>
      </c>
      <c r="AC135" s="36">
        <v>0.08</v>
      </c>
      <c r="AD135" s="29">
        <f>H135*AC135</f>
        <v>252</v>
      </c>
      <c r="AE135" s="29">
        <f>AB135+AD135</f>
        <v>472.5</v>
      </c>
      <c r="AF135" s="38">
        <f>AE135/H135</f>
        <v>0.15</v>
      </c>
      <c r="AG135" s="39">
        <f>H135-O135-P135-Q135-R135-S135-T135-W135-Y135-Z135-M135-AL135</f>
        <v>755.42892</v>
      </c>
      <c r="AH135" s="40">
        <f>AG135-AE135</f>
        <v>282.92892</v>
      </c>
      <c r="AI135" s="41">
        <f>AH135/H135</f>
        <v>0.08981870476</v>
      </c>
      <c r="AJ135" s="42">
        <f>AH135/M135</f>
        <v>0.3684546023</v>
      </c>
      <c r="AK135" s="29">
        <f>(P135+R135+W135+Y135+Z135+M135)/(1-(N135+$H$4+(1-I135)*$H$3+$H$8+$H$11+AA135+AC135))</f>
        <v>2378.024775</v>
      </c>
      <c r="AL135" s="29">
        <f>H135*$H$11</f>
        <v>0</v>
      </c>
    </row>
    <row r="136" ht="28.5" customHeight="1">
      <c r="A136" s="44" t="s">
        <v>185</v>
      </c>
      <c r="B136" s="45"/>
      <c r="C136" s="45"/>
      <c r="D136" s="29">
        <v>62.0</v>
      </c>
      <c r="E136" s="29"/>
      <c r="F136" s="29"/>
      <c r="G136" s="29"/>
      <c r="H136" s="29"/>
      <c r="I136" s="46"/>
      <c r="J136" s="30"/>
      <c r="K136" s="32"/>
      <c r="L136" s="32"/>
      <c r="M136" s="33"/>
      <c r="N136" s="47"/>
      <c r="O136" s="29"/>
      <c r="P136" s="29"/>
      <c r="Q136" s="29"/>
      <c r="R136" s="29"/>
      <c r="S136" s="29"/>
      <c r="T136" s="29"/>
      <c r="U136" s="41"/>
      <c r="V136" s="29"/>
      <c r="W136" s="29"/>
      <c r="X136" s="48"/>
      <c r="Y136" s="29"/>
      <c r="Z136" s="33"/>
      <c r="AA136" s="47"/>
      <c r="AB136" s="29"/>
      <c r="AC136" s="41"/>
      <c r="AD136" s="29"/>
      <c r="AE136" s="29"/>
      <c r="AF136" s="38"/>
      <c r="AG136" s="39"/>
      <c r="AH136" s="29"/>
      <c r="AI136" s="41"/>
      <c r="AJ136" s="41"/>
      <c r="AK136" s="29"/>
    </row>
    <row r="137" ht="28.5" customHeight="1">
      <c r="A137" s="21" t="s">
        <v>186</v>
      </c>
      <c r="B137" s="4"/>
      <c r="C137" s="24"/>
      <c r="D137" s="29">
        <v>1795.0</v>
      </c>
      <c r="E137" s="26">
        <v>2880.0</v>
      </c>
      <c r="F137" s="26" t="s">
        <v>187</v>
      </c>
      <c r="G137" s="26">
        <v>21.0</v>
      </c>
      <c r="H137" s="26">
        <v>2580.0</v>
      </c>
      <c r="I137" s="28">
        <v>0.45</v>
      </c>
      <c r="J137" s="30">
        <f>H137*(1-I137)</f>
        <v>1419</v>
      </c>
      <c r="K137" s="31">
        <v>556.18</v>
      </c>
      <c r="L137" s="32">
        <f>$H$5</f>
        <v>60</v>
      </c>
      <c r="M137" s="33">
        <f>K137+L137</f>
        <v>616.18</v>
      </c>
      <c r="N137" s="34">
        <v>0.41</v>
      </c>
      <c r="O137" s="29">
        <f>H137*N137</f>
        <v>1057.8</v>
      </c>
      <c r="P137" s="35">
        <v>67.0</v>
      </c>
      <c r="Q137" s="29">
        <f>H137*$H$8</f>
        <v>51.6</v>
      </c>
      <c r="R137" s="35">
        <v>25.0</v>
      </c>
      <c r="S137" s="29">
        <f>H137*$H$4</f>
        <v>38.7</v>
      </c>
      <c r="T137" s="29">
        <f>J137*$H$3</f>
        <v>99.33</v>
      </c>
      <c r="U137" s="36">
        <v>0.9</v>
      </c>
      <c r="V137" s="35">
        <v>67.0</v>
      </c>
      <c r="W137" s="29">
        <f>V137*(1-U137)</f>
        <v>6.7</v>
      </c>
      <c r="X137" s="37">
        <v>0.57</v>
      </c>
      <c r="Y137" s="29">
        <f>$H$6*$H$7*X137</f>
        <v>0</v>
      </c>
      <c r="Z137" s="33">
        <f>X137*($H$9+$H$10)</f>
        <v>2.94861</v>
      </c>
      <c r="AA137" s="34">
        <v>0.07</v>
      </c>
      <c r="AB137" s="29">
        <f>H137*AA137</f>
        <v>180.6</v>
      </c>
      <c r="AC137" s="36">
        <v>0.08</v>
      </c>
      <c r="AD137" s="29">
        <f>H137*AC137</f>
        <v>206.4</v>
      </c>
      <c r="AE137" s="29">
        <f>AB137+AD137</f>
        <v>387</v>
      </c>
      <c r="AF137" s="38">
        <f>AE137/H137</f>
        <v>0.15</v>
      </c>
      <c r="AG137" s="39">
        <f>H137-O137-P137-Q137-R137-S137-T137-W137-Y137-Z137-M137-AL137</f>
        <v>614.74139</v>
      </c>
      <c r="AH137" s="40">
        <f>AG137-AE137</f>
        <v>227.74139</v>
      </c>
      <c r="AI137" s="41">
        <f>AH137/H137</f>
        <v>0.08827185659</v>
      </c>
      <c r="AJ137" s="42">
        <f>AH137/M137</f>
        <v>0.3696020481</v>
      </c>
      <c r="AK137" s="29">
        <f>(P137+R137+W137+Y137+Z137+M137)/(1-(N137+$H$4+(1-I137)*$H$3+$H$8+$H$11+AA137+AC137))</f>
        <v>1958.604666</v>
      </c>
      <c r="AL137" s="29">
        <f>H137*$H$11</f>
        <v>0</v>
      </c>
    </row>
    <row r="138" ht="28.5" customHeight="1">
      <c r="A138" s="44" t="s">
        <v>188</v>
      </c>
      <c r="B138" s="45"/>
      <c r="C138" s="45"/>
      <c r="D138" s="29">
        <v>124.0</v>
      </c>
      <c r="E138" s="29"/>
      <c r="F138" s="29"/>
      <c r="G138" s="29"/>
      <c r="H138" s="29"/>
      <c r="I138" s="46"/>
      <c r="J138" s="30"/>
      <c r="K138" s="32"/>
      <c r="L138" s="32"/>
      <c r="M138" s="33"/>
      <c r="N138" s="47"/>
      <c r="O138" s="29"/>
      <c r="P138" s="29"/>
      <c r="Q138" s="29"/>
      <c r="R138" s="29"/>
      <c r="S138" s="29"/>
      <c r="T138" s="29"/>
      <c r="U138" s="41"/>
      <c r="V138" s="29"/>
      <c r="W138" s="29"/>
      <c r="X138" s="48"/>
      <c r="Y138" s="29"/>
      <c r="Z138" s="33"/>
      <c r="AA138" s="47"/>
      <c r="AB138" s="29"/>
      <c r="AC138" s="41"/>
      <c r="AD138" s="29"/>
      <c r="AE138" s="29"/>
      <c r="AF138" s="38"/>
      <c r="AG138" s="39"/>
      <c r="AH138" s="29"/>
      <c r="AI138" s="41"/>
      <c r="AJ138" s="41"/>
      <c r="AK138" s="29"/>
    </row>
    <row r="139" ht="28.5" customHeight="1">
      <c r="A139" s="44" t="s">
        <v>189</v>
      </c>
      <c r="B139" s="45"/>
      <c r="C139" s="45"/>
      <c r="D139" s="29">
        <v>194.0</v>
      </c>
      <c r="E139" s="29"/>
      <c r="F139" s="29"/>
      <c r="G139" s="29"/>
      <c r="H139" s="29"/>
      <c r="I139" s="46"/>
      <c r="J139" s="30"/>
      <c r="K139" s="32"/>
      <c r="L139" s="32"/>
      <c r="M139" s="33"/>
      <c r="N139" s="47"/>
      <c r="O139" s="29"/>
      <c r="P139" s="29"/>
      <c r="Q139" s="29"/>
      <c r="R139" s="29"/>
      <c r="S139" s="29"/>
      <c r="T139" s="29"/>
      <c r="U139" s="41"/>
      <c r="V139" s="29"/>
      <c r="W139" s="29"/>
      <c r="X139" s="48"/>
      <c r="Y139" s="29"/>
      <c r="Z139" s="33"/>
      <c r="AA139" s="47"/>
      <c r="AB139" s="29"/>
      <c r="AC139" s="41"/>
      <c r="AD139" s="29"/>
      <c r="AE139" s="29"/>
      <c r="AF139" s="38"/>
      <c r="AG139" s="39"/>
      <c r="AH139" s="29"/>
      <c r="AI139" s="41"/>
      <c r="AJ139" s="41"/>
      <c r="AK139" s="29"/>
    </row>
    <row r="140" ht="14.25" customHeight="1">
      <c r="A140" s="20" t="s">
        <v>190</v>
      </c>
      <c r="B140" s="19"/>
      <c r="C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</row>
    <row r="141" ht="14.25" customHeight="1">
      <c r="A141" s="21" t="s">
        <v>191</v>
      </c>
      <c r="B141" s="58" t="s">
        <v>202</v>
      </c>
      <c r="C141" s="24"/>
      <c r="D141" s="29">
        <v>1071.0</v>
      </c>
      <c r="E141" s="26">
        <v>6000.0</v>
      </c>
      <c r="F141" s="26">
        <v>500.0</v>
      </c>
      <c r="G141" s="26">
        <v>10.0</v>
      </c>
      <c r="H141" s="26">
        <v>5700.0</v>
      </c>
      <c r="I141" s="28">
        <v>0.45</v>
      </c>
      <c r="J141" s="30">
        <f t="shared" ref="J141:J142" si="205">H141*(1-I141)</f>
        <v>3135</v>
      </c>
      <c r="K141" s="31">
        <v>1335.95</v>
      </c>
      <c r="L141" s="32">
        <f t="shared" ref="L141:L142" si="206">$H$5</f>
        <v>60</v>
      </c>
      <c r="M141" s="33">
        <f t="shared" ref="M141:M142" si="207">K141+L141</f>
        <v>1395.95</v>
      </c>
      <c r="N141" s="34">
        <v>0.41</v>
      </c>
      <c r="O141" s="29">
        <f t="shared" ref="O141:O142" si="208">H141*N141</f>
        <v>2337</v>
      </c>
      <c r="P141" s="35">
        <v>63.0</v>
      </c>
      <c r="Q141" s="29">
        <f t="shared" ref="Q141:Q142" si="209">H141*$H$8</f>
        <v>114</v>
      </c>
      <c r="R141" s="35">
        <v>25.0</v>
      </c>
      <c r="S141" s="29">
        <f t="shared" ref="S141:S142" si="210">H141*$H$4</f>
        <v>85.5</v>
      </c>
      <c r="T141" s="29">
        <f t="shared" ref="T141:T142" si="211">J141*$H$3</f>
        <v>219.45</v>
      </c>
      <c r="U141" s="36">
        <v>0.9</v>
      </c>
      <c r="V141" s="35">
        <v>63.0</v>
      </c>
      <c r="W141" s="29">
        <f t="shared" ref="W141:W142" si="212">V141*(1-U141)</f>
        <v>6.3</v>
      </c>
      <c r="X141" s="37">
        <v>0.3</v>
      </c>
      <c r="Y141" s="29">
        <f t="shared" ref="Y141:Y142" si="213">$H$6*$H$7*X141</f>
        <v>0</v>
      </c>
      <c r="Z141" s="33">
        <f t="shared" ref="Z141:Z142" si="214">X141*($H$9+$H$10)</f>
        <v>1.5519</v>
      </c>
      <c r="AA141" s="34">
        <v>0.07</v>
      </c>
      <c r="AB141" s="29">
        <f t="shared" ref="AB141:AB142" si="215">H141*AA141</f>
        <v>399</v>
      </c>
      <c r="AC141" s="36">
        <v>0.08</v>
      </c>
      <c r="AD141" s="29">
        <f t="shared" ref="AD141:AD142" si="216">H141*AC141</f>
        <v>456</v>
      </c>
      <c r="AE141" s="29">
        <f t="shared" ref="AE141:AE142" si="217">AB141+AD141</f>
        <v>855</v>
      </c>
      <c r="AF141" s="38">
        <f t="shared" ref="AF141:AF142" si="218">AE141/H141</f>
        <v>0.15</v>
      </c>
      <c r="AG141" s="39">
        <f t="shared" ref="AG141:AG142" si="219">H141-O141-P141-Q141-R141-S141-T141-W141-Y141-Z141-M141-AL141</f>
        <v>1452.2481</v>
      </c>
      <c r="AH141" s="40">
        <f t="shared" ref="AH141:AH142" si="220">AG141-AE141</f>
        <v>597.2481</v>
      </c>
      <c r="AI141" s="41">
        <f t="shared" ref="AI141:AI142" si="221">AH141/H141</f>
        <v>0.1047803684</v>
      </c>
      <c r="AJ141" s="42">
        <f t="shared" ref="AJ141:AJ142" si="222">AH141/M141</f>
        <v>0.4278434758</v>
      </c>
      <c r="AK141" s="29">
        <f t="shared" ref="AK141:AK142" si="223">(P141+R141+W141+Y141+Z141+M141)/(1-(N141+$H$4+(1-I141)*$H$3+$H$8+$H$11+AA141+AC141))</f>
        <v>4070.400819</v>
      </c>
      <c r="AL141" s="29">
        <f t="shared" ref="AL141:AL142" si="224">H141*$H$11</f>
        <v>0</v>
      </c>
    </row>
    <row r="142" ht="14.25" customHeight="1">
      <c r="A142" s="21" t="s">
        <v>192</v>
      </c>
      <c r="B142" s="58" t="s">
        <v>204</v>
      </c>
      <c r="C142" s="24"/>
      <c r="D142" s="29">
        <v>543.0</v>
      </c>
      <c r="E142" s="26">
        <v>5900.0</v>
      </c>
      <c r="F142" s="26">
        <v>220.0</v>
      </c>
      <c r="G142" s="26">
        <v>11.0</v>
      </c>
      <c r="H142" s="26">
        <v>5600.0</v>
      </c>
      <c r="I142" s="28">
        <v>0.45</v>
      </c>
      <c r="J142" s="30">
        <f t="shared" si="205"/>
        <v>3080</v>
      </c>
      <c r="K142" s="31">
        <v>974.04</v>
      </c>
      <c r="L142" s="32">
        <f t="shared" si="206"/>
        <v>60</v>
      </c>
      <c r="M142" s="33">
        <f t="shared" si="207"/>
        <v>1034.04</v>
      </c>
      <c r="N142" s="34">
        <v>0.41</v>
      </c>
      <c r="O142" s="29">
        <f t="shared" si="208"/>
        <v>2296</v>
      </c>
      <c r="P142" s="35">
        <v>63.0</v>
      </c>
      <c r="Q142" s="29">
        <f t="shared" si="209"/>
        <v>112</v>
      </c>
      <c r="R142" s="35">
        <v>25.0</v>
      </c>
      <c r="S142" s="29">
        <f t="shared" si="210"/>
        <v>84</v>
      </c>
      <c r="T142" s="29">
        <f t="shared" si="211"/>
        <v>215.6</v>
      </c>
      <c r="U142" s="36">
        <v>0.9</v>
      </c>
      <c r="V142" s="35">
        <v>63.0</v>
      </c>
      <c r="W142" s="29">
        <f t="shared" si="212"/>
        <v>6.3</v>
      </c>
      <c r="X142" s="37">
        <v>0.4</v>
      </c>
      <c r="Y142" s="29">
        <f t="shared" si="213"/>
        <v>0</v>
      </c>
      <c r="Z142" s="33">
        <f t="shared" si="214"/>
        <v>2.0692</v>
      </c>
      <c r="AA142" s="34">
        <v>0.07</v>
      </c>
      <c r="AB142" s="29">
        <f t="shared" si="215"/>
        <v>392</v>
      </c>
      <c r="AC142" s="36">
        <v>0.08</v>
      </c>
      <c r="AD142" s="29">
        <f t="shared" si="216"/>
        <v>448</v>
      </c>
      <c r="AE142" s="29">
        <f t="shared" si="217"/>
        <v>840</v>
      </c>
      <c r="AF142" s="38">
        <f t="shared" si="218"/>
        <v>0.15</v>
      </c>
      <c r="AG142" s="39">
        <f t="shared" si="219"/>
        <v>1761.9908</v>
      </c>
      <c r="AH142" s="40">
        <f t="shared" si="220"/>
        <v>921.9908</v>
      </c>
      <c r="AI142" s="41">
        <f t="shared" si="221"/>
        <v>0.1646412143</v>
      </c>
      <c r="AJ142" s="42">
        <f t="shared" si="222"/>
        <v>0.891639395</v>
      </c>
      <c r="AK142" s="29">
        <f t="shared" si="223"/>
        <v>3084.336153</v>
      </c>
      <c r="AL142" s="29">
        <f t="shared" si="224"/>
        <v>0</v>
      </c>
    </row>
    <row r="143" ht="14.25" customHeight="1">
      <c r="A143" s="44" t="s">
        <v>193</v>
      </c>
      <c r="B143" s="45"/>
      <c r="C143" s="45"/>
      <c r="E143" s="29"/>
      <c r="F143" s="29"/>
      <c r="G143" s="29"/>
      <c r="H143" s="29"/>
      <c r="I143" s="46"/>
      <c r="J143" s="30"/>
      <c r="K143" s="32"/>
      <c r="L143" s="32"/>
      <c r="M143" s="33"/>
      <c r="N143" s="47"/>
      <c r="O143" s="29"/>
      <c r="P143" s="29"/>
      <c r="Q143" s="29"/>
      <c r="R143" s="29"/>
      <c r="S143" s="29"/>
      <c r="T143" s="29"/>
      <c r="U143" s="41"/>
      <c r="V143" s="29"/>
      <c r="W143" s="29"/>
      <c r="X143" s="48"/>
      <c r="Y143" s="29"/>
      <c r="Z143" s="33"/>
      <c r="AA143" s="47"/>
      <c r="AB143" s="29"/>
      <c r="AC143" s="41"/>
      <c r="AD143" s="29"/>
      <c r="AE143" s="29"/>
      <c r="AF143" s="38"/>
      <c r="AG143" s="39"/>
      <c r="AH143" s="29"/>
      <c r="AI143" s="41"/>
      <c r="AJ143" s="41"/>
      <c r="AK143" s="29"/>
    </row>
    <row r="144" ht="14.25" customHeight="1">
      <c r="A144" s="20" t="s">
        <v>194</v>
      </c>
      <c r="B144" s="19"/>
      <c r="C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</row>
    <row r="145" ht="14.25" customHeight="1">
      <c r="A145" s="62" t="s">
        <v>195</v>
      </c>
      <c r="B145" s="63">
        <v>600.0</v>
      </c>
      <c r="C145" s="64"/>
      <c r="D145" s="29">
        <v>0.0</v>
      </c>
      <c r="E145" s="26">
        <v>2650.0</v>
      </c>
      <c r="F145" s="26">
        <v>20.0</v>
      </c>
      <c r="G145" s="26">
        <v>2.0</v>
      </c>
      <c r="H145" s="26">
        <v>2500.0</v>
      </c>
      <c r="I145" s="28">
        <v>0.45</v>
      </c>
      <c r="J145" s="30">
        <f t="shared" ref="J145:J152" si="225">H145*(1-I145)</f>
        <v>1375</v>
      </c>
      <c r="K145" s="31">
        <v>455.0</v>
      </c>
      <c r="L145" s="32">
        <f t="shared" ref="L145:L152" si="226">$H$5</f>
        <v>60</v>
      </c>
      <c r="M145" s="33">
        <f t="shared" ref="M145:M152" si="227">K145+L145</f>
        <v>515</v>
      </c>
      <c r="N145" s="34">
        <v>0.41</v>
      </c>
      <c r="O145" s="29">
        <f t="shared" ref="O145:O152" si="228">H145*N145</f>
        <v>1025</v>
      </c>
      <c r="P145" s="35">
        <v>74.0</v>
      </c>
      <c r="Q145" s="29">
        <f t="shared" ref="Q145:Q152" si="229">H145*$H$8</f>
        <v>50</v>
      </c>
      <c r="R145" s="35">
        <v>25.0</v>
      </c>
      <c r="S145" s="29">
        <f t="shared" ref="S145:S152" si="230">H145*$H$4</f>
        <v>37.5</v>
      </c>
      <c r="T145" s="29">
        <f t="shared" ref="T145:T152" si="231">J145*$H$3</f>
        <v>96.25</v>
      </c>
      <c r="U145" s="36">
        <v>0.9</v>
      </c>
      <c r="V145" s="35">
        <v>74.0</v>
      </c>
      <c r="W145" s="29">
        <f t="shared" ref="W145:W152" si="232">V145*(1-U145)</f>
        <v>7.4</v>
      </c>
      <c r="X145" s="37">
        <v>1.28</v>
      </c>
      <c r="Y145" s="29">
        <f t="shared" ref="Y145:Y152" si="233">$H$6*$H$7*X145</f>
        <v>0</v>
      </c>
      <c r="Z145" s="33">
        <f t="shared" ref="Z145:Z152" si="234">X145*($H$9+$H$10)</f>
        <v>6.62144</v>
      </c>
      <c r="AA145" s="34">
        <v>0.07</v>
      </c>
      <c r="AB145" s="29">
        <f t="shared" ref="AB145:AB152" si="235">H145*AA145</f>
        <v>175</v>
      </c>
      <c r="AC145" s="36">
        <v>0.08</v>
      </c>
      <c r="AD145" s="29">
        <f t="shared" ref="AD145:AD152" si="236">H145*AC145</f>
        <v>200</v>
      </c>
      <c r="AE145" s="29">
        <f t="shared" ref="AE145:AE152" si="237">AB145+AD145</f>
        <v>375</v>
      </c>
      <c r="AF145" s="38">
        <f t="shared" ref="AF145:AF152" si="238">AE145/H145</f>
        <v>0.15</v>
      </c>
      <c r="AG145" s="39">
        <f t="shared" ref="AG145:AG152" si="239">H145-O145-P145-Q145-R145-S145-T145-W145-Y145-Z145-M145-AL145</f>
        <v>663.22856</v>
      </c>
      <c r="AH145" s="40">
        <f t="shared" ref="AH145:AH152" si="240">AG145-AE145</f>
        <v>288.22856</v>
      </c>
      <c r="AI145" s="41">
        <f t="shared" ref="AI145:AI152" si="241">AH145/H145</f>
        <v>0.115291424</v>
      </c>
      <c r="AJ145" s="42">
        <f t="shared" ref="AJ145:AJ152" si="242">AH145/M145</f>
        <v>0.5596671068</v>
      </c>
      <c r="AK145" s="29">
        <f t="shared" ref="AK145:AK152" si="243">(P145+R145+W145+Y145+Z145+M145)/(1-(N145+$H$4+(1-I145)*$H$3+$H$8+$H$11+AA145+AC145))</f>
        <v>1713.564638</v>
      </c>
      <c r="AL145" s="29">
        <f t="shared" ref="AL145:AL152" si="244">H145*$H$11</f>
        <v>0</v>
      </c>
    </row>
    <row r="146" ht="14.25" customHeight="1">
      <c r="A146" s="62" t="s">
        <v>196</v>
      </c>
      <c r="B146" s="63">
        <v>320.0</v>
      </c>
      <c r="C146" s="4"/>
      <c r="D146" s="29">
        <v>0.0</v>
      </c>
      <c r="E146" s="26">
        <v>4880.0</v>
      </c>
      <c r="F146" s="26">
        <v>220.0</v>
      </c>
      <c r="G146" s="26">
        <v>10.0</v>
      </c>
      <c r="H146" s="26">
        <v>4580.0</v>
      </c>
      <c r="I146" s="28">
        <v>0.45</v>
      </c>
      <c r="J146" s="30">
        <f t="shared" si="225"/>
        <v>2519</v>
      </c>
      <c r="K146" s="31">
        <v>674.0</v>
      </c>
      <c r="L146" s="32">
        <f t="shared" si="226"/>
        <v>60</v>
      </c>
      <c r="M146" s="33">
        <f t="shared" si="227"/>
        <v>734</v>
      </c>
      <c r="N146" s="34">
        <v>0.41</v>
      </c>
      <c r="O146" s="29">
        <f t="shared" si="228"/>
        <v>1877.8</v>
      </c>
      <c r="P146" s="35">
        <v>63.0</v>
      </c>
      <c r="Q146" s="29">
        <f t="shared" si="229"/>
        <v>91.6</v>
      </c>
      <c r="R146" s="35">
        <v>25.0</v>
      </c>
      <c r="S146" s="29">
        <f t="shared" si="230"/>
        <v>68.7</v>
      </c>
      <c r="T146" s="29">
        <f t="shared" si="231"/>
        <v>176.33</v>
      </c>
      <c r="U146" s="36">
        <v>0.9</v>
      </c>
      <c r="V146" s="35">
        <v>63.0</v>
      </c>
      <c r="W146" s="29">
        <f t="shared" si="232"/>
        <v>6.3</v>
      </c>
      <c r="X146" s="37">
        <v>0.4</v>
      </c>
      <c r="Y146" s="29">
        <f t="shared" si="233"/>
        <v>0</v>
      </c>
      <c r="Z146" s="33">
        <f t="shared" si="234"/>
        <v>2.0692</v>
      </c>
      <c r="AA146" s="34">
        <v>0.07</v>
      </c>
      <c r="AB146" s="29">
        <f t="shared" si="235"/>
        <v>320.6</v>
      </c>
      <c r="AC146" s="36">
        <v>0.08</v>
      </c>
      <c r="AD146" s="29">
        <f t="shared" si="236"/>
        <v>366.4</v>
      </c>
      <c r="AE146" s="29">
        <f t="shared" si="237"/>
        <v>687</v>
      </c>
      <c r="AF146" s="38">
        <f t="shared" si="238"/>
        <v>0.15</v>
      </c>
      <c r="AG146" s="39">
        <f t="shared" si="239"/>
        <v>1535.2008</v>
      </c>
      <c r="AH146" s="40">
        <f t="shared" si="240"/>
        <v>848.2008</v>
      </c>
      <c r="AI146" s="41">
        <f t="shared" si="241"/>
        <v>0.1851966812</v>
      </c>
      <c r="AJ146" s="42">
        <f t="shared" si="242"/>
        <v>1.155586921</v>
      </c>
      <c r="AK146" s="29">
        <f t="shared" si="243"/>
        <v>2265.673124</v>
      </c>
      <c r="AL146" s="29">
        <f t="shared" si="244"/>
        <v>0</v>
      </c>
    </row>
    <row r="147" ht="14.25" customHeight="1">
      <c r="A147" s="62" t="s">
        <v>197</v>
      </c>
      <c r="B147" s="63">
        <v>400.0</v>
      </c>
      <c r="C147" s="65"/>
      <c r="D147" s="29">
        <v>0.0</v>
      </c>
      <c r="E147" s="26">
        <v>5000.0</v>
      </c>
      <c r="F147" s="26">
        <v>60.0</v>
      </c>
      <c r="G147" s="26">
        <v>10.0</v>
      </c>
      <c r="H147" s="26">
        <v>4700.0</v>
      </c>
      <c r="I147" s="28">
        <v>0.45</v>
      </c>
      <c r="J147" s="30">
        <f t="shared" si="225"/>
        <v>2585</v>
      </c>
      <c r="K147" s="31">
        <v>833.0</v>
      </c>
      <c r="L147" s="32">
        <f t="shared" si="226"/>
        <v>60</v>
      </c>
      <c r="M147" s="33">
        <f t="shared" si="227"/>
        <v>893</v>
      </c>
      <c r="N147" s="34">
        <v>0.41</v>
      </c>
      <c r="O147" s="29">
        <f t="shared" si="228"/>
        <v>1927</v>
      </c>
      <c r="P147" s="35">
        <v>63.0</v>
      </c>
      <c r="Q147" s="29">
        <f t="shared" si="229"/>
        <v>94</v>
      </c>
      <c r="R147" s="35">
        <v>25.0</v>
      </c>
      <c r="S147" s="29">
        <f t="shared" si="230"/>
        <v>70.5</v>
      </c>
      <c r="T147" s="29">
        <f t="shared" si="231"/>
        <v>180.95</v>
      </c>
      <c r="U147" s="36">
        <v>0.9</v>
      </c>
      <c r="V147" s="35">
        <v>63.0</v>
      </c>
      <c r="W147" s="29">
        <f t="shared" si="232"/>
        <v>6.3</v>
      </c>
      <c r="X147" s="37">
        <v>0.4</v>
      </c>
      <c r="Y147" s="29">
        <f t="shared" si="233"/>
        <v>0</v>
      </c>
      <c r="Z147" s="33">
        <f t="shared" si="234"/>
        <v>2.0692</v>
      </c>
      <c r="AA147" s="34">
        <v>0.07</v>
      </c>
      <c r="AB147" s="29">
        <f t="shared" si="235"/>
        <v>329</v>
      </c>
      <c r="AC147" s="36">
        <v>0.08</v>
      </c>
      <c r="AD147" s="29">
        <f t="shared" si="236"/>
        <v>376</v>
      </c>
      <c r="AE147" s="29">
        <f t="shared" si="237"/>
        <v>705</v>
      </c>
      <c r="AF147" s="38">
        <f t="shared" si="238"/>
        <v>0.15</v>
      </c>
      <c r="AG147" s="39">
        <f t="shared" si="239"/>
        <v>1438.1808</v>
      </c>
      <c r="AH147" s="40">
        <f t="shared" si="240"/>
        <v>733.1808</v>
      </c>
      <c r="AI147" s="41">
        <f t="shared" si="241"/>
        <v>0.1559959149</v>
      </c>
      <c r="AJ147" s="42">
        <f t="shared" si="242"/>
        <v>0.821031131</v>
      </c>
      <c r="AK147" s="29">
        <f t="shared" si="243"/>
        <v>2699.506685</v>
      </c>
      <c r="AL147" s="29">
        <f t="shared" si="244"/>
        <v>0</v>
      </c>
    </row>
    <row r="148" ht="14.25" customHeight="1">
      <c r="A148" s="62" t="s">
        <v>198</v>
      </c>
      <c r="B148" s="63">
        <v>300.0</v>
      </c>
      <c r="C148" s="4"/>
      <c r="D148" s="29">
        <v>0.0</v>
      </c>
      <c r="E148" s="26">
        <v>5150.0</v>
      </c>
      <c r="F148" s="26">
        <v>65.0</v>
      </c>
      <c r="G148" s="26">
        <v>5.0</v>
      </c>
      <c r="H148" s="26">
        <v>4850.0</v>
      </c>
      <c r="I148" s="28">
        <v>0.45</v>
      </c>
      <c r="J148" s="30">
        <f t="shared" si="225"/>
        <v>2667.5</v>
      </c>
      <c r="K148" s="31">
        <v>757.0</v>
      </c>
      <c r="L148" s="32">
        <f t="shared" si="226"/>
        <v>60</v>
      </c>
      <c r="M148" s="33">
        <f t="shared" si="227"/>
        <v>817</v>
      </c>
      <c r="N148" s="34">
        <v>0.41</v>
      </c>
      <c r="O148" s="29">
        <f t="shared" si="228"/>
        <v>1988.5</v>
      </c>
      <c r="P148" s="35">
        <v>63.0</v>
      </c>
      <c r="Q148" s="29">
        <f t="shared" si="229"/>
        <v>97</v>
      </c>
      <c r="R148" s="35">
        <v>25.0</v>
      </c>
      <c r="S148" s="29">
        <f t="shared" si="230"/>
        <v>72.75</v>
      </c>
      <c r="T148" s="29">
        <f t="shared" si="231"/>
        <v>186.725</v>
      </c>
      <c r="U148" s="36">
        <v>0.9</v>
      </c>
      <c r="V148" s="35">
        <v>63.0</v>
      </c>
      <c r="W148" s="29">
        <f t="shared" si="232"/>
        <v>6.3</v>
      </c>
      <c r="X148" s="37">
        <v>0.4</v>
      </c>
      <c r="Y148" s="29">
        <f t="shared" si="233"/>
        <v>0</v>
      </c>
      <c r="Z148" s="33">
        <f t="shared" si="234"/>
        <v>2.0692</v>
      </c>
      <c r="AA148" s="34">
        <v>0.07</v>
      </c>
      <c r="AB148" s="29">
        <f t="shared" si="235"/>
        <v>339.5</v>
      </c>
      <c r="AC148" s="36">
        <v>0.08</v>
      </c>
      <c r="AD148" s="29">
        <f t="shared" si="236"/>
        <v>388</v>
      </c>
      <c r="AE148" s="29">
        <f t="shared" si="237"/>
        <v>727.5</v>
      </c>
      <c r="AF148" s="38">
        <f t="shared" si="238"/>
        <v>0.15</v>
      </c>
      <c r="AG148" s="39">
        <f t="shared" si="239"/>
        <v>1591.6558</v>
      </c>
      <c r="AH148" s="40">
        <f t="shared" si="240"/>
        <v>864.1558</v>
      </c>
      <c r="AI148" s="41">
        <f t="shared" si="241"/>
        <v>0.1781764536</v>
      </c>
      <c r="AJ148" s="42">
        <f t="shared" si="242"/>
        <v>1.057718237</v>
      </c>
      <c r="AK148" s="29">
        <f t="shared" si="243"/>
        <v>2492.1397</v>
      </c>
      <c r="AL148" s="29">
        <f t="shared" si="244"/>
        <v>0</v>
      </c>
    </row>
    <row r="149" ht="14.25" customHeight="1">
      <c r="A149" s="62" t="s">
        <v>199</v>
      </c>
      <c r="B149" s="63">
        <v>240.0</v>
      </c>
      <c r="C149" s="4"/>
      <c r="D149" s="29">
        <v>0.0</v>
      </c>
      <c r="E149" s="26">
        <v>6900.0</v>
      </c>
      <c r="F149" s="26">
        <v>25.0</v>
      </c>
      <c r="G149" s="26">
        <v>0.0</v>
      </c>
      <c r="H149" s="26">
        <v>6500.0</v>
      </c>
      <c r="I149" s="28">
        <v>0.45</v>
      </c>
      <c r="J149" s="30">
        <f t="shared" si="225"/>
        <v>3575</v>
      </c>
      <c r="K149" s="31">
        <v>922.0</v>
      </c>
      <c r="L149" s="32">
        <f t="shared" si="226"/>
        <v>60</v>
      </c>
      <c r="M149" s="33">
        <f t="shared" si="227"/>
        <v>982</v>
      </c>
      <c r="N149" s="34">
        <v>0.41</v>
      </c>
      <c r="O149" s="29">
        <f t="shared" si="228"/>
        <v>2665</v>
      </c>
      <c r="P149" s="35">
        <v>63.0</v>
      </c>
      <c r="Q149" s="29">
        <f t="shared" si="229"/>
        <v>130</v>
      </c>
      <c r="R149" s="35">
        <v>25.0</v>
      </c>
      <c r="S149" s="29">
        <f t="shared" si="230"/>
        <v>97.5</v>
      </c>
      <c r="T149" s="29">
        <f t="shared" si="231"/>
        <v>250.25</v>
      </c>
      <c r="U149" s="36">
        <v>0.9</v>
      </c>
      <c r="V149" s="35">
        <v>63.0</v>
      </c>
      <c r="W149" s="29">
        <f t="shared" si="232"/>
        <v>6.3</v>
      </c>
      <c r="X149" s="37">
        <v>0.4</v>
      </c>
      <c r="Y149" s="29">
        <f t="shared" si="233"/>
        <v>0</v>
      </c>
      <c r="Z149" s="33">
        <f t="shared" si="234"/>
        <v>2.0692</v>
      </c>
      <c r="AA149" s="34">
        <v>0.07</v>
      </c>
      <c r="AB149" s="29">
        <f t="shared" si="235"/>
        <v>455</v>
      </c>
      <c r="AC149" s="36">
        <v>0.08</v>
      </c>
      <c r="AD149" s="29">
        <f t="shared" si="236"/>
        <v>520</v>
      </c>
      <c r="AE149" s="29">
        <f t="shared" si="237"/>
        <v>975</v>
      </c>
      <c r="AF149" s="38">
        <f t="shared" si="238"/>
        <v>0.15</v>
      </c>
      <c r="AG149" s="39">
        <f t="shared" si="239"/>
        <v>2278.8808</v>
      </c>
      <c r="AH149" s="40">
        <f t="shared" si="240"/>
        <v>1303.8808</v>
      </c>
      <c r="AI149" s="41">
        <f t="shared" si="241"/>
        <v>0.2005970462</v>
      </c>
      <c r="AJ149" s="42">
        <f t="shared" si="242"/>
        <v>1.327780855</v>
      </c>
      <c r="AK149" s="29">
        <f t="shared" si="243"/>
        <v>2942.344338</v>
      </c>
      <c r="AL149" s="29">
        <f t="shared" si="244"/>
        <v>0</v>
      </c>
    </row>
    <row r="150" ht="14.25" customHeight="1">
      <c r="A150" s="62" t="s">
        <v>200</v>
      </c>
      <c r="B150" s="63">
        <v>160.0</v>
      </c>
      <c r="C150" s="4"/>
      <c r="D150" s="29">
        <v>0.0</v>
      </c>
      <c r="E150" s="26">
        <v>5270.0</v>
      </c>
      <c r="F150" s="26">
        <v>200.0</v>
      </c>
      <c r="G150" s="26">
        <v>17.0</v>
      </c>
      <c r="H150" s="26">
        <v>5000.0</v>
      </c>
      <c r="I150" s="28">
        <v>0.45</v>
      </c>
      <c r="J150" s="30">
        <f t="shared" si="225"/>
        <v>2750</v>
      </c>
      <c r="K150" s="31">
        <v>1019.0</v>
      </c>
      <c r="L150" s="32">
        <f t="shared" si="226"/>
        <v>60</v>
      </c>
      <c r="M150" s="33">
        <f t="shared" si="227"/>
        <v>1079</v>
      </c>
      <c r="N150" s="34">
        <v>0.41</v>
      </c>
      <c r="O150" s="29">
        <f t="shared" si="228"/>
        <v>2050</v>
      </c>
      <c r="P150" s="35">
        <v>63.0</v>
      </c>
      <c r="Q150" s="29">
        <f t="shared" si="229"/>
        <v>100</v>
      </c>
      <c r="R150" s="35">
        <v>25.0</v>
      </c>
      <c r="S150" s="29">
        <f t="shared" si="230"/>
        <v>75</v>
      </c>
      <c r="T150" s="29">
        <f t="shared" si="231"/>
        <v>192.5</v>
      </c>
      <c r="U150" s="36">
        <v>0.9</v>
      </c>
      <c r="V150" s="35">
        <v>63.0</v>
      </c>
      <c r="W150" s="29">
        <f t="shared" si="232"/>
        <v>6.3</v>
      </c>
      <c r="X150" s="37">
        <v>0.4</v>
      </c>
      <c r="Y150" s="29">
        <f t="shared" si="233"/>
        <v>0</v>
      </c>
      <c r="Z150" s="33">
        <f t="shared" si="234"/>
        <v>2.0692</v>
      </c>
      <c r="AA150" s="34">
        <v>0.07</v>
      </c>
      <c r="AB150" s="29">
        <f t="shared" si="235"/>
        <v>350</v>
      </c>
      <c r="AC150" s="36">
        <v>0.08</v>
      </c>
      <c r="AD150" s="29">
        <f t="shared" si="236"/>
        <v>400</v>
      </c>
      <c r="AE150" s="29">
        <f t="shared" si="237"/>
        <v>750</v>
      </c>
      <c r="AF150" s="38">
        <f t="shared" si="238"/>
        <v>0.15</v>
      </c>
      <c r="AG150" s="39">
        <f t="shared" si="239"/>
        <v>1407.1308</v>
      </c>
      <c r="AH150" s="40">
        <f t="shared" si="240"/>
        <v>657.1308</v>
      </c>
      <c r="AI150" s="41">
        <f t="shared" si="241"/>
        <v>0.13142616</v>
      </c>
      <c r="AJ150" s="42">
        <f t="shared" si="242"/>
        <v>0.6090183503</v>
      </c>
      <c r="AK150" s="29">
        <f t="shared" si="243"/>
        <v>3207.010095</v>
      </c>
      <c r="AL150" s="29">
        <f t="shared" si="244"/>
        <v>0</v>
      </c>
    </row>
    <row r="151" ht="14.25" customHeight="1">
      <c r="A151" s="62" t="s">
        <v>201</v>
      </c>
      <c r="B151" s="63">
        <v>200.0</v>
      </c>
      <c r="C151" s="4"/>
      <c r="D151" s="29">
        <v>0.0</v>
      </c>
      <c r="E151" s="26">
        <v>3450.0</v>
      </c>
      <c r="F151" s="26">
        <v>100.0</v>
      </c>
      <c r="G151" s="26">
        <v>10.0</v>
      </c>
      <c r="H151" s="26">
        <v>3150.0</v>
      </c>
      <c r="I151" s="28">
        <v>0.45</v>
      </c>
      <c r="J151" s="30">
        <f t="shared" si="225"/>
        <v>1732.5</v>
      </c>
      <c r="K151" s="31">
        <v>670.0</v>
      </c>
      <c r="L151" s="32">
        <f t="shared" si="226"/>
        <v>60</v>
      </c>
      <c r="M151" s="33">
        <f t="shared" si="227"/>
        <v>730</v>
      </c>
      <c r="N151" s="34">
        <v>0.41</v>
      </c>
      <c r="O151" s="29">
        <f t="shared" si="228"/>
        <v>1291.5</v>
      </c>
      <c r="P151" s="35">
        <v>63.0</v>
      </c>
      <c r="Q151" s="29">
        <f t="shared" si="229"/>
        <v>63</v>
      </c>
      <c r="R151" s="35">
        <v>25.0</v>
      </c>
      <c r="S151" s="29">
        <f t="shared" si="230"/>
        <v>47.25</v>
      </c>
      <c r="T151" s="29">
        <f t="shared" si="231"/>
        <v>121.275</v>
      </c>
      <c r="U151" s="36">
        <v>0.9</v>
      </c>
      <c r="V151" s="35">
        <v>63.0</v>
      </c>
      <c r="W151" s="29">
        <f t="shared" si="232"/>
        <v>6.3</v>
      </c>
      <c r="X151" s="37">
        <v>0.4</v>
      </c>
      <c r="Y151" s="29">
        <f t="shared" si="233"/>
        <v>0</v>
      </c>
      <c r="Z151" s="33">
        <f t="shared" si="234"/>
        <v>2.0692</v>
      </c>
      <c r="AA151" s="34">
        <v>0.07</v>
      </c>
      <c r="AB151" s="29">
        <f t="shared" si="235"/>
        <v>220.5</v>
      </c>
      <c r="AC151" s="36">
        <v>0.08</v>
      </c>
      <c r="AD151" s="29">
        <f t="shared" si="236"/>
        <v>252</v>
      </c>
      <c r="AE151" s="29">
        <f t="shared" si="237"/>
        <v>472.5</v>
      </c>
      <c r="AF151" s="38">
        <f t="shared" si="238"/>
        <v>0.15</v>
      </c>
      <c r="AG151" s="39">
        <f t="shared" si="239"/>
        <v>800.6058</v>
      </c>
      <c r="AH151" s="40">
        <f t="shared" si="240"/>
        <v>328.1058</v>
      </c>
      <c r="AI151" s="41">
        <f t="shared" si="241"/>
        <v>0.1041605714</v>
      </c>
      <c r="AJ151" s="42">
        <f t="shared" si="242"/>
        <v>0.44946</v>
      </c>
      <c r="AK151" s="29">
        <f t="shared" si="243"/>
        <v>2254.759072</v>
      </c>
      <c r="AL151" s="29">
        <f t="shared" si="244"/>
        <v>0</v>
      </c>
    </row>
    <row r="152" ht="14.25" customHeight="1">
      <c r="A152" s="62" t="s">
        <v>203</v>
      </c>
      <c r="B152" s="63">
        <v>1530.0</v>
      </c>
      <c r="C152" s="4"/>
      <c r="D152" s="29">
        <v>0.0</v>
      </c>
      <c r="E152" s="26">
        <v>3350.0</v>
      </c>
      <c r="F152" s="26">
        <v>400.0</v>
      </c>
      <c r="G152" s="26">
        <v>13.0</v>
      </c>
      <c r="H152" s="26">
        <v>3050.0</v>
      </c>
      <c r="I152" s="28">
        <v>0.45</v>
      </c>
      <c r="J152" s="30">
        <f t="shared" si="225"/>
        <v>1677.5</v>
      </c>
      <c r="K152" s="31">
        <v>407.0</v>
      </c>
      <c r="L152" s="32">
        <f t="shared" si="226"/>
        <v>60</v>
      </c>
      <c r="M152" s="33">
        <f t="shared" si="227"/>
        <v>467</v>
      </c>
      <c r="N152" s="34">
        <v>0.41</v>
      </c>
      <c r="O152" s="29">
        <f t="shared" si="228"/>
        <v>1250.5</v>
      </c>
      <c r="P152" s="35">
        <v>63.0</v>
      </c>
      <c r="Q152" s="29">
        <f t="shared" si="229"/>
        <v>61</v>
      </c>
      <c r="R152" s="35">
        <v>25.0</v>
      </c>
      <c r="S152" s="29">
        <f t="shared" si="230"/>
        <v>45.75</v>
      </c>
      <c r="T152" s="29">
        <f t="shared" si="231"/>
        <v>117.425</v>
      </c>
      <c r="U152" s="36">
        <v>0.9</v>
      </c>
      <c r="V152" s="35">
        <v>63.0</v>
      </c>
      <c r="W152" s="29">
        <f t="shared" si="232"/>
        <v>6.3</v>
      </c>
      <c r="X152" s="37">
        <v>0.4</v>
      </c>
      <c r="Y152" s="29">
        <f t="shared" si="233"/>
        <v>0</v>
      </c>
      <c r="Z152" s="33">
        <f t="shared" si="234"/>
        <v>2.0692</v>
      </c>
      <c r="AA152" s="34">
        <v>0.07</v>
      </c>
      <c r="AB152" s="29">
        <f t="shared" si="235"/>
        <v>213.5</v>
      </c>
      <c r="AC152" s="36">
        <v>0.08</v>
      </c>
      <c r="AD152" s="29">
        <f t="shared" si="236"/>
        <v>244</v>
      </c>
      <c r="AE152" s="29">
        <f t="shared" si="237"/>
        <v>457.5</v>
      </c>
      <c r="AF152" s="38">
        <f t="shared" si="238"/>
        <v>0.15</v>
      </c>
      <c r="AG152" s="39">
        <f t="shared" si="239"/>
        <v>1011.9558</v>
      </c>
      <c r="AH152" s="40">
        <f t="shared" si="240"/>
        <v>554.4558</v>
      </c>
      <c r="AI152" s="41">
        <f t="shared" si="241"/>
        <v>0.1817887869</v>
      </c>
      <c r="AJ152" s="42">
        <f t="shared" si="242"/>
        <v>1.18727152</v>
      </c>
      <c r="AK152" s="29">
        <f t="shared" si="243"/>
        <v>1537.160164</v>
      </c>
      <c r="AL152" s="29">
        <f t="shared" si="244"/>
        <v>0</v>
      </c>
    </row>
    <row r="153" ht="14.25" customHeight="1">
      <c r="A153" s="3"/>
    </row>
    <row r="154" ht="14.25" customHeight="1">
      <c r="A154" s="3"/>
    </row>
    <row r="155" ht="14.25" customHeight="1">
      <c r="A155" s="3"/>
    </row>
    <row r="156" ht="14.25" customHeight="1">
      <c r="A156" s="3"/>
    </row>
    <row r="157" ht="14.25" customHeight="1">
      <c r="A157" s="3"/>
    </row>
    <row r="158" ht="14.25" customHeight="1">
      <c r="A158" s="3"/>
    </row>
    <row r="159" ht="14.25" customHeight="1">
      <c r="A159" s="3"/>
    </row>
    <row r="160" ht="14.25" customHeight="1">
      <c r="A160" s="3"/>
    </row>
    <row r="161" ht="14.25" customHeight="1">
      <c r="A161" s="3"/>
    </row>
    <row r="162" ht="14.25" customHeight="1">
      <c r="A162" s="3"/>
    </row>
    <row r="163" ht="14.25" customHeight="1">
      <c r="A163" s="3"/>
    </row>
    <row r="164" ht="14.25" customHeight="1">
      <c r="A164" s="3"/>
    </row>
    <row r="165" ht="14.25" customHeight="1">
      <c r="A165" s="3"/>
    </row>
    <row r="166" ht="14.25" customHeight="1">
      <c r="A166" s="3"/>
    </row>
    <row r="167" ht="14.25" customHeight="1">
      <c r="A167" s="3"/>
    </row>
    <row r="168" ht="14.25" customHeight="1">
      <c r="A168" s="3"/>
    </row>
    <row r="169" ht="14.25" customHeight="1">
      <c r="A169" s="3"/>
    </row>
    <row r="170" ht="14.25" customHeight="1">
      <c r="A170" s="3"/>
    </row>
    <row r="171" ht="14.25" customHeight="1">
      <c r="A171" s="3"/>
    </row>
    <row r="172" ht="14.25" customHeight="1">
      <c r="A172" s="3"/>
    </row>
    <row r="173" ht="14.25" customHeight="1">
      <c r="A173" s="3"/>
    </row>
    <row r="174" ht="14.25" customHeight="1">
      <c r="A174" s="3"/>
    </row>
    <row r="175" ht="14.25" customHeight="1">
      <c r="A175" s="3"/>
    </row>
    <row r="176" ht="14.25" customHeight="1">
      <c r="A176" s="3"/>
    </row>
    <row r="177" ht="14.25" customHeight="1">
      <c r="A177" s="3"/>
    </row>
    <row r="178" ht="14.25" customHeight="1">
      <c r="A178" s="3"/>
    </row>
    <row r="179" ht="14.25" customHeight="1">
      <c r="A179" s="3"/>
    </row>
    <row r="180" ht="14.25" customHeight="1">
      <c r="A180" s="3"/>
    </row>
    <row r="181" ht="14.25" customHeight="1">
      <c r="A181" s="3"/>
    </row>
    <row r="182" ht="14.25" customHeight="1">
      <c r="A182" s="3"/>
    </row>
    <row r="183" ht="14.25" customHeight="1">
      <c r="A183" s="3"/>
    </row>
    <row r="184" ht="14.25" customHeight="1">
      <c r="A184" s="3"/>
    </row>
    <row r="185" ht="14.25" customHeight="1">
      <c r="A185" s="3"/>
    </row>
    <row r="186" ht="14.25" customHeight="1">
      <c r="A186" s="3"/>
    </row>
    <row r="187" ht="14.25" customHeight="1">
      <c r="A187" s="3"/>
    </row>
    <row r="188" ht="14.25" customHeight="1">
      <c r="A188" s="3"/>
    </row>
    <row r="189" ht="14.25" customHeight="1">
      <c r="A189" s="3"/>
    </row>
    <row r="190" ht="14.25" customHeight="1">
      <c r="A190" s="3"/>
    </row>
    <row r="191" ht="14.25" customHeight="1">
      <c r="A191" s="3"/>
    </row>
    <row r="192" ht="14.25" customHeight="1">
      <c r="A192" s="3"/>
    </row>
    <row r="193" ht="14.25" customHeight="1">
      <c r="A193" s="3"/>
    </row>
    <row r="194" ht="14.25" customHeight="1">
      <c r="A194" s="3"/>
    </row>
    <row r="195" ht="14.25" customHeight="1">
      <c r="A195" s="3"/>
    </row>
    <row r="196" ht="14.25" customHeight="1">
      <c r="A196" s="3"/>
    </row>
    <row r="197" ht="14.25" customHeight="1">
      <c r="A197" s="3"/>
    </row>
    <row r="198" ht="14.25" customHeight="1">
      <c r="A198" s="3"/>
    </row>
    <row r="199" ht="14.25" customHeight="1">
      <c r="A199" s="3"/>
    </row>
    <row r="200" ht="14.25" customHeight="1">
      <c r="A200" s="3"/>
    </row>
    <row r="201" ht="14.25" customHeight="1">
      <c r="A201" s="3"/>
    </row>
    <row r="202" ht="14.25" customHeight="1">
      <c r="A202" s="3"/>
    </row>
    <row r="203" ht="14.25" customHeight="1">
      <c r="A203" s="3"/>
    </row>
    <row r="204" ht="14.25" customHeight="1">
      <c r="A204" s="3"/>
    </row>
    <row r="205" ht="14.25" customHeight="1">
      <c r="A205" s="3"/>
    </row>
    <row r="206" ht="14.25" customHeight="1">
      <c r="A206" s="3"/>
    </row>
    <row r="207" ht="14.25" customHeight="1">
      <c r="A207" s="3"/>
    </row>
    <row r="208" ht="14.25" customHeight="1">
      <c r="A208" s="3"/>
    </row>
    <row r="209" ht="14.25" customHeight="1">
      <c r="A209" s="3"/>
    </row>
    <row r="210" ht="14.25" customHeight="1">
      <c r="A210" s="3"/>
    </row>
    <row r="211" ht="14.25" customHeight="1">
      <c r="A211" s="3"/>
    </row>
    <row r="212" ht="14.25" customHeight="1">
      <c r="A212" s="3"/>
    </row>
    <row r="213" ht="14.25" customHeight="1">
      <c r="A213" s="3"/>
    </row>
    <row r="214" ht="14.25" customHeight="1">
      <c r="A214" s="3"/>
    </row>
    <row r="215" ht="14.25" customHeight="1">
      <c r="A215" s="3"/>
    </row>
    <row r="216" ht="14.25" customHeight="1">
      <c r="A216" s="3"/>
    </row>
    <row r="217" ht="14.25" customHeight="1">
      <c r="A217" s="3"/>
    </row>
    <row r="218" ht="14.25" customHeight="1">
      <c r="A218" s="3"/>
    </row>
    <row r="219" ht="14.25" customHeight="1">
      <c r="A219" s="3"/>
    </row>
    <row r="220" ht="14.25" customHeight="1">
      <c r="A220" s="3"/>
    </row>
    <row r="221" ht="14.25" customHeight="1">
      <c r="A221" s="3"/>
    </row>
    <row r="222" ht="14.25" customHeight="1">
      <c r="A222" s="3"/>
    </row>
    <row r="223" ht="14.25" customHeight="1">
      <c r="A223" s="3"/>
    </row>
    <row r="224" ht="14.25" customHeight="1">
      <c r="A224" s="3"/>
    </row>
    <row r="225" ht="14.25" customHeight="1">
      <c r="A225" s="3"/>
    </row>
    <row r="226" ht="14.25" customHeight="1">
      <c r="A226" s="3"/>
    </row>
    <row r="227" ht="14.25" customHeight="1">
      <c r="A227" s="3"/>
    </row>
    <row r="228" ht="14.25" customHeight="1">
      <c r="A228" s="3"/>
    </row>
    <row r="229" ht="14.25" customHeight="1">
      <c r="A229" s="3"/>
    </row>
    <row r="230" ht="14.25" customHeight="1">
      <c r="A230" s="3"/>
    </row>
    <row r="231" ht="14.25" customHeight="1">
      <c r="A231" s="3"/>
    </row>
    <row r="232" ht="14.25" customHeight="1">
      <c r="A232" s="3"/>
    </row>
    <row r="233" ht="14.25" customHeight="1">
      <c r="A233" s="3"/>
    </row>
    <row r="234" ht="14.25" customHeight="1">
      <c r="A234" s="3"/>
    </row>
    <row r="235" ht="14.25" customHeight="1">
      <c r="A235" s="3"/>
    </row>
    <row r="236" ht="14.25" customHeight="1">
      <c r="A236" s="3"/>
    </row>
    <row r="237" ht="14.25" customHeight="1">
      <c r="A237" s="3"/>
    </row>
    <row r="238" ht="14.25" customHeight="1">
      <c r="A238" s="3"/>
    </row>
    <row r="239" ht="14.25" customHeight="1">
      <c r="A239" s="3"/>
    </row>
    <row r="240" ht="14.25" customHeight="1">
      <c r="A240" s="3"/>
    </row>
    <row r="241" ht="14.25" customHeight="1">
      <c r="A241" s="3"/>
    </row>
    <row r="242" ht="14.25" customHeight="1">
      <c r="A242" s="3"/>
    </row>
    <row r="243" ht="14.25" customHeight="1">
      <c r="A243" s="3"/>
    </row>
    <row r="244" ht="14.25" customHeight="1">
      <c r="A244" s="3"/>
    </row>
    <row r="245" ht="14.25" customHeight="1">
      <c r="A245" s="3"/>
    </row>
    <row r="246" ht="14.25" customHeight="1">
      <c r="A246" s="3"/>
    </row>
    <row r="247" ht="14.25" customHeight="1">
      <c r="A247" s="3"/>
    </row>
    <row r="248" ht="14.25" customHeight="1">
      <c r="A248" s="3"/>
    </row>
    <row r="249" ht="14.25" customHeight="1">
      <c r="A249" s="3"/>
    </row>
    <row r="250" ht="14.25" customHeight="1">
      <c r="A250" s="3"/>
    </row>
    <row r="251" ht="14.25" customHeight="1">
      <c r="A251" s="3"/>
    </row>
    <row r="252" ht="14.25" customHeight="1">
      <c r="A252" s="3"/>
    </row>
    <row r="253" ht="14.25" customHeight="1">
      <c r="A253" s="3"/>
    </row>
    <row r="254" ht="14.25" customHeight="1">
      <c r="A254" s="3"/>
    </row>
    <row r="255" ht="14.25" customHeight="1">
      <c r="A255" s="3"/>
    </row>
    <row r="256" ht="14.25" customHeight="1">
      <c r="A256" s="3"/>
    </row>
    <row r="257" ht="14.25" customHeight="1">
      <c r="A257" s="3"/>
    </row>
    <row r="258" ht="14.25" customHeight="1">
      <c r="A258" s="3"/>
    </row>
    <row r="259" ht="14.25" customHeight="1">
      <c r="A259" s="3"/>
    </row>
    <row r="260" ht="14.25" customHeight="1">
      <c r="A260" s="3"/>
    </row>
    <row r="261" ht="14.25" customHeight="1">
      <c r="A261" s="3"/>
    </row>
    <row r="262" ht="14.25" customHeight="1">
      <c r="A262" s="3"/>
    </row>
    <row r="263" ht="14.25" customHeight="1">
      <c r="A263" s="3"/>
    </row>
    <row r="264" ht="14.25" customHeight="1">
      <c r="A264" s="3"/>
    </row>
    <row r="265" ht="14.25" customHeight="1">
      <c r="A265" s="3"/>
    </row>
    <row r="266" ht="14.25" customHeight="1">
      <c r="A266" s="3"/>
    </row>
    <row r="267" ht="14.25" customHeight="1">
      <c r="A267" s="3"/>
    </row>
    <row r="268" ht="14.25" customHeight="1">
      <c r="A268" s="3"/>
    </row>
    <row r="269" ht="14.25" customHeight="1">
      <c r="A269" s="3"/>
    </row>
    <row r="270" ht="14.25" customHeight="1">
      <c r="A270" s="3"/>
    </row>
    <row r="271" ht="14.25" customHeight="1">
      <c r="A271" s="3"/>
    </row>
    <row r="272" ht="14.25" customHeight="1">
      <c r="A272" s="3"/>
    </row>
    <row r="273" ht="14.25" customHeight="1">
      <c r="A273" s="3"/>
    </row>
    <row r="274" ht="14.25" customHeight="1">
      <c r="A274" s="3"/>
    </row>
    <row r="275" ht="14.25" customHeight="1">
      <c r="A275" s="3"/>
    </row>
    <row r="276" ht="14.25" customHeight="1">
      <c r="A276" s="3"/>
    </row>
    <row r="277" ht="14.25" customHeight="1">
      <c r="A277" s="3"/>
    </row>
    <row r="278" ht="14.25" customHeight="1">
      <c r="A278" s="3"/>
    </row>
    <row r="279" ht="14.25" customHeight="1">
      <c r="A279" s="3"/>
    </row>
    <row r="280" ht="14.25" customHeight="1">
      <c r="A280" s="3"/>
    </row>
    <row r="281" ht="14.25" customHeight="1">
      <c r="A281" s="3"/>
    </row>
    <row r="282" ht="14.25" customHeight="1">
      <c r="A282" s="3"/>
    </row>
    <row r="283" ht="14.25" customHeight="1">
      <c r="A283" s="3"/>
    </row>
    <row r="284" ht="14.25" customHeight="1">
      <c r="A284" s="3"/>
    </row>
    <row r="285" ht="14.25" customHeight="1">
      <c r="A285" s="3"/>
    </row>
    <row r="286" ht="14.25" customHeight="1">
      <c r="A286" s="3"/>
    </row>
    <row r="287" ht="14.25" customHeight="1">
      <c r="A287" s="3"/>
    </row>
    <row r="288" ht="14.25" customHeight="1">
      <c r="A288" s="3"/>
    </row>
    <row r="289" ht="14.25" customHeight="1">
      <c r="A289" s="3"/>
    </row>
    <row r="290" ht="14.25" customHeight="1">
      <c r="A290" s="3"/>
    </row>
    <row r="291" ht="14.25" customHeight="1">
      <c r="A291" s="3"/>
    </row>
    <row r="292" ht="14.25" customHeight="1">
      <c r="A292" s="3"/>
    </row>
    <row r="293" ht="14.25" customHeight="1">
      <c r="A293" s="3"/>
    </row>
    <row r="294" ht="14.25" customHeight="1">
      <c r="A294" s="3"/>
    </row>
    <row r="295" ht="14.25" customHeight="1">
      <c r="A295" s="3"/>
    </row>
    <row r="296" ht="14.25" customHeight="1">
      <c r="A296" s="3"/>
    </row>
    <row r="297" ht="14.25" customHeight="1">
      <c r="A297" s="3"/>
    </row>
    <row r="298" ht="14.25" customHeight="1">
      <c r="A298" s="3"/>
    </row>
    <row r="299" ht="14.25" customHeight="1">
      <c r="A299" s="3"/>
    </row>
    <row r="300" ht="14.25" customHeight="1">
      <c r="A300" s="3"/>
    </row>
    <row r="301" ht="14.25" customHeight="1">
      <c r="A301" s="3"/>
    </row>
    <row r="302" ht="14.25" customHeight="1">
      <c r="A302" s="3"/>
    </row>
    <row r="303" ht="14.25" customHeight="1">
      <c r="A303" s="3"/>
    </row>
    <row r="304" ht="14.25" customHeight="1">
      <c r="A304" s="3"/>
    </row>
    <row r="305" ht="14.25" customHeight="1">
      <c r="A305" s="3"/>
    </row>
    <row r="306" ht="14.25" customHeight="1">
      <c r="A306" s="3"/>
    </row>
    <row r="307" ht="14.25" customHeight="1">
      <c r="A307" s="3"/>
    </row>
    <row r="308" ht="14.25" customHeight="1">
      <c r="A308" s="3"/>
    </row>
    <row r="309" ht="14.25" customHeight="1">
      <c r="A309" s="3"/>
    </row>
    <row r="310" ht="14.25" customHeight="1">
      <c r="A310" s="3"/>
    </row>
    <row r="311" ht="14.25" customHeight="1">
      <c r="A311" s="3"/>
    </row>
    <row r="312" ht="14.25" customHeight="1">
      <c r="A312" s="3"/>
    </row>
    <row r="313" ht="14.25" customHeight="1">
      <c r="A313" s="3"/>
    </row>
    <row r="314" ht="14.25" customHeight="1">
      <c r="A314" s="3"/>
    </row>
    <row r="315" ht="14.25" customHeight="1">
      <c r="A315" s="3"/>
    </row>
    <row r="316" ht="14.25" customHeight="1">
      <c r="A316" s="3"/>
    </row>
    <row r="317" ht="14.25" customHeight="1">
      <c r="A317" s="3"/>
    </row>
    <row r="318" ht="14.25" customHeight="1">
      <c r="A318" s="3"/>
    </row>
    <row r="319" ht="14.25" customHeight="1">
      <c r="A319" s="3"/>
    </row>
    <row r="320" ht="14.25" customHeight="1">
      <c r="A320" s="3"/>
    </row>
    <row r="321" ht="14.25" customHeight="1">
      <c r="A321" s="3"/>
    </row>
    <row r="322" ht="14.25" customHeight="1">
      <c r="A322" s="3"/>
    </row>
    <row r="323" ht="14.25" customHeight="1">
      <c r="A323" s="3"/>
    </row>
    <row r="324" ht="14.25" customHeight="1">
      <c r="A324" s="3"/>
    </row>
    <row r="325" ht="14.25" customHeight="1">
      <c r="A325" s="3"/>
    </row>
    <row r="326" ht="14.25" customHeight="1">
      <c r="A326" s="3"/>
    </row>
    <row r="327" ht="14.25" customHeight="1">
      <c r="A327" s="3"/>
    </row>
    <row r="328" ht="14.25" customHeight="1">
      <c r="A328" s="3"/>
    </row>
    <row r="329" ht="14.25" customHeight="1">
      <c r="A329" s="3"/>
    </row>
    <row r="330" ht="14.25" customHeight="1">
      <c r="A330" s="3"/>
    </row>
    <row r="331" ht="14.25" customHeight="1">
      <c r="A331" s="3"/>
    </row>
    <row r="332" ht="14.25" customHeight="1">
      <c r="A332" s="3"/>
    </row>
    <row r="333" ht="14.25" customHeight="1">
      <c r="A333" s="3"/>
    </row>
    <row r="334" ht="14.25" customHeight="1">
      <c r="A334" s="3"/>
    </row>
    <row r="335" ht="14.25" customHeight="1">
      <c r="A335" s="3"/>
    </row>
    <row r="336" ht="14.25" customHeight="1">
      <c r="A336" s="3"/>
    </row>
    <row r="337" ht="14.25" customHeight="1">
      <c r="A337" s="3"/>
    </row>
    <row r="338" ht="14.25" customHeight="1">
      <c r="A338" s="3"/>
    </row>
    <row r="339" ht="14.25" customHeight="1">
      <c r="A339" s="3"/>
    </row>
    <row r="340" ht="14.25" customHeight="1">
      <c r="A340" s="3"/>
    </row>
    <row r="341" ht="14.25" customHeight="1">
      <c r="A341" s="3"/>
    </row>
    <row r="342" ht="14.25" customHeight="1">
      <c r="A342" s="3"/>
    </row>
    <row r="343" ht="14.25" customHeight="1">
      <c r="A343" s="3"/>
    </row>
    <row r="344" ht="14.25" customHeight="1">
      <c r="A344" s="3"/>
    </row>
    <row r="345" ht="14.25" customHeight="1">
      <c r="A345" s="3"/>
    </row>
    <row r="346" ht="14.25" customHeight="1">
      <c r="A346" s="3"/>
    </row>
    <row r="347" ht="14.25" customHeight="1">
      <c r="A347" s="3"/>
    </row>
    <row r="348" ht="14.25" customHeight="1">
      <c r="A348" s="3"/>
    </row>
    <row r="349" ht="14.25" customHeight="1">
      <c r="A349" s="3"/>
    </row>
    <row r="350" ht="14.25" customHeight="1">
      <c r="A350" s="3"/>
    </row>
    <row r="351" ht="14.25" customHeight="1">
      <c r="A351" s="3"/>
    </row>
    <row r="352" ht="14.25" customHeight="1">
      <c r="A352" s="3"/>
    </row>
    <row r="353" ht="14.25" customHeight="1">
      <c r="A353" s="3"/>
    </row>
    <row r="354" ht="14.25" customHeight="1">
      <c r="A354" s="3"/>
    </row>
    <row r="355" ht="14.25" customHeight="1">
      <c r="A355" s="3"/>
    </row>
    <row r="356" ht="14.25" customHeight="1">
      <c r="A356" s="3"/>
    </row>
    <row r="357" ht="14.25" customHeight="1">
      <c r="A357" s="3"/>
    </row>
    <row r="358" ht="14.25" customHeight="1">
      <c r="A358" s="3"/>
    </row>
    <row r="359" ht="14.25" customHeight="1">
      <c r="A359" s="3"/>
    </row>
    <row r="360" ht="14.25" customHeight="1">
      <c r="A360" s="3"/>
    </row>
    <row r="361" ht="14.25" customHeight="1">
      <c r="A361" s="3"/>
    </row>
    <row r="362" ht="14.25" customHeight="1">
      <c r="A362" s="3"/>
    </row>
    <row r="363" ht="14.25" customHeight="1">
      <c r="A363" s="3"/>
    </row>
    <row r="364" ht="14.25" customHeight="1">
      <c r="A364" s="3"/>
    </row>
    <row r="365" ht="14.25" customHeight="1">
      <c r="A365" s="3"/>
    </row>
    <row r="366" ht="14.25" customHeight="1">
      <c r="A366" s="3"/>
    </row>
    <row r="367" ht="14.25" customHeight="1">
      <c r="A367" s="3"/>
    </row>
    <row r="368" ht="14.25" customHeight="1">
      <c r="A368" s="3"/>
    </row>
    <row r="369" ht="14.25" customHeight="1">
      <c r="A369" s="3"/>
    </row>
    <row r="370" ht="14.25" customHeight="1">
      <c r="A370" s="3"/>
    </row>
    <row r="371" ht="14.25" customHeight="1">
      <c r="A371" s="3"/>
    </row>
    <row r="372" ht="14.25" customHeight="1">
      <c r="A372" s="3"/>
    </row>
    <row r="373" ht="14.25" customHeight="1">
      <c r="A373" s="3"/>
    </row>
    <row r="374" ht="14.25" customHeight="1">
      <c r="A374" s="3"/>
    </row>
    <row r="375" ht="14.25" customHeight="1">
      <c r="A375" s="3"/>
    </row>
    <row r="376" ht="14.25" customHeight="1">
      <c r="A376" s="3"/>
    </row>
    <row r="377" ht="14.25" customHeight="1">
      <c r="A377" s="3"/>
    </row>
    <row r="378" ht="14.25" customHeight="1">
      <c r="A378" s="3"/>
    </row>
    <row r="379" ht="14.25" customHeight="1">
      <c r="A379" s="3"/>
    </row>
    <row r="380" ht="14.25" customHeight="1">
      <c r="A380" s="3"/>
    </row>
    <row r="381" ht="14.25" customHeight="1">
      <c r="A381" s="3"/>
    </row>
    <row r="382" ht="14.25" customHeight="1">
      <c r="A382" s="3"/>
    </row>
    <row r="383" ht="14.25" customHeight="1">
      <c r="A383" s="3"/>
    </row>
    <row r="384" ht="14.25" customHeight="1">
      <c r="A384" s="3"/>
    </row>
    <row r="385" ht="14.25" customHeight="1">
      <c r="A385" s="3"/>
    </row>
    <row r="386" ht="14.25" customHeight="1">
      <c r="A386" s="3"/>
    </row>
    <row r="387" ht="14.25" customHeight="1">
      <c r="A387" s="3"/>
    </row>
    <row r="388" ht="14.25" customHeight="1">
      <c r="A388" s="3"/>
    </row>
    <row r="389" ht="14.25" customHeight="1">
      <c r="A389" s="3"/>
    </row>
    <row r="390" ht="14.25" customHeight="1">
      <c r="A390" s="3"/>
    </row>
    <row r="391" ht="14.25" customHeight="1">
      <c r="A391" s="3"/>
    </row>
    <row r="392" ht="14.25" customHeight="1">
      <c r="A392" s="3"/>
    </row>
    <row r="393" ht="14.25" customHeight="1">
      <c r="A393" s="3"/>
    </row>
    <row r="394" ht="14.25" customHeight="1">
      <c r="A394" s="3"/>
    </row>
    <row r="395" ht="14.25" customHeight="1">
      <c r="A395" s="3"/>
    </row>
    <row r="396" ht="14.25" customHeight="1">
      <c r="A396" s="3"/>
    </row>
    <row r="397" ht="14.25" customHeight="1">
      <c r="A397" s="3"/>
    </row>
    <row r="398" ht="14.25" customHeight="1">
      <c r="A398" s="3"/>
    </row>
    <row r="399" ht="14.25" customHeight="1">
      <c r="A399" s="3"/>
    </row>
    <row r="400" ht="14.25" customHeight="1">
      <c r="A400" s="3"/>
    </row>
    <row r="401" ht="14.25" customHeight="1">
      <c r="A401" s="3"/>
    </row>
    <row r="402" ht="14.25" customHeight="1">
      <c r="A402" s="3"/>
    </row>
    <row r="403" ht="14.25" customHeight="1">
      <c r="A403" s="3"/>
    </row>
    <row r="404" ht="14.25" customHeight="1">
      <c r="A404" s="3"/>
    </row>
    <row r="405" ht="14.25" customHeight="1">
      <c r="A405" s="3"/>
    </row>
    <row r="406" ht="14.25" customHeight="1">
      <c r="A406" s="3"/>
    </row>
    <row r="407" ht="14.25" customHeight="1">
      <c r="A407" s="3"/>
    </row>
    <row r="408" ht="14.25" customHeight="1">
      <c r="A408" s="3"/>
    </row>
    <row r="409" ht="14.25" customHeight="1">
      <c r="A409" s="3"/>
    </row>
    <row r="410" ht="14.25" customHeight="1">
      <c r="A410" s="3"/>
    </row>
    <row r="411" ht="14.25" customHeight="1">
      <c r="A411" s="3"/>
    </row>
    <row r="412" ht="14.25" customHeight="1">
      <c r="A412" s="3"/>
    </row>
    <row r="413" ht="14.25" customHeight="1">
      <c r="A413" s="3"/>
    </row>
    <row r="414" ht="14.25" customHeight="1">
      <c r="A414" s="3"/>
    </row>
    <row r="415" ht="14.25" customHeight="1">
      <c r="A415" s="3"/>
    </row>
    <row r="416" ht="14.25" customHeight="1">
      <c r="A416" s="3"/>
    </row>
    <row r="417" ht="14.25" customHeight="1">
      <c r="A417" s="3"/>
    </row>
    <row r="418" ht="14.25" customHeight="1">
      <c r="A418" s="3"/>
    </row>
    <row r="419" ht="14.25" customHeight="1">
      <c r="A419" s="3"/>
    </row>
    <row r="420" ht="14.25" customHeight="1">
      <c r="A420" s="3"/>
    </row>
    <row r="421" ht="14.25" customHeight="1">
      <c r="A421" s="3"/>
    </row>
    <row r="422" ht="14.25" customHeight="1">
      <c r="A422" s="3"/>
    </row>
    <row r="423" ht="14.25" customHeight="1">
      <c r="A423" s="3"/>
    </row>
    <row r="424" ht="14.25" customHeight="1">
      <c r="A424" s="3"/>
    </row>
    <row r="425" ht="14.25" customHeight="1">
      <c r="A425" s="3"/>
    </row>
    <row r="426" ht="14.25" customHeight="1">
      <c r="A426" s="3"/>
    </row>
    <row r="427" ht="14.25" customHeight="1">
      <c r="A427" s="3"/>
    </row>
    <row r="428" ht="14.25" customHeight="1">
      <c r="A428" s="3"/>
    </row>
    <row r="429" ht="14.25" customHeight="1">
      <c r="A429" s="3"/>
    </row>
    <row r="430" ht="14.25" customHeight="1">
      <c r="A430" s="3"/>
    </row>
    <row r="431" ht="14.25" customHeight="1">
      <c r="A431" s="3"/>
    </row>
    <row r="432" ht="14.25" customHeight="1">
      <c r="A432" s="3"/>
    </row>
    <row r="433" ht="14.25" customHeight="1">
      <c r="A433" s="3"/>
    </row>
    <row r="434" ht="14.25" customHeight="1">
      <c r="A434" s="3"/>
    </row>
    <row r="435" ht="14.25" customHeight="1">
      <c r="A435" s="3"/>
    </row>
    <row r="436" ht="14.25" customHeight="1">
      <c r="A436" s="3"/>
    </row>
    <row r="437" ht="14.25" customHeight="1">
      <c r="A437" s="3"/>
    </row>
    <row r="438" ht="14.25" customHeight="1">
      <c r="A438" s="3"/>
    </row>
    <row r="439" ht="14.25" customHeight="1">
      <c r="A439" s="3"/>
    </row>
    <row r="440" ht="14.25" customHeight="1">
      <c r="A440" s="3"/>
    </row>
    <row r="441" ht="14.25" customHeight="1">
      <c r="A441" s="3"/>
    </row>
    <row r="442" ht="14.25" customHeight="1">
      <c r="A442" s="3"/>
    </row>
    <row r="443" ht="14.25" customHeight="1">
      <c r="A443" s="3"/>
    </row>
    <row r="444" ht="14.25" customHeight="1">
      <c r="A444" s="3"/>
    </row>
    <row r="445" ht="14.25" customHeight="1">
      <c r="A445" s="3"/>
    </row>
    <row r="446" ht="14.25" customHeight="1">
      <c r="A446" s="3"/>
    </row>
    <row r="447" ht="14.25" customHeight="1">
      <c r="A447" s="3"/>
    </row>
    <row r="448" ht="14.25" customHeight="1">
      <c r="A448" s="3"/>
    </row>
    <row r="449" ht="14.25" customHeight="1">
      <c r="A449" s="3"/>
    </row>
    <row r="450" ht="14.25" customHeight="1">
      <c r="A450" s="3"/>
    </row>
    <row r="451" ht="14.25" customHeight="1">
      <c r="A451" s="3"/>
    </row>
    <row r="452" ht="14.25" customHeight="1">
      <c r="A452" s="3"/>
    </row>
    <row r="453" ht="14.25" customHeight="1">
      <c r="A453" s="3"/>
    </row>
    <row r="454" ht="14.25" customHeight="1">
      <c r="A454" s="3"/>
    </row>
    <row r="455" ht="14.25" customHeight="1">
      <c r="A455" s="3"/>
    </row>
    <row r="456" ht="14.25" customHeight="1">
      <c r="A456" s="3"/>
    </row>
    <row r="457" ht="14.25" customHeight="1">
      <c r="A457" s="3"/>
    </row>
    <row r="458" ht="14.25" customHeight="1">
      <c r="A458" s="3"/>
    </row>
    <row r="459" ht="14.25" customHeight="1">
      <c r="A459" s="3"/>
    </row>
    <row r="460" ht="14.25" customHeight="1">
      <c r="A460" s="3"/>
    </row>
    <row r="461" ht="14.25" customHeight="1">
      <c r="A461" s="3"/>
    </row>
    <row r="462" ht="14.25" customHeight="1">
      <c r="A462" s="3"/>
    </row>
    <row r="463" ht="14.25" customHeight="1">
      <c r="A463" s="3"/>
    </row>
    <row r="464" ht="14.25" customHeight="1">
      <c r="A464" s="3"/>
    </row>
    <row r="465" ht="14.25" customHeight="1">
      <c r="A465" s="3"/>
    </row>
    <row r="466" ht="14.25" customHeight="1">
      <c r="A466" s="3"/>
    </row>
    <row r="467" ht="14.25" customHeight="1">
      <c r="A467" s="3"/>
    </row>
    <row r="468" ht="14.25" customHeight="1">
      <c r="A468" s="3"/>
    </row>
    <row r="469" ht="14.25" customHeight="1">
      <c r="A469" s="3"/>
    </row>
    <row r="470" ht="14.25" customHeight="1">
      <c r="A470" s="3"/>
    </row>
    <row r="471" ht="14.25" customHeight="1">
      <c r="A471" s="3"/>
    </row>
    <row r="472" ht="14.25" customHeight="1">
      <c r="A472" s="3"/>
    </row>
    <row r="473" ht="14.25" customHeight="1">
      <c r="A473" s="3"/>
    </row>
    <row r="474" ht="14.25" customHeight="1">
      <c r="A474" s="3"/>
    </row>
    <row r="475" ht="14.25" customHeight="1">
      <c r="A475" s="3"/>
    </row>
    <row r="476" ht="14.25" customHeight="1">
      <c r="A476" s="3"/>
    </row>
    <row r="477" ht="14.25" customHeight="1">
      <c r="A477" s="3"/>
    </row>
    <row r="478" ht="14.25" customHeight="1">
      <c r="A478" s="3"/>
    </row>
    <row r="479" ht="14.25" customHeight="1">
      <c r="A479" s="3"/>
    </row>
    <row r="480" ht="14.25" customHeight="1">
      <c r="A480" s="3"/>
    </row>
    <row r="481" ht="14.25" customHeight="1">
      <c r="A481" s="3"/>
    </row>
    <row r="482" ht="14.25" customHeight="1">
      <c r="A482" s="3"/>
    </row>
    <row r="483" ht="14.25" customHeight="1">
      <c r="A483" s="3"/>
    </row>
    <row r="484" ht="14.25" customHeight="1">
      <c r="A484" s="3"/>
    </row>
    <row r="485" ht="14.25" customHeight="1">
      <c r="A485" s="3"/>
    </row>
    <row r="486" ht="14.25" customHeight="1">
      <c r="A486" s="3"/>
    </row>
    <row r="487" ht="14.25" customHeight="1">
      <c r="A487" s="3"/>
    </row>
    <row r="488" ht="14.25" customHeight="1">
      <c r="A488" s="3"/>
    </row>
    <row r="489" ht="14.25" customHeight="1">
      <c r="A489" s="3"/>
    </row>
    <row r="490" ht="14.25" customHeight="1">
      <c r="A490" s="3"/>
    </row>
    <row r="491" ht="14.25" customHeight="1">
      <c r="A491" s="3"/>
    </row>
    <row r="492" ht="14.25" customHeight="1">
      <c r="A492" s="3"/>
    </row>
    <row r="493" ht="14.25" customHeight="1">
      <c r="A493" s="3"/>
    </row>
    <row r="494" ht="14.25" customHeight="1">
      <c r="A494" s="3"/>
    </row>
    <row r="495" ht="14.25" customHeight="1">
      <c r="A495" s="3"/>
    </row>
    <row r="496" ht="14.25" customHeight="1">
      <c r="A496" s="3"/>
    </row>
    <row r="497" ht="14.25" customHeight="1">
      <c r="A497" s="3"/>
    </row>
    <row r="498" ht="14.25" customHeight="1">
      <c r="A498" s="3"/>
    </row>
    <row r="499" ht="14.25" customHeight="1">
      <c r="A499" s="3"/>
    </row>
    <row r="500" ht="14.25" customHeight="1">
      <c r="A500" s="3"/>
    </row>
    <row r="501" ht="14.25" customHeight="1">
      <c r="A501" s="3"/>
    </row>
    <row r="502" ht="14.25" customHeight="1">
      <c r="A502" s="3"/>
    </row>
    <row r="503" ht="14.25" customHeight="1">
      <c r="A503" s="3"/>
    </row>
    <row r="504" ht="14.25" customHeight="1">
      <c r="A504" s="3"/>
    </row>
    <row r="505" ht="14.25" customHeight="1">
      <c r="A505" s="3"/>
    </row>
    <row r="506" ht="14.25" customHeight="1">
      <c r="A506" s="3"/>
    </row>
    <row r="507" ht="14.25" customHeight="1">
      <c r="A507" s="3"/>
    </row>
    <row r="508" ht="14.25" customHeight="1">
      <c r="A508" s="3"/>
    </row>
    <row r="509" ht="14.25" customHeight="1">
      <c r="A509" s="3"/>
    </row>
    <row r="510" ht="14.25" customHeight="1">
      <c r="A510" s="3"/>
    </row>
    <row r="511" ht="14.25" customHeight="1">
      <c r="A511" s="3"/>
    </row>
    <row r="512" ht="14.25" customHeight="1">
      <c r="A512" s="3"/>
    </row>
    <row r="513" ht="14.25" customHeight="1">
      <c r="A513" s="3"/>
    </row>
    <row r="514" ht="14.25" customHeight="1">
      <c r="A514" s="3"/>
    </row>
    <row r="515" ht="14.25" customHeight="1">
      <c r="A515" s="3"/>
    </row>
    <row r="516" ht="14.25" customHeight="1">
      <c r="A516" s="3"/>
    </row>
    <row r="517" ht="14.25" customHeight="1">
      <c r="A517" s="3"/>
    </row>
    <row r="518" ht="14.25" customHeight="1">
      <c r="A518" s="3"/>
    </row>
    <row r="519" ht="14.25" customHeight="1">
      <c r="A519" s="3"/>
    </row>
    <row r="520" ht="14.25" customHeight="1">
      <c r="A520" s="3"/>
    </row>
    <row r="521" ht="14.25" customHeight="1">
      <c r="A521" s="3"/>
    </row>
    <row r="522" ht="14.25" customHeight="1">
      <c r="A522" s="3"/>
    </row>
    <row r="523" ht="14.25" customHeight="1">
      <c r="A523" s="3"/>
    </row>
    <row r="524" ht="14.25" customHeight="1">
      <c r="A524" s="3"/>
    </row>
    <row r="525" ht="14.25" customHeight="1">
      <c r="A525" s="3"/>
    </row>
    <row r="526" ht="14.25" customHeight="1">
      <c r="A526" s="3"/>
    </row>
    <row r="527" ht="14.25" customHeight="1">
      <c r="A527" s="3"/>
    </row>
    <row r="528" ht="14.25" customHeight="1">
      <c r="A528" s="3"/>
    </row>
    <row r="529" ht="14.25" customHeight="1">
      <c r="A529" s="3"/>
    </row>
    <row r="530" ht="14.25" customHeight="1">
      <c r="A530" s="3"/>
    </row>
    <row r="531" ht="14.25" customHeight="1">
      <c r="A531" s="3"/>
    </row>
    <row r="532" ht="14.25" customHeight="1">
      <c r="A532" s="3"/>
    </row>
    <row r="533" ht="14.25" customHeight="1">
      <c r="A533" s="3"/>
    </row>
    <row r="534" ht="14.25" customHeight="1">
      <c r="A534" s="3"/>
    </row>
    <row r="535" ht="14.25" customHeight="1">
      <c r="A535" s="3"/>
    </row>
    <row r="536" ht="14.25" customHeight="1">
      <c r="A536" s="3"/>
    </row>
    <row r="537" ht="14.25" customHeight="1">
      <c r="A537" s="3"/>
    </row>
    <row r="538" ht="14.25" customHeight="1">
      <c r="A538" s="3"/>
    </row>
    <row r="539" ht="14.25" customHeight="1">
      <c r="A539" s="3"/>
    </row>
    <row r="540" ht="14.25" customHeight="1">
      <c r="A540" s="3"/>
    </row>
    <row r="541" ht="14.25" customHeight="1">
      <c r="A541" s="3"/>
    </row>
    <row r="542" ht="14.25" customHeight="1">
      <c r="A542" s="3"/>
    </row>
    <row r="543" ht="14.25" customHeight="1">
      <c r="A543" s="3"/>
    </row>
    <row r="544" ht="14.25" customHeight="1">
      <c r="A544" s="3"/>
    </row>
    <row r="545" ht="14.25" customHeight="1">
      <c r="A545" s="3"/>
    </row>
    <row r="546" ht="14.25" customHeight="1">
      <c r="A546" s="3"/>
    </row>
    <row r="547" ht="14.25" customHeight="1">
      <c r="A547" s="3"/>
    </row>
    <row r="548" ht="14.25" customHeight="1">
      <c r="A548" s="3"/>
    </row>
    <row r="549" ht="14.25" customHeight="1">
      <c r="A549" s="3"/>
    </row>
    <row r="550" ht="14.25" customHeight="1">
      <c r="A550" s="3"/>
    </row>
    <row r="551" ht="14.25" customHeight="1">
      <c r="A551" s="3"/>
    </row>
    <row r="552" ht="14.25" customHeight="1">
      <c r="A552" s="3"/>
    </row>
    <row r="553" ht="14.25" customHeight="1">
      <c r="A553" s="3"/>
    </row>
    <row r="554" ht="14.25" customHeight="1">
      <c r="A554" s="3"/>
    </row>
    <row r="555" ht="14.25" customHeight="1">
      <c r="A555" s="3"/>
    </row>
    <row r="556" ht="14.25" customHeight="1">
      <c r="A556" s="3"/>
    </row>
    <row r="557" ht="14.25" customHeight="1">
      <c r="A557" s="3"/>
    </row>
    <row r="558" ht="14.25" customHeight="1">
      <c r="A558" s="3"/>
    </row>
    <row r="559" ht="14.25" customHeight="1">
      <c r="A559" s="3"/>
    </row>
    <row r="560" ht="14.25" customHeight="1">
      <c r="A560" s="3"/>
    </row>
    <row r="561" ht="14.25" customHeight="1">
      <c r="A561" s="3"/>
    </row>
    <row r="562" ht="14.25" customHeight="1">
      <c r="A562" s="3"/>
    </row>
    <row r="563" ht="14.25" customHeight="1">
      <c r="A563" s="3"/>
    </row>
    <row r="564" ht="14.25" customHeight="1">
      <c r="A564" s="3"/>
    </row>
    <row r="565" ht="14.25" customHeight="1">
      <c r="A565" s="3"/>
    </row>
    <row r="566" ht="14.25" customHeight="1">
      <c r="A566" s="3"/>
    </row>
    <row r="567" ht="14.25" customHeight="1">
      <c r="A567" s="3"/>
    </row>
    <row r="568" ht="14.25" customHeight="1">
      <c r="A568" s="3"/>
    </row>
    <row r="569" ht="14.25" customHeight="1">
      <c r="A569" s="3"/>
    </row>
    <row r="570" ht="14.25" customHeight="1">
      <c r="A570" s="3"/>
    </row>
    <row r="571" ht="14.25" customHeight="1">
      <c r="A571" s="3"/>
    </row>
    <row r="572" ht="14.25" customHeight="1">
      <c r="A572" s="3"/>
    </row>
    <row r="573" ht="14.25" customHeight="1">
      <c r="A573" s="3"/>
    </row>
    <row r="574" ht="14.25" customHeight="1">
      <c r="A574" s="3"/>
    </row>
    <row r="575" ht="14.25" customHeight="1">
      <c r="A575" s="3"/>
    </row>
    <row r="576" ht="14.25" customHeight="1">
      <c r="A576" s="3"/>
    </row>
    <row r="577" ht="14.25" customHeight="1">
      <c r="A577" s="3"/>
    </row>
    <row r="578" ht="14.25" customHeight="1">
      <c r="A578" s="3"/>
    </row>
    <row r="579" ht="14.25" customHeight="1">
      <c r="A579" s="3"/>
    </row>
    <row r="580" ht="14.25" customHeight="1">
      <c r="A580" s="3"/>
    </row>
    <row r="581" ht="14.25" customHeight="1">
      <c r="A581" s="3"/>
    </row>
    <row r="582" ht="14.25" customHeight="1">
      <c r="A582" s="3"/>
    </row>
    <row r="583" ht="14.25" customHeight="1">
      <c r="A583" s="3"/>
    </row>
    <row r="584" ht="14.25" customHeight="1">
      <c r="A584" s="3"/>
    </row>
    <row r="585" ht="14.25" customHeight="1">
      <c r="A585" s="3"/>
    </row>
    <row r="586" ht="14.25" customHeight="1">
      <c r="A586" s="3"/>
    </row>
    <row r="587" ht="14.25" customHeight="1">
      <c r="A587" s="3"/>
    </row>
    <row r="588" ht="14.25" customHeight="1">
      <c r="A588" s="3"/>
    </row>
    <row r="589" ht="14.25" customHeight="1">
      <c r="A589" s="3"/>
    </row>
    <row r="590" ht="14.25" customHeight="1">
      <c r="A590" s="3"/>
    </row>
    <row r="591" ht="14.25" customHeight="1">
      <c r="A591" s="3"/>
    </row>
    <row r="592" ht="14.25" customHeight="1">
      <c r="A592" s="3"/>
    </row>
    <row r="593" ht="14.25" customHeight="1">
      <c r="A593" s="3"/>
    </row>
    <row r="594" ht="14.25" customHeight="1">
      <c r="A594" s="3"/>
    </row>
    <row r="595" ht="14.25" customHeight="1">
      <c r="A595" s="3"/>
    </row>
    <row r="596" ht="14.25" customHeight="1">
      <c r="A596" s="3"/>
    </row>
    <row r="597" ht="14.25" customHeight="1">
      <c r="A597" s="3"/>
    </row>
    <row r="598" ht="14.25" customHeight="1">
      <c r="A598" s="3"/>
    </row>
    <row r="599" ht="14.25" customHeight="1">
      <c r="A599" s="3"/>
    </row>
    <row r="600" ht="14.25" customHeight="1">
      <c r="A600" s="3"/>
    </row>
    <row r="601" ht="14.25" customHeight="1">
      <c r="A601" s="3"/>
    </row>
    <row r="602" ht="14.25" customHeight="1">
      <c r="A602" s="3"/>
    </row>
    <row r="603" ht="14.25" customHeight="1">
      <c r="A603" s="3"/>
    </row>
    <row r="604" ht="14.25" customHeight="1">
      <c r="A604" s="3"/>
    </row>
    <row r="605" ht="14.25" customHeight="1">
      <c r="A605" s="3"/>
    </row>
    <row r="606" ht="14.25" customHeight="1">
      <c r="A606" s="3"/>
    </row>
    <row r="607" ht="14.25" customHeight="1">
      <c r="A607" s="3"/>
    </row>
    <row r="608" ht="14.25" customHeight="1">
      <c r="A608" s="3"/>
    </row>
    <row r="609" ht="14.25" customHeight="1">
      <c r="A609" s="3"/>
    </row>
    <row r="610" ht="14.25" customHeight="1">
      <c r="A610" s="3"/>
    </row>
    <row r="611" ht="14.25" customHeight="1">
      <c r="A611" s="3"/>
    </row>
    <row r="612" ht="14.25" customHeight="1">
      <c r="A612" s="3"/>
    </row>
    <row r="613" ht="14.25" customHeight="1">
      <c r="A613" s="3"/>
    </row>
    <row r="614" ht="14.25" customHeight="1">
      <c r="A614" s="3"/>
    </row>
    <row r="615" ht="14.25" customHeight="1">
      <c r="A615" s="3"/>
    </row>
    <row r="616" ht="14.25" customHeight="1">
      <c r="A616" s="3"/>
    </row>
    <row r="617" ht="14.25" customHeight="1">
      <c r="A617" s="3"/>
    </row>
    <row r="618" ht="14.25" customHeight="1">
      <c r="A618" s="3"/>
    </row>
    <row r="619" ht="14.25" customHeight="1">
      <c r="A619" s="3"/>
    </row>
    <row r="620" ht="14.25" customHeight="1">
      <c r="A620" s="3"/>
    </row>
    <row r="621" ht="14.25" customHeight="1">
      <c r="A621" s="3"/>
    </row>
    <row r="622" ht="14.25" customHeight="1">
      <c r="A622" s="3"/>
    </row>
    <row r="623" ht="14.25" customHeight="1">
      <c r="A623" s="3"/>
    </row>
    <row r="624" ht="14.25" customHeight="1">
      <c r="A624" s="3"/>
    </row>
    <row r="625" ht="14.25" customHeight="1">
      <c r="A625" s="3"/>
    </row>
    <row r="626" ht="14.25" customHeight="1">
      <c r="A626" s="3"/>
    </row>
    <row r="627" ht="14.25" customHeight="1">
      <c r="A627" s="3"/>
    </row>
    <row r="628" ht="14.25" customHeight="1">
      <c r="A628" s="3"/>
    </row>
    <row r="629" ht="14.25" customHeight="1">
      <c r="A629" s="3"/>
    </row>
    <row r="630" ht="14.25" customHeight="1">
      <c r="A630" s="3"/>
    </row>
    <row r="631" ht="14.25" customHeight="1">
      <c r="A631" s="3"/>
    </row>
    <row r="632" ht="14.25" customHeight="1">
      <c r="A632" s="3"/>
    </row>
    <row r="633" ht="14.25" customHeight="1">
      <c r="A633" s="3"/>
    </row>
    <row r="634" ht="14.25" customHeight="1">
      <c r="A634" s="3"/>
    </row>
    <row r="635" ht="14.25" customHeight="1">
      <c r="A635" s="3"/>
    </row>
    <row r="636" ht="14.25" customHeight="1">
      <c r="A636" s="3"/>
    </row>
    <row r="637" ht="14.25" customHeight="1">
      <c r="A637" s="3"/>
    </row>
    <row r="638" ht="14.25" customHeight="1">
      <c r="A638" s="3"/>
    </row>
    <row r="639" ht="14.25" customHeight="1">
      <c r="A639" s="3"/>
    </row>
    <row r="640" ht="14.25" customHeight="1">
      <c r="A640" s="3"/>
    </row>
    <row r="641" ht="14.25" customHeight="1">
      <c r="A641" s="3"/>
    </row>
    <row r="642" ht="14.25" customHeight="1">
      <c r="A642" s="3"/>
    </row>
    <row r="643" ht="14.25" customHeight="1">
      <c r="A643" s="3"/>
    </row>
    <row r="644" ht="14.25" customHeight="1">
      <c r="A644" s="3"/>
    </row>
    <row r="645" ht="14.25" customHeight="1">
      <c r="A645" s="3"/>
    </row>
    <row r="646" ht="14.25" customHeight="1">
      <c r="A646" s="3"/>
    </row>
    <row r="647" ht="14.25" customHeight="1">
      <c r="A647" s="3"/>
    </row>
    <row r="648" ht="14.25" customHeight="1">
      <c r="A648" s="3"/>
    </row>
    <row r="649" ht="14.25" customHeight="1">
      <c r="A649" s="3"/>
    </row>
    <row r="650" ht="14.25" customHeight="1">
      <c r="A650" s="3"/>
    </row>
    <row r="651" ht="14.25" customHeight="1">
      <c r="A651" s="3"/>
    </row>
    <row r="652" ht="14.25" customHeight="1">
      <c r="A652" s="3"/>
    </row>
    <row r="653" ht="14.25" customHeight="1">
      <c r="A653" s="3"/>
    </row>
    <row r="654" ht="14.25" customHeight="1">
      <c r="A654" s="3"/>
    </row>
    <row r="655" ht="14.25" customHeight="1">
      <c r="A655" s="3"/>
    </row>
    <row r="656" ht="14.25" customHeight="1">
      <c r="A656" s="3"/>
    </row>
    <row r="657" ht="14.25" customHeight="1">
      <c r="A657" s="3"/>
    </row>
    <row r="658" ht="14.25" customHeight="1">
      <c r="A658" s="3"/>
    </row>
    <row r="659" ht="14.25" customHeight="1">
      <c r="A659" s="3"/>
    </row>
    <row r="660" ht="14.25" customHeight="1">
      <c r="A660" s="3"/>
    </row>
    <row r="661" ht="14.25" customHeight="1">
      <c r="A661" s="3"/>
    </row>
    <row r="662" ht="14.25" customHeight="1">
      <c r="A662" s="3"/>
    </row>
    <row r="663" ht="14.25" customHeight="1">
      <c r="A663" s="3"/>
    </row>
    <row r="664" ht="14.25" customHeight="1">
      <c r="A664" s="3"/>
    </row>
    <row r="665" ht="14.25" customHeight="1">
      <c r="A665" s="3"/>
    </row>
    <row r="666" ht="14.25" customHeight="1">
      <c r="A666" s="3"/>
    </row>
    <row r="667" ht="14.25" customHeight="1">
      <c r="A667" s="3"/>
    </row>
    <row r="668" ht="14.25" customHeight="1">
      <c r="A668" s="3"/>
    </row>
    <row r="669" ht="14.25" customHeight="1">
      <c r="A669" s="3"/>
    </row>
    <row r="670" ht="14.25" customHeight="1">
      <c r="A670" s="3"/>
    </row>
    <row r="671" ht="14.25" customHeight="1">
      <c r="A671" s="3"/>
    </row>
    <row r="672" ht="14.25" customHeight="1">
      <c r="A672" s="3"/>
    </row>
    <row r="673" ht="14.25" customHeight="1">
      <c r="A673" s="3"/>
    </row>
    <row r="674" ht="14.25" customHeight="1">
      <c r="A674" s="3"/>
    </row>
    <row r="675" ht="14.25" customHeight="1">
      <c r="A675" s="3"/>
    </row>
    <row r="676" ht="14.25" customHeight="1">
      <c r="A676" s="3"/>
    </row>
    <row r="677" ht="14.25" customHeight="1">
      <c r="A677" s="3"/>
    </row>
    <row r="678" ht="14.25" customHeight="1">
      <c r="A678" s="3"/>
    </row>
    <row r="679" ht="14.25" customHeight="1">
      <c r="A679" s="3"/>
    </row>
    <row r="680" ht="14.25" customHeight="1">
      <c r="A680" s="3"/>
    </row>
    <row r="681" ht="14.25" customHeight="1">
      <c r="A681" s="3"/>
    </row>
    <row r="682" ht="14.25" customHeight="1">
      <c r="A682" s="3"/>
    </row>
    <row r="683" ht="14.25" customHeight="1">
      <c r="A683" s="3"/>
    </row>
    <row r="684" ht="14.25" customHeight="1">
      <c r="A684" s="3"/>
    </row>
    <row r="685" ht="14.25" customHeight="1">
      <c r="A685" s="3"/>
    </row>
    <row r="686" ht="14.25" customHeight="1">
      <c r="A686" s="3"/>
    </row>
    <row r="687" ht="14.25" customHeight="1">
      <c r="A687" s="3"/>
    </row>
    <row r="688" ht="14.25" customHeight="1">
      <c r="A688" s="3"/>
    </row>
    <row r="689" ht="14.25" customHeight="1">
      <c r="A689" s="3"/>
    </row>
    <row r="690" ht="14.25" customHeight="1">
      <c r="A690" s="3"/>
    </row>
    <row r="691" ht="14.25" customHeight="1">
      <c r="A691" s="3"/>
    </row>
    <row r="692" ht="14.25" customHeight="1">
      <c r="A692" s="3"/>
    </row>
    <row r="693" ht="14.25" customHeight="1">
      <c r="A693" s="3"/>
    </row>
    <row r="694" ht="14.25" customHeight="1">
      <c r="A694" s="3"/>
    </row>
    <row r="695" ht="14.25" customHeight="1">
      <c r="A695" s="3"/>
    </row>
    <row r="696" ht="14.25" customHeight="1">
      <c r="A696" s="3"/>
    </row>
    <row r="697" ht="14.25" customHeight="1">
      <c r="A697" s="3"/>
    </row>
    <row r="698" ht="14.25" customHeight="1">
      <c r="A698" s="3"/>
    </row>
    <row r="699" ht="14.25" customHeight="1">
      <c r="A699" s="3"/>
    </row>
    <row r="700" ht="14.25" customHeight="1">
      <c r="A700" s="3"/>
    </row>
    <row r="701" ht="14.25" customHeight="1">
      <c r="A701" s="3"/>
    </row>
    <row r="702" ht="14.25" customHeight="1">
      <c r="A702" s="3"/>
    </row>
    <row r="703" ht="14.25" customHeight="1">
      <c r="A703" s="3"/>
    </row>
    <row r="704" ht="14.25" customHeight="1">
      <c r="A704" s="3"/>
    </row>
    <row r="705" ht="14.25" customHeight="1">
      <c r="A705" s="3"/>
    </row>
    <row r="706" ht="14.25" customHeight="1">
      <c r="A706" s="3"/>
    </row>
    <row r="707" ht="14.25" customHeight="1">
      <c r="A707" s="3"/>
    </row>
    <row r="708" ht="14.25" customHeight="1">
      <c r="A708" s="3"/>
    </row>
    <row r="709" ht="14.25" customHeight="1">
      <c r="A709" s="3"/>
    </row>
    <row r="710" ht="14.25" customHeight="1">
      <c r="A710" s="3"/>
    </row>
    <row r="711" ht="14.25" customHeight="1">
      <c r="A711" s="3"/>
    </row>
    <row r="712" ht="14.25" customHeight="1">
      <c r="A712" s="3"/>
    </row>
    <row r="713" ht="14.25" customHeight="1">
      <c r="A713" s="3"/>
    </row>
    <row r="714" ht="14.25" customHeight="1">
      <c r="A714" s="3"/>
    </row>
    <row r="715" ht="14.25" customHeight="1">
      <c r="A715" s="3"/>
    </row>
    <row r="716" ht="14.25" customHeight="1">
      <c r="A716" s="3"/>
    </row>
    <row r="717" ht="14.25" customHeight="1">
      <c r="A717" s="3"/>
    </row>
    <row r="718" ht="14.25" customHeight="1">
      <c r="A718" s="3"/>
    </row>
    <row r="719" ht="14.25" customHeight="1">
      <c r="A719" s="3"/>
    </row>
    <row r="720" ht="14.25" customHeight="1">
      <c r="A720" s="3"/>
    </row>
    <row r="721" ht="14.25" customHeight="1">
      <c r="A721" s="3"/>
    </row>
    <row r="722" ht="14.25" customHeight="1">
      <c r="A722" s="3"/>
    </row>
    <row r="723" ht="14.25" customHeight="1">
      <c r="A723" s="3"/>
    </row>
    <row r="724" ht="14.25" customHeight="1">
      <c r="A724" s="3"/>
    </row>
    <row r="725" ht="14.25" customHeight="1">
      <c r="A725" s="3"/>
    </row>
    <row r="726" ht="14.25" customHeight="1">
      <c r="A726" s="3"/>
    </row>
    <row r="727" ht="14.25" customHeight="1">
      <c r="A727" s="3"/>
    </row>
    <row r="728" ht="14.25" customHeight="1">
      <c r="A728" s="3"/>
    </row>
    <row r="729" ht="14.25" customHeight="1">
      <c r="A729" s="3"/>
    </row>
    <row r="730" ht="14.25" customHeight="1">
      <c r="A730" s="3"/>
    </row>
    <row r="731" ht="14.25" customHeight="1">
      <c r="A731" s="3"/>
    </row>
    <row r="732" ht="14.25" customHeight="1">
      <c r="A732" s="3"/>
    </row>
    <row r="733" ht="14.25" customHeight="1">
      <c r="A733" s="3"/>
    </row>
    <row r="734" ht="14.25" customHeight="1">
      <c r="A734" s="3"/>
    </row>
    <row r="735" ht="14.25" customHeight="1">
      <c r="A735" s="3"/>
    </row>
    <row r="736" ht="14.25" customHeight="1">
      <c r="A736" s="3"/>
    </row>
    <row r="737" ht="14.25" customHeight="1">
      <c r="A737" s="3"/>
    </row>
    <row r="738" ht="14.25" customHeight="1">
      <c r="A738" s="3"/>
    </row>
    <row r="739" ht="14.25" customHeight="1">
      <c r="A739" s="3"/>
    </row>
    <row r="740" ht="14.25" customHeight="1">
      <c r="A740" s="3"/>
    </row>
    <row r="741" ht="14.25" customHeight="1">
      <c r="A741" s="3"/>
    </row>
    <row r="742" ht="14.25" customHeight="1">
      <c r="A742" s="3"/>
    </row>
    <row r="743" ht="14.25" customHeight="1">
      <c r="A743" s="3"/>
    </row>
    <row r="744" ht="14.25" customHeight="1">
      <c r="A744" s="3"/>
    </row>
    <row r="745" ht="14.25" customHeight="1">
      <c r="A745" s="3"/>
    </row>
    <row r="746" ht="14.25" customHeight="1">
      <c r="A746" s="3"/>
    </row>
    <row r="747" ht="14.25" customHeight="1">
      <c r="A747" s="3"/>
    </row>
    <row r="748" ht="14.25" customHeight="1">
      <c r="A748" s="3"/>
    </row>
    <row r="749" ht="14.25" customHeight="1">
      <c r="A749" s="3"/>
    </row>
    <row r="750" ht="14.25" customHeight="1">
      <c r="A750" s="3"/>
    </row>
    <row r="751" ht="14.25" customHeight="1">
      <c r="A751" s="3"/>
    </row>
    <row r="752" ht="14.25" customHeight="1">
      <c r="A752" s="3"/>
    </row>
    <row r="753" ht="14.25" customHeight="1">
      <c r="A753" s="3"/>
    </row>
    <row r="754" ht="14.25" customHeight="1">
      <c r="A754" s="3"/>
    </row>
    <row r="755" ht="14.25" customHeight="1">
      <c r="A755" s="3"/>
    </row>
    <row r="756" ht="14.25" customHeight="1">
      <c r="A756" s="3"/>
    </row>
    <row r="757" ht="14.25" customHeight="1">
      <c r="A757" s="3"/>
    </row>
    <row r="758" ht="14.25" customHeight="1">
      <c r="A758" s="3"/>
    </row>
    <row r="759" ht="14.25" customHeight="1">
      <c r="A759" s="3"/>
    </row>
    <row r="760" ht="14.25" customHeight="1">
      <c r="A760" s="3"/>
    </row>
    <row r="761" ht="14.25" customHeight="1">
      <c r="A761" s="3"/>
    </row>
    <row r="762" ht="14.25" customHeight="1">
      <c r="A762" s="3"/>
    </row>
    <row r="763" ht="14.25" customHeight="1">
      <c r="A763" s="3"/>
    </row>
    <row r="764" ht="14.25" customHeight="1">
      <c r="A764" s="3"/>
    </row>
    <row r="765" ht="14.25" customHeight="1">
      <c r="A765" s="3"/>
    </row>
    <row r="766" ht="14.25" customHeight="1">
      <c r="A766" s="3"/>
    </row>
    <row r="767" ht="14.25" customHeight="1">
      <c r="A767" s="3"/>
    </row>
    <row r="768" ht="14.25" customHeight="1">
      <c r="A768" s="3"/>
    </row>
    <row r="769" ht="14.25" customHeight="1">
      <c r="A769" s="3"/>
    </row>
    <row r="770" ht="14.25" customHeight="1">
      <c r="A770" s="3"/>
    </row>
    <row r="771" ht="14.25" customHeight="1">
      <c r="A771" s="3"/>
    </row>
    <row r="772" ht="14.25" customHeight="1">
      <c r="A772" s="3"/>
    </row>
    <row r="773" ht="14.25" customHeight="1">
      <c r="A773" s="3"/>
    </row>
    <row r="774" ht="14.25" customHeight="1">
      <c r="A774" s="3"/>
    </row>
    <row r="775" ht="14.25" customHeight="1">
      <c r="A775" s="3"/>
    </row>
    <row r="776" ht="14.25" customHeight="1">
      <c r="A776" s="3"/>
    </row>
    <row r="777" ht="14.25" customHeight="1">
      <c r="A777" s="3"/>
    </row>
    <row r="778" ht="14.25" customHeight="1">
      <c r="A778" s="3"/>
    </row>
    <row r="779" ht="14.25" customHeight="1">
      <c r="A779" s="3"/>
    </row>
    <row r="780" ht="14.25" customHeight="1">
      <c r="A780" s="3"/>
    </row>
    <row r="781" ht="14.25" customHeight="1">
      <c r="A781" s="3"/>
    </row>
    <row r="782" ht="14.25" customHeight="1">
      <c r="A782" s="3"/>
    </row>
    <row r="783" ht="14.25" customHeight="1">
      <c r="A783" s="3"/>
    </row>
    <row r="784" ht="14.25" customHeight="1">
      <c r="A784" s="3"/>
    </row>
    <row r="785" ht="14.25" customHeight="1">
      <c r="A785" s="3"/>
    </row>
    <row r="786" ht="14.25" customHeight="1">
      <c r="A786" s="3"/>
    </row>
    <row r="787" ht="14.25" customHeight="1">
      <c r="A787" s="3"/>
    </row>
    <row r="788" ht="14.25" customHeight="1">
      <c r="A788" s="3"/>
    </row>
    <row r="789" ht="14.25" customHeight="1">
      <c r="A789" s="3"/>
    </row>
    <row r="790" ht="14.25" customHeight="1">
      <c r="A790" s="3"/>
    </row>
    <row r="791" ht="14.25" customHeight="1">
      <c r="A791" s="3"/>
    </row>
    <row r="792" ht="14.25" customHeight="1">
      <c r="A792" s="3"/>
    </row>
    <row r="793" ht="14.25" customHeight="1">
      <c r="A793" s="3"/>
    </row>
    <row r="794" ht="14.25" customHeight="1">
      <c r="A794" s="3"/>
    </row>
    <row r="795" ht="14.25" customHeight="1">
      <c r="A795" s="3"/>
    </row>
    <row r="796" ht="14.25" customHeight="1">
      <c r="A796" s="3"/>
    </row>
    <row r="797" ht="14.25" customHeight="1">
      <c r="A797" s="3"/>
    </row>
    <row r="798" ht="14.25" customHeight="1">
      <c r="A798" s="3"/>
    </row>
    <row r="799" ht="14.25" customHeight="1">
      <c r="A799" s="3"/>
    </row>
    <row r="800" ht="14.25" customHeight="1">
      <c r="A800" s="3"/>
    </row>
    <row r="801" ht="14.25" customHeight="1">
      <c r="A801" s="3"/>
    </row>
    <row r="802" ht="14.25" customHeight="1">
      <c r="A802" s="3"/>
    </row>
    <row r="803" ht="14.25" customHeight="1">
      <c r="A803" s="3"/>
    </row>
    <row r="804" ht="14.25" customHeight="1">
      <c r="A804" s="3"/>
    </row>
    <row r="805" ht="14.25" customHeight="1">
      <c r="A805" s="3"/>
    </row>
    <row r="806" ht="14.25" customHeight="1">
      <c r="A806" s="3"/>
    </row>
    <row r="807" ht="14.25" customHeight="1">
      <c r="A807" s="3"/>
    </row>
    <row r="808" ht="14.25" customHeight="1">
      <c r="A808" s="3"/>
    </row>
    <row r="809" ht="14.25" customHeight="1">
      <c r="A809" s="3"/>
    </row>
    <row r="810" ht="14.25" customHeight="1">
      <c r="A810" s="3"/>
    </row>
    <row r="811" ht="14.25" customHeight="1">
      <c r="A811" s="3"/>
    </row>
    <row r="812" ht="14.25" customHeight="1">
      <c r="A812" s="3"/>
    </row>
    <row r="813" ht="14.25" customHeight="1">
      <c r="A813" s="3"/>
    </row>
    <row r="814" ht="14.25" customHeight="1">
      <c r="A814" s="3"/>
    </row>
    <row r="815" ht="14.25" customHeight="1">
      <c r="A815" s="3"/>
    </row>
    <row r="816" ht="14.25" customHeight="1">
      <c r="A816" s="3"/>
    </row>
    <row r="817" ht="14.25" customHeight="1">
      <c r="A817" s="3"/>
    </row>
    <row r="818" ht="14.25" customHeight="1">
      <c r="A818" s="3"/>
    </row>
    <row r="819" ht="14.25" customHeight="1">
      <c r="A819" s="3"/>
    </row>
    <row r="820" ht="14.25" customHeight="1">
      <c r="A820" s="3"/>
    </row>
    <row r="821" ht="14.25" customHeight="1">
      <c r="A821" s="3"/>
    </row>
    <row r="822" ht="14.25" customHeight="1">
      <c r="A822" s="3"/>
    </row>
    <row r="823" ht="14.25" customHeight="1">
      <c r="A823" s="3"/>
    </row>
    <row r="824" ht="14.25" customHeight="1">
      <c r="A824" s="3"/>
    </row>
    <row r="825" ht="14.25" customHeight="1">
      <c r="A825" s="3"/>
    </row>
    <row r="826" ht="14.25" customHeight="1">
      <c r="A826" s="3"/>
    </row>
    <row r="827" ht="14.25" customHeight="1">
      <c r="A827" s="3"/>
    </row>
    <row r="828" ht="14.25" customHeight="1">
      <c r="A828" s="3"/>
    </row>
    <row r="829" ht="14.25" customHeight="1">
      <c r="A829" s="3"/>
    </row>
    <row r="830" ht="14.25" customHeight="1">
      <c r="A830" s="3"/>
    </row>
    <row r="831" ht="14.25" customHeight="1">
      <c r="A831" s="3"/>
    </row>
    <row r="832" ht="14.25" customHeight="1">
      <c r="A832" s="3"/>
    </row>
    <row r="833" ht="14.25" customHeight="1">
      <c r="A833" s="3"/>
    </row>
    <row r="834" ht="14.25" customHeight="1">
      <c r="A834" s="3"/>
    </row>
    <row r="835" ht="14.25" customHeight="1">
      <c r="A835" s="3"/>
    </row>
    <row r="836" ht="14.25" customHeight="1">
      <c r="A836" s="3"/>
    </row>
    <row r="837" ht="14.25" customHeight="1">
      <c r="A837" s="3"/>
    </row>
    <row r="838" ht="14.25" customHeight="1">
      <c r="A838" s="3"/>
    </row>
    <row r="839" ht="14.25" customHeight="1">
      <c r="A839" s="3"/>
    </row>
    <row r="840" ht="14.25" customHeight="1">
      <c r="A840" s="3"/>
    </row>
    <row r="841" ht="14.25" customHeight="1">
      <c r="A841" s="3"/>
    </row>
    <row r="842" ht="14.25" customHeight="1">
      <c r="A842" s="3"/>
    </row>
    <row r="843" ht="14.25" customHeight="1">
      <c r="A843" s="3"/>
    </row>
    <row r="844" ht="14.25" customHeight="1">
      <c r="A844" s="3"/>
    </row>
    <row r="845" ht="14.25" customHeight="1">
      <c r="A845" s="3"/>
    </row>
    <row r="846" ht="14.25" customHeight="1">
      <c r="A846" s="3"/>
    </row>
    <row r="847" ht="14.25" customHeight="1">
      <c r="A847" s="3"/>
    </row>
    <row r="848" ht="14.25" customHeight="1">
      <c r="A848" s="3"/>
    </row>
    <row r="849" ht="14.25" customHeight="1">
      <c r="A849" s="3"/>
    </row>
    <row r="850" ht="14.25" customHeight="1">
      <c r="A850" s="3"/>
    </row>
    <row r="851" ht="14.25" customHeight="1">
      <c r="A851" s="3"/>
    </row>
    <row r="852" ht="14.25" customHeight="1">
      <c r="A852" s="3"/>
    </row>
    <row r="853" ht="14.25" customHeight="1">
      <c r="A853" s="3"/>
    </row>
    <row r="854" ht="14.25" customHeight="1">
      <c r="A854" s="3"/>
    </row>
    <row r="855" ht="14.25" customHeight="1">
      <c r="A855" s="3"/>
    </row>
    <row r="856" ht="14.25" customHeight="1">
      <c r="A856" s="3"/>
    </row>
    <row r="857" ht="14.25" customHeight="1">
      <c r="A857" s="3"/>
    </row>
    <row r="858" ht="14.25" customHeight="1">
      <c r="A858" s="3"/>
    </row>
    <row r="859" ht="14.25" customHeight="1">
      <c r="A859" s="3"/>
    </row>
    <row r="860" ht="14.25" customHeight="1">
      <c r="A860" s="3"/>
    </row>
    <row r="861" ht="14.25" customHeight="1">
      <c r="A861" s="3"/>
    </row>
    <row r="862" ht="14.25" customHeight="1">
      <c r="A862" s="3"/>
    </row>
    <row r="863" ht="14.25" customHeight="1">
      <c r="A863" s="3"/>
    </row>
    <row r="864" ht="14.25" customHeight="1">
      <c r="A864" s="3"/>
    </row>
    <row r="865" ht="14.25" customHeight="1">
      <c r="A865" s="3"/>
    </row>
    <row r="866" ht="14.25" customHeight="1">
      <c r="A866" s="3"/>
    </row>
    <row r="867" ht="14.25" customHeight="1">
      <c r="A867" s="3"/>
    </row>
    <row r="868" ht="14.25" customHeight="1">
      <c r="A868" s="3"/>
    </row>
    <row r="869" ht="14.25" customHeight="1">
      <c r="A869" s="3"/>
    </row>
    <row r="870" ht="14.25" customHeight="1">
      <c r="A870" s="3"/>
    </row>
    <row r="871" ht="14.25" customHeight="1">
      <c r="A871" s="3"/>
    </row>
    <row r="872" ht="14.25" customHeight="1">
      <c r="A872" s="3"/>
    </row>
    <row r="873" ht="14.25" customHeight="1">
      <c r="A873" s="3"/>
    </row>
    <row r="874" ht="14.25" customHeight="1">
      <c r="A874" s="3"/>
    </row>
    <row r="875" ht="14.25" customHeight="1">
      <c r="A875" s="3"/>
    </row>
    <row r="876" ht="14.25" customHeight="1">
      <c r="A876" s="3"/>
    </row>
    <row r="877" ht="14.25" customHeight="1">
      <c r="A877" s="3"/>
    </row>
    <row r="878" ht="14.25" customHeight="1">
      <c r="A878" s="3"/>
    </row>
    <row r="879" ht="14.25" customHeight="1">
      <c r="A879" s="3"/>
    </row>
    <row r="880" ht="14.25" customHeight="1">
      <c r="A880" s="3"/>
    </row>
    <row r="881" ht="14.25" customHeight="1">
      <c r="A881" s="3"/>
    </row>
    <row r="882" ht="14.25" customHeight="1">
      <c r="A882" s="3"/>
    </row>
    <row r="883" ht="14.25" customHeight="1">
      <c r="A883" s="3"/>
    </row>
    <row r="884" ht="14.25" customHeight="1">
      <c r="A884" s="3"/>
    </row>
    <row r="885" ht="14.25" customHeight="1">
      <c r="A885" s="3"/>
    </row>
    <row r="886" ht="14.25" customHeight="1">
      <c r="A886" s="3"/>
    </row>
    <row r="887" ht="14.25" customHeight="1">
      <c r="A887" s="3"/>
    </row>
    <row r="888" ht="14.25" customHeight="1">
      <c r="A888" s="3"/>
    </row>
    <row r="889" ht="14.25" customHeight="1">
      <c r="A889" s="3"/>
    </row>
    <row r="890" ht="14.25" customHeight="1">
      <c r="A890" s="3"/>
    </row>
    <row r="891" ht="14.25" customHeight="1">
      <c r="A891" s="3"/>
    </row>
    <row r="892" ht="14.25" customHeight="1">
      <c r="A892" s="3"/>
    </row>
    <row r="893" ht="14.25" customHeight="1">
      <c r="A893" s="3"/>
    </row>
    <row r="894" ht="14.25" customHeight="1">
      <c r="A894" s="3"/>
    </row>
    <row r="895" ht="14.25" customHeight="1">
      <c r="A895" s="3"/>
    </row>
    <row r="896" ht="14.25" customHeight="1">
      <c r="A896" s="3"/>
    </row>
    <row r="897" ht="14.25" customHeight="1">
      <c r="A897" s="3"/>
    </row>
    <row r="898" ht="14.25" customHeight="1">
      <c r="A898" s="3"/>
    </row>
    <row r="899" ht="14.25" customHeight="1">
      <c r="A899" s="3"/>
    </row>
    <row r="900" ht="14.25" customHeight="1">
      <c r="A900" s="3"/>
    </row>
    <row r="901" ht="14.25" customHeight="1">
      <c r="A901" s="3"/>
    </row>
    <row r="902" ht="14.25" customHeight="1">
      <c r="A902" s="3"/>
    </row>
    <row r="903" ht="14.25" customHeight="1">
      <c r="A903" s="3"/>
    </row>
    <row r="904" ht="14.25" customHeight="1">
      <c r="A904" s="3"/>
    </row>
    <row r="905" ht="14.25" customHeight="1">
      <c r="A905" s="3"/>
    </row>
    <row r="906" ht="14.25" customHeight="1">
      <c r="A906" s="3"/>
    </row>
    <row r="907" ht="14.25" customHeight="1">
      <c r="A907" s="3"/>
    </row>
    <row r="908" ht="14.25" customHeight="1">
      <c r="A908" s="3"/>
    </row>
    <row r="909" ht="14.25" customHeight="1">
      <c r="A909" s="3"/>
    </row>
    <row r="910" ht="14.25" customHeight="1">
      <c r="A910" s="3"/>
    </row>
    <row r="911" ht="14.25" customHeight="1">
      <c r="A911" s="3"/>
    </row>
    <row r="912" ht="14.25" customHeight="1">
      <c r="A912" s="3"/>
    </row>
    <row r="913" ht="14.25" customHeight="1">
      <c r="A913" s="3"/>
    </row>
    <row r="914" ht="14.25" customHeight="1">
      <c r="A914" s="3"/>
    </row>
    <row r="915" ht="14.25" customHeight="1">
      <c r="A915" s="3"/>
    </row>
    <row r="916" ht="14.25" customHeight="1">
      <c r="A916" s="3"/>
    </row>
    <row r="917" ht="14.25" customHeight="1">
      <c r="A917" s="3"/>
    </row>
    <row r="918" ht="14.25" customHeight="1">
      <c r="A918" s="3"/>
    </row>
    <row r="919" ht="14.25" customHeight="1">
      <c r="A919" s="3"/>
    </row>
    <row r="920" ht="14.25" customHeight="1">
      <c r="A920" s="3"/>
    </row>
    <row r="921" ht="14.25" customHeight="1">
      <c r="A921" s="3"/>
    </row>
    <row r="922" ht="14.25" customHeight="1">
      <c r="A922" s="3"/>
    </row>
    <row r="923" ht="14.25" customHeight="1">
      <c r="A923" s="3"/>
    </row>
    <row r="924" ht="14.25" customHeight="1">
      <c r="A924" s="3"/>
    </row>
    <row r="925" ht="14.25" customHeight="1">
      <c r="A925" s="3"/>
    </row>
    <row r="926" ht="14.25" customHeight="1">
      <c r="A926" s="3"/>
    </row>
    <row r="927" ht="14.25" customHeight="1">
      <c r="A927" s="3"/>
    </row>
    <row r="928" ht="14.25" customHeight="1">
      <c r="A928" s="3"/>
    </row>
    <row r="929" ht="14.25" customHeight="1">
      <c r="A929" s="3"/>
    </row>
    <row r="930" ht="14.25" customHeight="1">
      <c r="A930" s="3"/>
    </row>
    <row r="931" ht="14.25" customHeight="1">
      <c r="A931" s="3"/>
    </row>
    <row r="932" ht="14.25" customHeight="1">
      <c r="A932" s="3"/>
    </row>
    <row r="933" ht="14.25" customHeight="1">
      <c r="A933" s="3"/>
    </row>
    <row r="934" ht="14.25" customHeight="1">
      <c r="A934" s="3"/>
    </row>
    <row r="935" ht="14.25" customHeight="1">
      <c r="A935" s="3"/>
    </row>
    <row r="936" ht="14.25" customHeight="1">
      <c r="A936" s="3"/>
    </row>
    <row r="937" ht="14.25" customHeight="1">
      <c r="A937" s="3"/>
    </row>
    <row r="938" ht="14.25" customHeight="1">
      <c r="A938" s="3"/>
    </row>
    <row r="939" ht="14.25" customHeight="1">
      <c r="A939" s="3"/>
    </row>
    <row r="940" ht="14.25" customHeight="1">
      <c r="A940" s="3"/>
    </row>
    <row r="941" ht="14.25" customHeight="1">
      <c r="A941" s="3"/>
    </row>
    <row r="942" ht="14.25" customHeight="1">
      <c r="A942" s="3"/>
    </row>
    <row r="943" ht="14.25" customHeight="1">
      <c r="A943" s="3"/>
    </row>
    <row r="944" ht="14.25" customHeight="1">
      <c r="A944" s="3"/>
    </row>
    <row r="945" ht="14.25" customHeight="1">
      <c r="A945" s="3"/>
    </row>
    <row r="946" ht="14.25" customHeight="1">
      <c r="A946" s="3"/>
    </row>
    <row r="947" ht="14.25" customHeight="1">
      <c r="A947" s="3"/>
    </row>
    <row r="948" ht="14.25" customHeight="1">
      <c r="A948" s="3"/>
    </row>
    <row r="949" ht="14.25" customHeight="1">
      <c r="A949" s="3"/>
    </row>
    <row r="950" ht="14.25" customHeight="1">
      <c r="A950" s="3"/>
    </row>
    <row r="951" ht="14.25" customHeight="1">
      <c r="A951" s="3"/>
    </row>
    <row r="952" ht="14.25" customHeight="1">
      <c r="A952" s="3"/>
    </row>
    <row r="953" ht="14.25" customHeight="1">
      <c r="A953" s="3"/>
    </row>
    <row r="954" ht="14.25" customHeight="1">
      <c r="A954" s="3"/>
    </row>
    <row r="955" ht="14.25" customHeight="1">
      <c r="A955" s="3"/>
    </row>
    <row r="956" ht="14.25" customHeight="1">
      <c r="A956" s="3"/>
    </row>
    <row r="957" ht="14.25" customHeight="1">
      <c r="A957" s="3"/>
    </row>
    <row r="958" ht="14.25" customHeight="1">
      <c r="A958" s="3"/>
    </row>
    <row r="959" ht="14.25" customHeight="1">
      <c r="A959" s="3"/>
    </row>
    <row r="960" ht="14.25" customHeight="1">
      <c r="A960" s="3"/>
    </row>
    <row r="961" ht="14.25" customHeight="1">
      <c r="A961" s="3"/>
    </row>
    <row r="962" ht="14.25" customHeight="1">
      <c r="A962" s="3"/>
    </row>
    <row r="963" ht="14.25" customHeight="1">
      <c r="A963" s="3"/>
    </row>
    <row r="964" ht="14.25" customHeight="1">
      <c r="A964" s="3"/>
    </row>
    <row r="965" ht="14.25" customHeight="1">
      <c r="A965" s="3"/>
    </row>
    <row r="966" ht="14.25" customHeight="1">
      <c r="A966" s="3"/>
    </row>
    <row r="967" ht="14.25" customHeight="1">
      <c r="A967" s="3"/>
    </row>
    <row r="968" ht="14.25" customHeight="1">
      <c r="A968" s="3"/>
    </row>
    <row r="969" ht="14.25" customHeight="1">
      <c r="A969" s="3"/>
    </row>
    <row r="970" ht="14.25" customHeight="1">
      <c r="A970" s="3"/>
    </row>
    <row r="971" ht="14.25" customHeight="1">
      <c r="A971" s="3"/>
    </row>
    <row r="972" ht="14.25" customHeight="1">
      <c r="A972" s="3"/>
    </row>
    <row r="973" ht="14.25" customHeight="1">
      <c r="A973" s="3"/>
    </row>
    <row r="974" ht="14.25" customHeight="1">
      <c r="A974" s="3"/>
    </row>
    <row r="975" ht="14.25" customHeight="1">
      <c r="A975" s="3"/>
    </row>
    <row r="976" ht="14.25" customHeight="1">
      <c r="A976" s="3"/>
    </row>
    <row r="977" ht="14.25" customHeight="1">
      <c r="A977" s="3"/>
    </row>
    <row r="978" ht="14.25" customHeight="1">
      <c r="A978" s="3"/>
    </row>
    <row r="979" ht="14.25" customHeight="1">
      <c r="A979" s="3"/>
    </row>
    <row r="980" ht="14.25" customHeight="1">
      <c r="A980" s="3"/>
    </row>
    <row r="981" ht="14.25" customHeight="1">
      <c r="A981" s="3"/>
    </row>
    <row r="982" ht="14.25" customHeight="1">
      <c r="A982" s="3"/>
    </row>
    <row r="983" ht="14.25" customHeight="1">
      <c r="A983" s="3"/>
    </row>
    <row r="984" ht="14.25" customHeight="1">
      <c r="A984" s="3"/>
    </row>
    <row r="985" ht="14.25" customHeight="1">
      <c r="A985" s="3"/>
    </row>
    <row r="986" ht="14.25" customHeight="1">
      <c r="A986" s="3"/>
    </row>
    <row r="987" ht="14.25" customHeight="1">
      <c r="A987" s="3"/>
    </row>
    <row r="988" ht="14.25" customHeight="1">
      <c r="A988" s="3"/>
    </row>
    <row r="989" ht="14.25" customHeight="1">
      <c r="A989" s="3"/>
    </row>
    <row r="990" ht="14.25" customHeight="1">
      <c r="A990" s="3"/>
    </row>
    <row r="991" ht="14.25" customHeight="1">
      <c r="A991" s="3"/>
    </row>
    <row r="992" ht="14.25" customHeight="1">
      <c r="A992" s="3"/>
    </row>
    <row r="993" ht="14.25" customHeight="1">
      <c r="A993" s="3"/>
    </row>
    <row r="994" ht="14.25" customHeight="1">
      <c r="A994" s="3"/>
    </row>
    <row r="995" ht="14.25" customHeight="1">
      <c r="A995" s="3"/>
    </row>
    <row r="996" ht="14.25" customHeight="1">
      <c r="A996" s="3"/>
    </row>
    <row r="997" ht="14.25" customHeight="1">
      <c r="A997" s="3"/>
    </row>
    <row r="998" ht="14.25" customHeight="1">
      <c r="A998" s="3"/>
    </row>
    <row r="999" ht="14.25" customHeight="1">
      <c r="A999" s="3"/>
    </row>
    <row r="1000" ht="14.25" customHeight="1">
      <c r="A1000" s="3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0.0" ySplit="13.0" topLeftCell="K14" activePane="bottomRight" state="frozen"/>
      <selection activeCell="K1" sqref="K1" pane="topRight"/>
      <selection activeCell="A14" sqref="A14" pane="bottomLeft"/>
      <selection activeCell="K14" sqref="K14" pane="bottomRight"/>
    </sheetView>
  </sheetViews>
  <sheetFormatPr customHeight="1" defaultColWidth="14.43" defaultRowHeight="15.0"/>
  <cols>
    <col customWidth="1" min="1" max="1" width="31.86"/>
    <col customWidth="1" min="2" max="2" width="62.71"/>
    <col customWidth="1" min="3" max="3" width="20.57"/>
    <col customWidth="1" min="4" max="4" width="12.14"/>
    <col customWidth="1" min="5" max="5" width="18.86"/>
    <col customWidth="1" min="6" max="6" width="10.0"/>
    <col customWidth="1" min="7" max="7" width="11.14"/>
    <col customWidth="1" min="8" max="8" width="11.29"/>
    <col customWidth="1" min="9" max="9" width="10.0"/>
    <col customWidth="1" min="10" max="10" width="7.43"/>
    <col customWidth="1" min="11" max="11" width="8.57"/>
    <col customWidth="1" min="12" max="12" width="7.71"/>
    <col customWidth="1" min="13" max="13" width="9.86"/>
    <col customWidth="1" min="14" max="14" width="7.14"/>
    <col customWidth="1" min="15" max="15" width="9.43"/>
    <col customWidth="1" min="16" max="16" width="13.43"/>
    <col customWidth="1" min="17" max="17" width="13.29"/>
    <col customWidth="1" min="18" max="18" width="9.29"/>
    <col customWidth="1" min="19" max="19" width="9.43"/>
    <col customWidth="1" min="20" max="20" width="10.0"/>
    <col customWidth="1" min="21" max="21" width="6.43"/>
    <col customWidth="1" min="22" max="22" width="9.0"/>
    <col customWidth="1" min="23" max="23" width="8.29"/>
    <col customWidth="1" min="24" max="24" width="13.0"/>
    <col customWidth="1" min="25" max="25" width="9.43"/>
    <col customWidth="1" min="26" max="26" width="10.0"/>
    <col customWidth="1" min="27" max="27" width="13.43"/>
    <col customWidth="1" min="28" max="28" width="10.0"/>
    <col customWidth="1" min="29" max="29" width="13.0"/>
    <col customWidth="1" min="30" max="30" width="8.71"/>
    <col customWidth="1" min="31" max="31" width="13.0"/>
    <col customWidth="1" min="32" max="32" width="9.0"/>
    <col customWidth="1" min="33" max="33" width="6.86"/>
    <col customWidth="1" min="34" max="34" width="10.43"/>
    <col customWidth="1" min="35" max="35" width="8.57"/>
    <col customWidth="1" min="36" max="36" width="9.71"/>
    <col customWidth="1" min="37" max="37" width="6.43"/>
    <col customWidth="1" min="38" max="38" width="9.14"/>
    <col customWidth="1" min="39" max="40" width="13.0"/>
    <col customWidth="1" min="41" max="41" width="8.71"/>
  </cols>
  <sheetData>
    <row r="1" ht="15.0" customHeight="1">
      <c r="A1" s="1"/>
      <c r="B1" s="1" t="s">
        <v>0</v>
      </c>
      <c r="C1" s="1"/>
    </row>
    <row r="2" ht="14.25" customHeight="1">
      <c r="C2" s="4"/>
    </row>
    <row r="3" ht="14.25" customHeight="1">
      <c r="A3" s="4"/>
      <c r="B3" s="4" t="s">
        <v>1</v>
      </c>
      <c r="C3" s="4"/>
      <c r="J3" s="5">
        <v>0.07</v>
      </c>
    </row>
    <row r="4" ht="14.25" customHeight="1">
      <c r="A4" s="4"/>
      <c r="B4" s="4" t="s">
        <v>2</v>
      </c>
      <c r="C4" s="4"/>
      <c r="J4" s="6">
        <v>0.015</v>
      </c>
    </row>
    <row r="5" ht="14.25" customHeight="1">
      <c r="A5" s="4"/>
      <c r="B5" s="4" t="s">
        <v>3</v>
      </c>
      <c r="C5" s="4"/>
      <c r="J5" s="7">
        <v>60.0</v>
      </c>
    </row>
    <row r="6" ht="14.25" customHeight="1">
      <c r="A6" s="4"/>
      <c r="B6" s="4" t="s">
        <v>4</v>
      </c>
      <c r="C6" s="4"/>
      <c r="J6" s="8">
        <v>0.16</v>
      </c>
    </row>
    <row r="7" ht="14.25" customHeight="1">
      <c r="A7" s="4"/>
      <c r="B7" s="4" t="s">
        <v>5</v>
      </c>
      <c r="C7" s="4"/>
      <c r="J7" s="7">
        <v>0.0</v>
      </c>
    </row>
    <row r="8" ht="14.25" customHeight="1">
      <c r="A8" s="4"/>
      <c r="B8" s="4" t="s">
        <v>6</v>
      </c>
      <c r="C8" s="4"/>
      <c r="J8" s="6">
        <v>0.02</v>
      </c>
    </row>
    <row r="9" ht="14.25" customHeight="1">
      <c r="A9" s="4"/>
      <c r="B9" s="4" t="s">
        <v>7</v>
      </c>
      <c r="C9" s="4"/>
      <c r="J9" s="8">
        <v>0.75</v>
      </c>
    </row>
    <row r="10" ht="14.25" customHeight="1">
      <c r="A10" s="4"/>
      <c r="B10" s="4" t="s">
        <v>8</v>
      </c>
      <c r="C10" s="4"/>
      <c r="J10" s="8">
        <v>4.423</v>
      </c>
    </row>
    <row r="11" ht="14.25" customHeight="1">
      <c r="B11" s="9" t="s">
        <v>9</v>
      </c>
      <c r="C11" s="4"/>
      <c r="J11" s="6">
        <v>0.03</v>
      </c>
    </row>
    <row r="12" ht="14.25" customHeight="1">
      <c r="B12" s="9" t="s">
        <v>10</v>
      </c>
      <c r="C12" s="4"/>
      <c r="J12" s="7">
        <v>10.0</v>
      </c>
    </row>
    <row r="13" ht="31.5" customHeight="1">
      <c r="A13" s="11" t="s">
        <v>11</v>
      </c>
      <c r="B13" s="12" t="s">
        <v>12</v>
      </c>
      <c r="C13" s="12"/>
      <c r="D13" s="12" t="s">
        <v>13</v>
      </c>
      <c r="E13" s="12" t="s">
        <v>14</v>
      </c>
      <c r="F13" s="12" t="s">
        <v>15</v>
      </c>
      <c r="G13" s="12" t="s">
        <v>16</v>
      </c>
      <c r="H13" s="12" t="s">
        <v>17</v>
      </c>
      <c r="I13" s="12" t="s">
        <v>18</v>
      </c>
      <c r="J13" s="12" t="s">
        <v>19</v>
      </c>
      <c r="K13" s="13" t="s">
        <v>20</v>
      </c>
      <c r="L13" s="14" t="s">
        <v>21</v>
      </c>
      <c r="M13" s="12" t="s">
        <v>22</v>
      </c>
      <c r="N13" s="12" t="s">
        <v>23</v>
      </c>
      <c r="O13" s="15" t="s">
        <v>24</v>
      </c>
      <c r="P13" s="14" t="s">
        <v>25</v>
      </c>
      <c r="Q13" s="12" t="s">
        <v>26</v>
      </c>
      <c r="R13" s="12" t="s">
        <v>27</v>
      </c>
      <c r="S13" s="12" t="s">
        <v>28</v>
      </c>
      <c r="T13" s="12" t="s">
        <v>29</v>
      </c>
      <c r="U13" s="12" t="s">
        <v>2</v>
      </c>
      <c r="V13" s="12" t="s">
        <v>30</v>
      </c>
      <c r="W13" s="12" t="s">
        <v>31</v>
      </c>
      <c r="X13" s="12" t="s">
        <v>32</v>
      </c>
      <c r="Y13" s="12" t="s">
        <v>33</v>
      </c>
      <c r="Z13" s="12" t="s">
        <v>34</v>
      </c>
      <c r="AA13" s="12" t="s">
        <v>35</v>
      </c>
      <c r="AB13" s="15" t="s">
        <v>36</v>
      </c>
      <c r="AC13" s="14" t="s">
        <v>37</v>
      </c>
      <c r="AD13" s="12" t="s">
        <v>38</v>
      </c>
      <c r="AE13" s="12" t="s">
        <v>39</v>
      </c>
      <c r="AF13" s="12" t="s">
        <v>40</v>
      </c>
      <c r="AG13" s="12" t="s">
        <v>41</v>
      </c>
      <c r="AH13" s="15" t="s">
        <v>42</v>
      </c>
      <c r="AI13" s="16" t="s">
        <v>43</v>
      </c>
      <c r="AJ13" s="12" t="s">
        <v>44</v>
      </c>
      <c r="AK13" s="12" t="s">
        <v>45</v>
      </c>
      <c r="AL13" s="12" t="s">
        <v>46</v>
      </c>
      <c r="AM13" s="12" t="s">
        <v>47</v>
      </c>
      <c r="AN13" s="12" t="s">
        <v>10</v>
      </c>
      <c r="AO13" s="12" t="s">
        <v>48</v>
      </c>
    </row>
    <row r="14" ht="14.25" customHeight="1">
      <c r="A14" s="17"/>
      <c r="B14" s="18" t="s">
        <v>49</v>
      </c>
      <c r="C14" s="18"/>
      <c r="D14" s="19"/>
      <c r="E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</row>
    <row r="15" ht="28.5" customHeight="1">
      <c r="A15" s="3"/>
      <c r="B15" s="21" t="s">
        <v>50</v>
      </c>
      <c r="C15" s="22" t="s">
        <v>51</v>
      </c>
      <c r="D15" s="23"/>
      <c r="E15" s="24"/>
      <c r="F15" s="25">
        <v>180.0</v>
      </c>
      <c r="G15" s="26">
        <v>1680.0</v>
      </c>
      <c r="H15" s="26">
        <v>286.0</v>
      </c>
      <c r="I15" s="26">
        <v>22.3</v>
      </c>
      <c r="J15" s="27">
        <v>2889.0</v>
      </c>
      <c r="K15" s="28">
        <v>0.45</v>
      </c>
      <c r="L15" s="30">
        <f>J15*(1-K15)</f>
        <v>1588.95</v>
      </c>
      <c r="M15" s="31">
        <v>343.82</v>
      </c>
      <c r="N15" s="32">
        <f>$J$5</f>
        <v>60</v>
      </c>
      <c r="O15" s="33">
        <f>M15+N15</f>
        <v>403.82</v>
      </c>
      <c r="P15" s="34">
        <v>0.47</v>
      </c>
      <c r="Q15" s="29">
        <f>J15*P15</f>
        <v>1357.83</v>
      </c>
      <c r="R15" s="35">
        <v>67.0</v>
      </c>
      <c r="S15" s="29">
        <f>J15*$J$8</f>
        <v>57.78</v>
      </c>
      <c r="T15" s="35">
        <v>25.0</v>
      </c>
      <c r="U15" s="29">
        <f>J15*$J$4</f>
        <v>43.335</v>
      </c>
      <c r="V15" s="29">
        <f>L15*$J$3</f>
        <v>111.2265</v>
      </c>
      <c r="W15" s="36">
        <v>0.9</v>
      </c>
      <c r="X15" s="35">
        <v>67.0</v>
      </c>
      <c r="Y15" s="29">
        <f>X15*(1-W15)</f>
        <v>6.7</v>
      </c>
      <c r="Z15" s="37">
        <v>0.63</v>
      </c>
      <c r="AA15" s="29">
        <f>$J$6*$J$7*Z15</f>
        <v>0</v>
      </c>
      <c r="AB15" s="33">
        <f>Z15*($J$9+$J$10)</f>
        <v>3.25899</v>
      </c>
      <c r="AC15" s="34">
        <v>0.11</v>
      </c>
      <c r="AD15" s="29">
        <f>J15*AC15</f>
        <v>317.79</v>
      </c>
      <c r="AE15" s="36">
        <v>0.11</v>
      </c>
      <c r="AF15" s="29">
        <f>J15*AE15</f>
        <v>317.79</v>
      </c>
      <c r="AG15" s="29">
        <f>AD15+AF15</f>
        <v>635.58</v>
      </c>
      <c r="AH15" s="38">
        <f>AG15/J15</f>
        <v>0.22</v>
      </c>
      <c r="AI15" s="39">
        <f>J15-Q15-R15-S15-T15-U15-V15-Y15-AA15-AB15-O15-AN15-AO15</f>
        <v>716.37951</v>
      </c>
      <c r="AJ15" s="40">
        <f>AI15-AG15</f>
        <v>80.79951</v>
      </c>
      <c r="AK15" s="41">
        <f>AJ15/J15</f>
        <v>0.02796798546</v>
      </c>
      <c r="AL15" s="42">
        <f>AJ15/O15</f>
        <v>0.2000879352</v>
      </c>
      <c r="AM15" s="29">
        <f>(R15+T15+Y15+AA15+AB15+O15+AN15)/(1-(P15+$J$4+(1-K15)*$J$3+$J$8+$J$11+AC15+AE15))</f>
        <v>2497.71908</v>
      </c>
      <c r="AN15" s="29">
        <f>$J$12</f>
        <v>10</v>
      </c>
      <c r="AO15" s="29">
        <f>J15*$J$11</f>
        <v>86.67</v>
      </c>
    </row>
    <row r="16" ht="14.25" customHeight="1">
      <c r="A16" s="17"/>
      <c r="B16" s="18" t="s">
        <v>52</v>
      </c>
      <c r="C16" s="18"/>
      <c r="D16" s="19"/>
      <c r="E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</row>
    <row r="17" ht="43.5" customHeight="1">
      <c r="A17" s="43"/>
      <c r="B17" s="44" t="s">
        <v>53</v>
      </c>
      <c r="C17" s="21" t="s">
        <v>51</v>
      </c>
      <c r="D17" s="45"/>
      <c r="E17" s="45"/>
      <c r="F17" s="29">
        <v>72.0</v>
      </c>
      <c r="G17" s="29"/>
      <c r="H17" s="29"/>
      <c r="I17" s="29"/>
      <c r="J17" s="29"/>
      <c r="K17" s="46"/>
      <c r="L17" s="30"/>
      <c r="M17" s="32"/>
      <c r="N17" s="32"/>
      <c r="O17" s="33"/>
      <c r="P17" s="47"/>
      <c r="Q17" s="29"/>
      <c r="R17" s="29"/>
      <c r="S17" s="29"/>
      <c r="T17" s="29"/>
      <c r="U17" s="29"/>
      <c r="V17" s="29"/>
      <c r="W17" s="41"/>
      <c r="X17" s="29"/>
      <c r="Y17" s="29"/>
      <c r="Z17" s="48"/>
      <c r="AA17" s="29"/>
      <c r="AB17" s="33"/>
      <c r="AC17" s="47"/>
      <c r="AD17" s="29"/>
      <c r="AE17" s="41"/>
      <c r="AF17" s="29"/>
      <c r="AG17" s="29"/>
      <c r="AH17" s="38"/>
      <c r="AI17" s="39"/>
      <c r="AJ17" s="29"/>
      <c r="AK17" s="41"/>
      <c r="AL17" s="41"/>
      <c r="AM17" s="29"/>
      <c r="AN17" s="29"/>
      <c r="AO17" s="29"/>
    </row>
    <row r="18" ht="43.5" customHeight="1">
      <c r="A18" s="43"/>
      <c r="B18" s="44" t="s">
        <v>54</v>
      </c>
      <c r="C18" s="21" t="s">
        <v>51</v>
      </c>
      <c r="D18" s="45"/>
      <c r="E18" s="45"/>
      <c r="F18" s="29">
        <v>19.0</v>
      </c>
      <c r="G18" s="29"/>
      <c r="H18" s="29"/>
      <c r="I18" s="29"/>
      <c r="J18" s="29"/>
      <c r="K18" s="46"/>
      <c r="L18" s="30"/>
      <c r="M18" s="32"/>
      <c r="N18" s="32"/>
      <c r="O18" s="33"/>
      <c r="P18" s="47"/>
      <c r="Q18" s="29"/>
      <c r="R18" s="29"/>
      <c r="S18" s="29"/>
      <c r="T18" s="29"/>
      <c r="U18" s="29"/>
      <c r="V18" s="29"/>
      <c r="W18" s="41"/>
      <c r="X18" s="29"/>
      <c r="Y18" s="29"/>
      <c r="Z18" s="48"/>
      <c r="AA18" s="29"/>
      <c r="AB18" s="33"/>
      <c r="AC18" s="47"/>
      <c r="AD18" s="29"/>
      <c r="AE18" s="41"/>
      <c r="AF18" s="29"/>
      <c r="AG18" s="29"/>
      <c r="AH18" s="38"/>
      <c r="AI18" s="39"/>
      <c r="AJ18" s="29"/>
      <c r="AK18" s="41"/>
      <c r="AL18" s="41"/>
      <c r="AM18" s="29"/>
      <c r="AN18" s="29"/>
      <c r="AO18" s="29"/>
    </row>
    <row r="19" ht="28.5" customHeight="1">
      <c r="A19" s="3"/>
      <c r="B19" s="21" t="s">
        <v>55</v>
      </c>
      <c r="C19" s="21" t="s">
        <v>51</v>
      </c>
      <c r="D19" s="23"/>
      <c r="E19" s="24"/>
      <c r="F19" s="29">
        <v>370.0</v>
      </c>
      <c r="G19" s="26">
        <v>980.0</v>
      </c>
      <c r="H19" s="26">
        <v>8.0</v>
      </c>
      <c r="I19" s="26">
        <v>0.0</v>
      </c>
      <c r="J19" s="49">
        <v>1322.0</v>
      </c>
      <c r="K19" s="28">
        <v>0.45</v>
      </c>
      <c r="L19" s="30">
        <f>J19*(1-K19)</f>
        <v>727.1</v>
      </c>
      <c r="M19" s="31">
        <v>151.13</v>
      </c>
      <c r="N19" s="32">
        <f>$J$5</f>
        <v>60</v>
      </c>
      <c r="O19" s="33">
        <f>M19+N19</f>
        <v>211.13</v>
      </c>
      <c r="P19" s="34">
        <v>0.47</v>
      </c>
      <c r="Q19" s="29">
        <f>J19*P19</f>
        <v>621.34</v>
      </c>
      <c r="R19" s="35">
        <v>67.0</v>
      </c>
      <c r="S19" s="29">
        <f>J19*$J$8</f>
        <v>26.44</v>
      </c>
      <c r="T19" s="35">
        <v>25.0</v>
      </c>
      <c r="U19" s="29">
        <f>J19*$J$4</f>
        <v>19.83</v>
      </c>
      <c r="V19" s="29">
        <f>L19*$J$3</f>
        <v>50.897</v>
      </c>
      <c r="W19" s="36">
        <v>0.9</v>
      </c>
      <c r="X19" s="35">
        <v>67.0</v>
      </c>
      <c r="Y19" s="29">
        <f>X19*(1-W19)</f>
        <v>6.7</v>
      </c>
      <c r="Z19" s="37">
        <v>0.68</v>
      </c>
      <c r="AA19" s="29">
        <f>$J$6*$J$7*Z19</f>
        <v>0</v>
      </c>
      <c r="AB19" s="33">
        <f>Z19*($J$9+$J$10)</f>
        <v>3.51764</v>
      </c>
      <c r="AC19" s="34">
        <v>0.07</v>
      </c>
      <c r="AD19" s="29">
        <f>J19*AC19</f>
        <v>92.54</v>
      </c>
      <c r="AE19" s="36">
        <v>0.08</v>
      </c>
      <c r="AF19" s="29">
        <f>J19*AE19</f>
        <v>105.76</v>
      </c>
      <c r="AG19" s="29">
        <f>AD19+AF19</f>
        <v>198.3</v>
      </c>
      <c r="AH19" s="38">
        <f>AG19/J19</f>
        <v>0.15</v>
      </c>
      <c r="AI19" s="39">
        <f>J19-Q19-R19-S19-T19-U19-V19-Y19-AA19-AB19-O19-AN19-AO19</f>
        <v>240.48536</v>
      </c>
      <c r="AJ19" s="40">
        <f>AI19-AG19</f>
        <v>42.18536</v>
      </c>
      <c r="AK19" s="41">
        <f>AJ19/J19</f>
        <v>0.03191025719</v>
      </c>
      <c r="AL19" s="42">
        <f>AJ19/O19</f>
        <v>0.199807512</v>
      </c>
      <c r="AM19" s="29">
        <f>(R19+T19+Y19+AA19+AB19+O19+AN19)/(1-(P19+$J$4+(1-K19)*$J$3+$J$8+$J$11+AC19+AE19))</f>
        <v>1169.430886</v>
      </c>
      <c r="AN19" s="29">
        <f>$J$12</f>
        <v>10</v>
      </c>
      <c r="AO19" s="29">
        <f>J19*$J$11</f>
        <v>39.66</v>
      </c>
    </row>
    <row r="20" ht="14.25" customHeight="1">
      <c r="A20" s="17"/>
      <c r="B20" s="18" t="s">
        <v>56</v>
      </c>
      <c r="C20" s="18"/>
      <c r="D20" s="19"/>
      <c r="E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</row>
    <row r="21" ht="14.25" customHeight="1">
      <c r="A21" s="43"/>
      <c r="B21" s="44" t="s">
        <v>57</v>
      </c>
      <c r="C21" s="44"/>
      <c r="D21" s="45"/>
      <c r="E21" s="45"/>
      <c r="F21" s="29">
        <v>447.0</v>
      </c>
      <c r="G21" s="29"/>
      <c r="H21" s="29"/>
      <c r="I21" s="29"/>
      <c r="J21" s="29"/>
      <c r="K21" s="46"/>
      <c r="L21" s="30"/>
      <c r="M21" s="32"/>
      <c r="N21" s="32"/>
      <c r="O21" s="33"/>
      <c r="P21" s="47"/>
      <c r="Q21" s="29"/>
      <c r="R21" s="29"/>
      <c r="S21" s="29"/>
      <c r="T21" s="29"/>
      <c r="U21" s="29"/>
      <c r="V21" s="29"/>
      <c r="W21" s="41"/>
      <c r="X21" s="29"/>
      <c r="Y21" s="29"/>
      <c r="Z21" s="48"/>
      <c r="AA21" s="29"/>
      <c r="AB21" s="33"/>
      <c r="AC21" s="47"/>
      <c r="AD21" s="29"/>
      <c r="AE21" s="41"/>
      <c r="AF21" s="29"/>
      <c r="AG21" s="29"/>
      <c r="AH21" s="38"/>
      <c r="AI21" s="39"/>
      <c r="AJ21" s="29"/>
      <c r="AK21" s="41"/>
      <c r="AL21" s="41"/>
      <c r="AM21" s="29"/>
      <c r="AN21" s="29"/>
      <c r="AO21" s="29"/>
    </row>
    <row r="22" ht="14.25" customHeight="1">
      <c r="A22" s="17"/>
      <c r="B22" s="18" t="s">
        <v>58</v>
      </c>
      <c r="C22" s="18"/>
      <c r="D22" s="19"/>
      <c r="E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</row>
    <row r="23" ht="28.5" customHeight="1">
      <c r="A23" s="3"/>
      <c r="B23" s="21" t="s">
        <v>59</v>
      </c>
      <c r="C23" s="22" t="s">
        <v>51</v>
      </c>
      <c r="D23" s="23"/>
      <c r="E23" s="24"/>
      <c r="F23" s="29">
        <v>180.0</v>
      </c>
      <c r="G23" s="26"/>
      <c r="H23" s="26" t="s">
        <v>60</v>
      </c>
      <c r="I23" s="26">
        <v>9.2</v>
      </c>
      <c r="J23" s="49">
        <v>3412.0</v>
      </c>
      <c r="K23" s="28">
        <v>0.45</v>
      </c>
      <c r="L23" s="30">
        <f>J23*(1-K23)</f>
        <v>1876.6</v>
      </c>
      <c r="M23" s="31">
        <v>637.89</v>
      </c>
      <c r="N23" s="32">
        <f>$J$5</f>
        <v>60</v>
      </c>
      <c r="O23" s="33">
        <f>M23+N23</f>
        <v>697.89</v>
      </c>
      <c r="P23" s="34">
        <v>0.47</v>
      </c>
      <c r="Q23" s="29">
        <f>J23*P23</f>
        <v>1603.64</v>
      </c>
      <c r="R23" s="35">
        <v>63.0</v>
      </c>
      <c r="S23" s="29">
        <f>J23*$J$8</f>
        <v>68.24</v>
      </c>
      <c r="T23" s="35">
        <v>25.0</v>
      </c>
      <c r="U23" s="29">
        <f>J23*$J$4</f>
        <v>51.18</v>
      </c>
      <c r="V23" s="29">
        <f>L23*$J$3</f>
        <v>131.362</v>
      </c>
      <c r="W23" s="36">
        <v>0.9</v>
      </c>
      <c r="X23" s="35">
        <v>63.0</v>
      </c>
      <c r="Y23" s="29">
        <f>X23*(1-W23)</f>
        <v>6.3</v>
      </c>
      <c r="Z23" s="37">
        <v>0.33</v>
      </c>
      <c r="AA23" s="29">
        <f>$J$6*$J$7*Z23</f>
        <v>0</v>
      </c>
      <c r="AB23" s="33">
        <f>Z23*($J$9+$J$10)</f>
        <v>1.70709</v>
      </c>
      <c r="AC23" s="34">
        <v>0.07</v>
      </c>
      <c r="AD23" s="29">
        <f>J23*AC23</f>
        <v>238.84</v>
      </c>
      <c r="AE23" s="36">
        <v>0.08</v>
      </c>
      <c r="AF23" s="29">
        <f>J23*AE23</f>
        <v>272.96</v>
      </c>
      <c r="AG23" s="29">
        <f>AD23+AF23</f>
        <v>511.8</v>
      </c>
      <c r="AH23" s="38">
        <f>AG23/J23</f>
        <v>0.15</v>
      </c>
      <c r="AI23" s="39">
        <f>J23-Q23-R23-S23-T23-U23-V23-Y23-AA23-AB23-O23-AN23-AO23</f>
        <v>651.32091</v>
      </c>
      <c r="AJ23" s="40">
        <f>AI23-AG23</f>
        <v>139.52091</v>
      </c>
      <c r="AK23" s="41">
        <f>AJ23/J23</f>
        <v>0.04089123974</v>
      </c>
      <c r="AL23" s="42">
        <f>AJ23/O23</f>
        <v>0.1999181963</v>
      </c>
      <c r="AM23" s="29">
        <f>(R23+T23+Y23+AA23+AB23+O23+AN23)/(1-(P23+$J$4+(1-K23)*$J$3+$J$8+$J$11+AC23+AE23))</f>
        <v>2907.40358</v>
      </c>
      <c r="AN23" s="29">
        <f>$J$12</f>
        <v>10</v>
      </c>
      <c r="AO23" s="29">
        <f>J23*$J$11</f>
        <v>102.36</v>
      </c>
    </row>
    <row r="24" ht="14.25" customHeight="1">
      <c r="A24" s="17"/>
      <c r="B24" s="18" t="s">
        <v>61</v>
      </c>
      <c r="C24" s="18"/>
      <c r="D24" s="19"/>
      <c r="E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</row>
    <row r="25" ht="28.5" customHeight="1">
      <c r="A25" s="3"/>
      <c r="B25" s="21" t="s">
        <v>62</v>
      </c>
      <c r="C25" s="22" t="s">
        <v>51</v>
      </c>
      <c r="D25" s="23"/>
      <c r="E25" s="24"/>
      <c r="F25" s="29">
        <v>50.0</v>
      </c>
      <c r="G25" s="26">
        <v>1280.0</v>
      </c>
      <c r="H25" s="26">
        <v>4.0</v>
      </c>
      <c r="I25" s="26">
        <v>0.0</v>
      </c>
      <c r="J25" s="49">
        <v>1278.0</v>
      </c>
      <c r="K25" s="28">
        <v>0.45</v>
      </c>
      <c r="L25" s="30">
        <f>J25*(1-K25)</f>
        <v>702.9</v>
      </c>
      <c r="M25" s="31">
        <v>142.13</v>
      </c>
      <c r="N25" s="32">
        <f>$J$5</f>
        <v>60</v>
      </c>
      <c r="O25" s="33">
        <f>M25+N25</f>
        <v>202.13</v>
      </c>
      <c r="P25" s="34">
        <v>0.47</v>
      </c>
      <c r="Q25" s="29">
        <f>J25*P25</f>
        <v>600.66</v>
      </c>
      <c r="R25" s="35">
        <v>67.0</v>
      </c>
      <c r="S25" s="29">
        <f>J25*$J$8</f>
        <v>25.56</v>
      </c>
      <c r="T25" s="35">
        <v>25.0</v>
      </c>
      <c r="U25" s="29">
        <f>J25*$J$4</f>
        <v>19.17</v>
      </c>
      <c r="V25" s="29">
        <f>L25*$J$3</f>
        <v>49.203</v>
      </c>
      <c r="W25" s="36">
        <v>0.9</v>
      </c>
      <c r="X25" s="35">
        <v>67.0</v>
      </c>
      <c r="Y25" s="29">
        <f>X25*(1-W25)</f>
        <v>6.7</v>
      </c>
      <c r="Z25" s="37">
        <v>0.42</v>
      </c>
      <c r="AA25" s="29">
        <f>$J$6*$J$7*Z25</f>
        <v>0</v>
      </c>
      <c r="AB25" s="33">
        <f>Z25*($J$9+$J$10)</f>
        <v>2.17266</v>
      </c>
      <c r="AC25" s="34">
        <v>0.07</v>
      </c>
      <c r="AD25" s="29">
        <f>J25*AC25</f>
        <v>89.46</v>
      </c>
      <c r="AE25" s="36">
        <v>0.08</v>
      </c>
      <c r="AF25" s="29">
        <f>J25*AE25</f>
        <v>102.24</v>
      </c>
      <c r="AG25" s="29">
        <f>AD25+AF25</f>
        <v>191.7</v>
      </c>
      <c r="AH25" s="38">
        <f>AG25/J25</f>
        <v>0.15</v>
      </c>
      <c r="AI25" s="39">
        <f>J25-Q25-R25-S25-T25-U25-V25-Y25-AA25-AB25-O25-AN25-AO25</f>
        <v>232.06434</v>
      </c>
      <c r="AJ25" s="40">
        <f>AI25-AG25</f>
        <v>40.36434</v>
      </c>
      <c r="AK25" s="41">
        <f>AJ25/J25</f>
        <v>0.03158399061</v>
      </c>
      <c r="AL25" s="42">
        <f>AJ25/O25</f>
        <v>0.1996949488</v>
      </c>
      <c r="AM25" s="29">
        <f>(R25+T25+Y25+AA25+AB25+O25+AN25)/(1-(P25+$J$4+(1-K25)*$J$3+$J$8+$J$11+AC25+AE25))</f>
        <v>1132.016854</v>
      </c>
      <c r="AN25" s="29">
        <f>$J$12</f>
        <v>10</v>
      </c>
      <c r="AO25" s="29">
        <f>J25*$J$11</f>
        <v>38.34</v>
      </c>
    </row>
    <row r="26" ht="14.25" customHeight="1">
      <c r="A26" s="17"/>
      <c r="B26" s="18" t="s">
        <v>63</v>
      </c>
      <c r="C26" s="18"/>
      <c r="D26" s="19"/>
      <c r="E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</row>
    <row r="27" ht="28.5" customHeight="1">
      <c r="A27" s="3"/>
      <c r="B27" s="21" t="s">
        <v>64</v>
      </c>
      <c r="C27" s="21" t="s">
        <v>51</v>
      </c>
      <c r="D27" s="23"/>
      <c r="E27" s="24"/>
      <c r="F27" s="29">
        <v>453.0</v>
      </c>
      <c r="G27" s="26">
        <v>1315.0</v>
      </c>
      <c r="H27" s="26">
        <v>150.0</v>
      </c>
      <c r="I27" s="26">
        <v>0.0</v>
      </c>
      <c r="J27" s="49">
        <v>1713.0</v>
      </c>
      <c r="K27" s="28">
        <v>0.45</v>
      </c>
      <c r="L27" s="30">
        <f t="shared" ref="L27:L29" si="1">J27*(1-K27)</f>
        <v>942.15</v>
      </c>
      <c r="M27" s="31">
        <v>242.23</v>
      </c>
      <c r="N27" s="32">
        <f t="shared" ref="N27:N29" si="2">$J$5</f>
        <v>60</v>
      </c>
      <c r="O27" s="33">
        <f t="shared" ref="O27:O29" si="3">M27+N27</f>
        <v>302.23</v>
      </c>
      <c r="P27" s="34">
        <v>0.47</v>
      </c>
      <c r="Q27" s="29">
        <f t="shared" ref="Q27:Q29" si="4">J27*P27</f>
        <v>805.11</v>
      </c>
      <c r="R27" s="35">
        <v>67.0</v>
      </c>
      <c r="S27" s="29">
        <f t="shared" ref="S27:S29" si="5">J27*$J$8</f>
        <v>34.26</v>
      </c>
      <c r="T27" s="35">
        <v>25.0</v>
      </c>
      <c r="U27" s="29">
        <f t="shared" ref="U27:U29" si="6">J27*$J$4</f>
        <v>25.695</v>
      </c>
      <c r="V27" s="29">
        <f t="shared" ref="V27:V29" si="7">L27*$J$3</f>
        <v>65.9505</v>
      </c>
      <c r="W27" s="36">
        <v>0.9</v>
      </c>
      <c r="X27" s="35">
        <v>67.0</v>
      </c>
      <c r="Y27" s="29">
        <f t="shared" ref="Y27:Y29" si="8">X27*(1-W27)</f>
        <v>6.7</v>
      </c>
      <c r="Z27" s="37">
        <v>0.46</v>
      </c>
      <c r="AA27" s="29">
        <f t="shared" ref="AA27:AA29" si="9">$J$6*$J$7*Z27</f>
        <v>0</v>
      </c>
      <c r="AB27" s="33">
        <f t="shared" ref="AB27:AB29" si="10">Z27*($J$9+$J$10)</f>
        <v>2.37958</v>
      </c>
      <c r="AC27" s="34">
        <v>0.07</v>
      </c>
      <c r="AD27" s="29">
        <f t="shared" ref="AD27:AD29" si="11">J27*AC27</f>
        <v>119.91</v>
      </c>
      <c r="AE27" s="36">
        <v>0.08</v>
      </c>
      <c r="AF27" s="29">
        <f t="shared" ref="AF27:AF29" si="12">J27*AE27</f>
        <v>137.04</v>
      </c>
      <c r="AG27" s="29">
        <f t="shared" ref="AG27:AG29" si="13">AD27+AF27</f>
        <v>256.95</v>
      </c>
      <c r="AH27" s="38">
        <f t="shared" ref="AH27:AH29" si="14">AG27/J27</f>
        <v>0.15</v>
      </c>
      <c r="AI27" s="39">
        <f t="shared" ref="AI27:AI29" si="15">J27-Q27-R27-S27-T27-U27-V27-Y27-AA27-AB27-O27-AN27-AO27</f>
        <v>317.28492</v>
      </c>
      <c r="AJ27" s="40">
        <f t="shared" ref="AJ27:AJ29" si="16">AI27-AG27</f>
        <v>60.33492</v>
      </c>
      <c r="AK27" s="41">
        <f t="shared" ref="AK27:AK29" si="17">AJ27/J27</f>
        <v>0.03522178634</v>
      </c>
      <c r="AL27" s="42">
        <f t="shared" ref="AL27:AL29" si="18">AJ27/O27</f>
        <v>0.1996324653</v>
      </c>
      <c r="AM27" s="29">
        <f t="shared" ref="AM27:AM29" si="19">(R27+T27+Y27+AA27+AB27+O27+AN27)/(1-(P27+$J$4+(1-K27)*$J$3+$J$8+$J$11+AC27+AE27))</f>
        <v>1494.790524</v>
      </c>
      <c r="AN27" s="29">
        <f t="shared" ref="AN27:AN29" si="20">$J$12</f>
        <v>10</v>
      </c>
      <c r="AO27" s="29">
        <f t="shared" ref="AO27:AO29" si="21">J27*$J$11</f>
        <v>51.39</v>
      </c>
    </row>
    <row r="28" ht="28.5" customHeight="1">
      <c r="A28" s="3"/>
      <c r="B28" s="21" t="s">
        <v>65</v>
      </c>
      <c r="C28" s="22" t="s">
        <v>51</v>
      </c>
      <c r="D28" s="23"/>
      <c r="E28" s="24" t="s">
        <v>66</v>
      </c>
      <c r="F28" s="29">
        <v>50.0</v>
      </c>
      <c r="G28" s="26"/>
      <c r="H28" s="26"/>
      <c r="I28" s="26"/>
      <c r="J28" s="49">
        <v>2586.0</v>
      </c>
      <c r="K28" s="28">
        <v>0.45</v>
      </c>
      <c r="L28" s="30">
        <f t="shared" si="1"/>
        <v>1422.3</v>
      </c>
      <c r="M28" s="31">
        <v>447.64</v>
      </c>
      <c r="N28" s="32">
        <f t="shared" si="2"/>
        <v>60</v>
      </c>
      <c r="O28" s="33">
        <f t="shared" si="3"/>
        <v>507.64</v>
      </c>
      <c r="P28" s="34">
        <v>0.47</v>
      </c>
      <c r="Q28" s="29">
        <f t="shared" si="4"/>
        <v>1215.42</v>
      </c>
      <c r="R28" s="35">
        <v>63.0</v>
      </c>
      <c r="S28" s="29">
        <f t="shared" si="5"/>
        <v>51.72</v>
      </c>
      <c r="T28" s="35">
        <v>25.0</v>
      </c>
      <c r="U28" s="29">
        <f t="shared" si="6"/>
        <v>38.79</v>
      </c>
      <c r="V28" s="29">
        <f t="shared" si="7"/>
        <v>99.561</v>
      </c>
      <c r="W28" s="36">
        <v>0.9</v>
      </c>
      <c r="X28" s="35">
        <v>63.0</v>
      </c>
      <c r="Y28" s="29">
        <f t="shared" si="8"/>
        <v>6.3</v>
      </c>
      <c r="Z28" s="37">
        <v>0.3</v>
      </c>
      <c r="AA28" s="29">
        <f t="shared" si="9"/>
        <v>0</v>
      </c>
      <c r="AB28" s="33">
        <f t="shared" si="10"/>
        <v>1.5519</v>
      </c>
      <c r="AC28" s="34">
        <v>0.07</v>
      </c>
      <c r="AD28" s="29">
        <f t="shared" si="11"/>
        <v>181.02</v>
      </c>
      <c r="AE28" s="36">
        <v>0.08</v>
      </c>
      <c r="AF28" s="29">
        <f t="shared" si="12"/>
        <v>206.88</v>
      </c>
      <c r="AG28" s="29">
        <f t="shared" si="13"/>
        <v>387.9</v>
      </c>
      <c r="AH28" s="38">
        <f t="shared" si="14"/>
        <v>0.15</v>
      </c>
      <c r="AI28" s="39">
        <f t="shared" si="15"/>
        <v>489.4371</v>
      </c>
      <c r="AJ28" s="40">
        <f t="shared" si="16"/>
        <v>101.5371</v>
      </c>
      <c r="AK28" s="41">
        <f t="shared" si="17"/>
        <v>0.03926415313</v>
      </c>
      <c r="AL28" s="42">
        <f t="shared" si="18"/>
        <v>0.2000179261</v>
      </c>
      <c r="AM28" s="29">
        <f t="shared" si="19"/>
        <v>2218.777215</v>
      </c>
      <c r="AN28" s="29">
        <f t="shared" si="20"/>
        <v>10</v>
      </c>
      <c r="AO28" s="29">
        <f t="shared" si="21"/>
        <v>77.58</v>
      </c>
    </row>
    <row r="29" ht="28.5" customHeight="1">
      <c r="A29" s="3"/>
      <c r="B29" s="21" t="s">
        <v>67</v>
      </c>
      <c r="C29" s="22" t="s">
        <v>51</v>
      </c>
      <c r="D29" s="23"/>
      <c r="E29" s="24"/>
      <c r="F29" s="29">
        <v>235.0</v>
      </c>
      <c r="G29" s="26">
        <v>1841.0</v>
      </c>
      <c r="H29" s="26">
        <v>47.0</v>
      </c>
      <c r="I29" s="26">
        <v>0.0</v>
      </c>
      <c r="J29" s="49">
        <v>3278.0</v>
      </c>
      <c r="K29" s="28">
        <v>0.45</v>
      </c>
      <c r="L29" s="30">
        <f t="shared" si="1"/>
        <v>1802.9</v>
      </c>
      <c r="M29" s="31">
        <v>602.18</v>
      </c>
      <c r="N29" s="32">
        <f t="shared" si="2"/>
        <v>60</v>
      </c>
      <c r="O29" s="33">
        <f t="shared" si="3"/>
        <v>662.18</v>
      </c>
      <c r="P29" s="34">
        <v>0.47</v>
      </c>
      <c r="Q29" s="29">
        <f t="shared" si="4"/>
        <v>1540.66</v>
      </c>
      <c r="R29" s="35">
        <v>67.0</v>
      </c>
      <c r="S29" s="29">
        <f t="shared" si="5"/>
        <v>65.56</v>
      </c>
      <c r="T29" s="35">
        <v>25.0</v>
      </c>
      <c r="U29" s="29">
        <f t="shared" si="6"/>
        <v>49.17</v>
      </c>
      <c r="V29" s="29">
        <f t="shared" si="7"/>
        <v>126.203</v>
      </c>
      <c r="W29" s="36">
        <v>0.9</v>
      </c>
      <c r="X29" s="35">
        <v>67.0</v>
      </c>
      <c r="Y29" s="29">
        <f t="shared" si="8"/>
        <v>6.7</v>
      </c>
      <c r="Z29" s="37">
        <v>0.58</v>
      </c>
      <c r="AA29" s="29">
        <f t="shared" si="9"/>
        <v>0</v>
      </c>
      <c r="AB29" s="33">
        <f t="shared" si="10"/>
        <v>3.00034</v>
      </c>
      <c r="AC29" s="34">
        <v>0.07</v>
      </c>
      <c r="AD29" s="29">
        <f t="shared" si="11"/>
        <v>229.46</v>
      </c>
      <c r="AE29" s="36">
        <v>0.08</v>
      </c>
      <c r="AF29" s="29">
        <f t="shared" si="12"/>
        <v>262.24</v>
      </c>
      <c r="AG29" s="29">
        <f t="shared" si="13"/>
        <v>491.7</v>
      </c>
      <c r="AH29" s="38">
        <f t="shared" si="14"/>
        <v>0.15</v>
      </c>
      <c r="AI29" s="39">
        <f t="shared" si="15"/>
        <v>624.18666</v>
      </c>
      <c r="AJ29" s="40">
        <f t="shared" si="16"/>
        <v>132.48666</v>
      </c>
      <c r="AK29" s="41">
        <f t="shared" si="17"/>
        <v>0.04041691885</v>
      </c>
      <c r="AL29" s="42">
        <f t="shared" si="18"/>
        <v>0.2000765049</v>
      </c>
      <c r="AM29" s="29">
        <f t="shared" si="19"/>
        <v>2798.843906</v>
      </c>
      <c r="AN29" s="29">
        <f t="shared" si="20"/>
        <v>10</v>
      </c>
      <c r="AO29" s="29">
        <f t="shared" si="21"/>
        <v>98.34</v>
      </c>
    </row>
    <row r="30" ht="14.25" customHeight="1">
      <c r="A30" s="17"/>
      <c r="B30" s="18" t="s">
        <v>68</v>
      </c>
      <c r="C30" s="18"/>
      <c r="D30" s="19"/>
      <c r="E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</row>
    <row r="31" ht="28.5" customHeight="1">
      <c r="A31" s="50">
        <v>5.358217172E9</v>
      </c>
      <c r="B31" s="21" t="s">
        <v>69</v>
      </c>
      <c r="C31" s="51" t="s">
        <v>51</v>
      </c>
      <c r="D31" s="23"/>
      <c r="E31" s="24" t="s">
        <v>70</v>
      </c>
      <c r="F31" s="29">
        <v>8266.0</v>
      </c>
      <c r="G31" s="26">
        <v>424.0</v>
      </c>
      <c r="H31" s="26">
        <v>166.0</v>
      </c>
      <c r="I31" s="26">
        <v>17.0</v>
      </c>
      <c r="J31" s="49">
        <v>1367.0</v>
      </c>
      <c r="K31" s="28">
        <v>0.45</v>
      </c>
      <c r="L31" s="30">
        <f t="shared" ref="L31:L40" si="22">J31*(1-K31)</f>
        <v>751.85</v>
      </c>
      <c r="M31" s="31">
        <v>161.3</v>
      </c>
      <c r="N31" s="32">
        <f t="shared" ref="N31:N40" si="23">$J$5</f>
        <v>60</v>
      </c>
      <c r="O31" s="33">
        <f t="shared" ref="O31:O40" si="24">M31+N31</f>
        <v>221.3</v>
      </c>
      <c r="P31" s="34">
        <v>0.47</v>
      </c>
      <c r="Q31" s="29">
        <f t="shared" ref="Q31:Q40" si="25">J31*P31</f>
        <v>642.49</v>
      </c>
      <c r="R31" s="35">
        <v>67.0</v>
      </c>
      <c r="S31" s="29">
        <f t="shared" ref="S31:S40" si="26">J31*$J$8</f>
        <v>27.34</v>
      </c>
      <c r="T31" s="35">
        <v>25.0</v>
      </c>
      <c r="U31" s="29">
        <f t="shared" ref="U31:U40" si="27">J31*$J$4</f>
        <v>20.505</v>
      </c>
      <c r="V31" s="29">
        <f t="shared" ref="V31:V40" si="28">L31*$J$3</f>
        <v>52.6295</v>
      </c>
      <c r="W31" s="36">
        <v>0.9</v>
      </c>
      <c r="X31" s="35">
        <v>67.0</v>
      </c>
      <c r="Y31" s="29">
        <f t="shared" ref="Y31:Y40" si="29">X31*(1-W31)</f>
        <v>6.7</v>
      </c>
      <c r="Z31" s="37">
        <v>0.72</v>
      </c>
      <c r="AA31" s="29">
        <f t="shared" ref="AA31:AA40" si="30">$J$6*$J$7*Z31</f>
        <v>0</v>
      </c>
      <c r="AB31" s="33">
        <f t="shared" ref="AB31:AB40" si="31">Z31*($J$9+$J$10)</f>
        <v>3.72456</v>
      </c>
      <c r="AC31" s="34">
        <v>0.07</v>
      </c>
      <c r="AD31" s="29">
        <f t="shared" ref="AD31:AD40" si="32">J31*AC31</f>
        <v>95.69</v>
      </c>
      <c r="AE31" s="36">
        <v>0.08</v>
      </c>
      <c r="AF31" s="29">
        <f t="shared" ref="AF31:AF40" si="33">J31*AE31</f>
        <v>109.36</v>
      </c>
      <c r="AG31" s="29">
        <f t="shared" ref="AG31:AG40" si="34">AD31+AF31</f>
        <v>205.05</v>
      </c>
      <c r="AH31" s="38">
        <f t="shared" ref="AH31:AH40" si="35">AG31/J31</f>
        <v>0.15</v>
      </c>
      <c r="AI31" s="39">
        <f t="shared" ref="AI31:AI40" si="36">J31-Q31-R31-S31-T31-U31-V31-Y31-AA31-AB31-O31-AN31-AO31</f>
        <v>249.30094</v>
      </c>
      <c r="AJ31" s="40">
        <f t="shared" ref="AJ31:AJ40" si="37">AI31-AG31</f>
        <v>44.25094</v>
      </c>
      <c r="AK31" s="41">
        <f t="shared" ref="AK31:AK40" si="38">AJ31/J31</f>
        <v>0.03237084126</v>
      </c>
      <c r="AL31" s="42">
        <f t="shared" ref="AL31:AL40" si="39">AJ31/O31</f>
        <v>0.1999590601</v>
      </c>
      <c r="AM31" s="29">
        <f t="shared" ref="AM31:AM40" si="40">(R31+T31+Y31+AA31+AB31+O31+AN31)/(1-(P31+$J$4+(1-K31)*$J$3+$J$8+$J$11+AC31+AE31))</f>
        <v>1206.960434</v>
      </c>
      <c r="AN31" s="29">
        <f t="shared" ref="AN31:AN40" si="41">$J$12</f>
        <v>10</v>
      </c>
      <c r="AO31" s="29">
        <f t="shared" ref="AO31:AO40" si="42">J31*$J$11</f>
        <v>41.01</v>
      </c>
    </row>
    <row r="32" ht="28.5" customHeight="1">
      <c r="A32" s="3"/>
      <c r="B32" s="21" t="s">
        <v>71</v>
      </c>
      <c r="C32" s="22" t="s">
        <v>51</v>
      </c>
      <c r="D32" s="23"/>
      <c r="E32" s="24"/>
      <c r="F32" s="29">
        <v>761.0</v>
      </c>
      <c r="G32" s="26">
        <v>827.0</v>
      </c>
      <c r="H32" s="26">
        <v>96.0</v>
      </c>
      <c r="I32" s="26">
        <v>20.0</v>
      </c>
      <c r="J32" s="49">
        <v>1465.0</v>
      </c>
      <c r="K32" s="28">
        <v>0.45</v>
      </c>
      <c r="L32" s="30">
        <f t="shared" si="22"/>
        <v>805.75</v>
      </c>
      <c r="M32" s="31">
        <v>183.88</v>
      </c>
      <c r="N32" s="32">
        <f t="shared" si="23"/>
        <v>60</v>
      </c>
      <c r="O32" s="33">
        <f t="shared" si="24"/>
        <v>243.88</v>
      </c>
      <c r="P32" s="34">
        <v>0.47</v>
      </c>
      <c r="Q32" s="29">
        <f t="shared" si="25"/>
        <v>688.55</v>
      </c>
      <c r="R32" s="35">
        <v>67.0</v>
      </c>
      <c r="S32" s="29">
        <f t="shared" si="26"/>
        <v>29.3</v>
      </c>
      <c r="T32" s="35">
        <v>25.0</v>
      </c>
      <c r="U32" s="29">
        <f t="shared" si="27"/>
        <v>21.975</v>
      </c>
      <c r="V32" s="29">
        <f t="shared" si="28"/>
        <v>56.4025</v>
      </c>
      <c r="W32" s="36">
        <v>0.9</v>
      </c>
      <c r="X32" s="35">
        <v>67.0</v>
      </c>
      <c r="Y32" s="29">
        <f t="shared" si="29"/>
        <v>6.7</v>
      </c>
      <c r="Z32" s="37">
        <v>0.72</v>
      </c>
      <c r="AA32" s="29">
        <f t="shared" si="30"/>
        <v>0</v>
      </c>
      <c r="AB32" s="33">
        <f t="shared" si="31"/>
        <v>3.72456</v>
      </c>
      <c r="AC32" s="34">
        <v>0.07</v>
      </c>
      <c r="AD32" s="29">
        <f t="shared" si="32"/>
        <v>102.55</v>
      </c>
      <c r="AE32" s="36">
        <v>0.08</v>
      </c>
      <c r="AF32" s="29">
        <f t="shared" si="33"/>
        <v>117.2</v>
      </c>
      <c r="AG32" s="29">
        <f t="shared" si="34"/>
        <v>219.75</v>
      </c>
      <c r="AH32" s="38">
        <f t="shared" si="35"/>
        <v>0.15</v>
      </c>
      <c r="AI32" s="39">
        <f t="shared" si="36"/>
        <v>268.51794</v>
      </c>
      <c r="AJ32" s="40">
        <f t="shared" si="37"/>
        <v>48.76794</v>
      </c>
      <c r="AK32" s="41">
        <f t="shared" si="38"/>
        <v>0.03328869625</v>
      </c>
      <c r="AL32" s="42">
        <f t="shared" si="39"/>
        <v>0.199966951</v>
      </c>
      <c r="AM32" s="29">
        <f t="shared" si="40"/>
        <v>1288.624087</v>
      </c>
      <c r="AN32" s="29">
        <f t="shared" si="41"/>
        <v>10</v>
      </c>
      <c r="AO32" s="29">
        <f t="shared" si="42"/>
        <v>43.95</v>
      </c>
    </row>
    <row r="33" ht="28.5" customHeight="1">
      <c r="A33" s="3"/>
      <c r="B33" s="21" t="s">
        <v>72</v>
      </c>
      <c r="C33" s="22" t="s">
        <v>51</v>
      </c>
      <c r="D33" s="23"/>
      <c r="E33" s="24"/>
      <c r="F33" s="25">
        <v>1089.0</v>
      </c>
      <c r="G33" s="26">
        <v>1980.0</v>
      </c>
      <c r="H33" s="26">
        <v>195.0</v>
      </c>
      <c r="I33" s="26">
        <v>8.0</v>
      </c>
      <c r="J33" s="49">
        <v>1600.0</v>
      </c>
      <c r="K33" s="28">
        <v>0.45</v>
      </c>
      <c r="L33" s="30">
        <f t="shared" si="22"/>
        <v>880</v>
      </c>
      <c r="M33" s="31">
        <v>216.45</v>
      </c>
      <c r="N33" s="32">
        <f t="shared" si="23"/>
        <v>60</v>
      </c>
      <c r="O33" s="33">
        <f t="shared" si="24"/>
        <v>276.45</v>
      </c>
      <c r="P33" s="34">
        <v>0.47</v>
      </c>
      <c r="Q33" s="29">
        <f t="shared" si="25"/>
        <v>752</v>
      </c>
      <c r="R33" s="35">
        <v>67.0</v>
      </c>
      <c r="S33" s="29">
        <f t="shared" si="26"/>
        <v>32</v>
      </c>
      <c r="T33" s="35">
        <v>25.0</v>
      </c>
      <c r="U33" s="29">
        <f t="shared" si="27"/>
        <v>24</v>
      </c>
      <c r="V33" s="29">
        <f t="shared" si="28"/>
        <v>61.6</v>
      </c>
      <c r="W33" s="36">
        <v>0.9</v>
      </c>
      <c r="X33" s="35">
        <v>67.0</v>
      </c>
      <c r="Y33" s="29">
        <f t="shared" si="29"/>
        <v>6.7</v>
      </c>
      <c r="Z33" s="37">
        <v>0.4</v>
      </c>
      <c r="AA33" s="29">
        <f t="shared" si="30"/>
        <v>0</v>
      </c>
      <c r="AB33" s="33">
        <f t="shared" si="31"/>
        <v>2.0692</v>
      </c>
      <c r="AC33" s="34">
        <v>0.07</v>
      </c>
      <c r="AD33" s="29">
        <f t="shared" si="32"/>
        <v>112</v>
      </c>
      <c r="AE33" s="36">
        <v>0.08</v>
      </c>
      <c r="AF33" s="29">
        <f t="shared" si="33"/>
        <v>128</v>
      </c>
      <c r="AG33" s="29">
        <f t="shared" si="34"/>
        <v>240</v>
      </c>
      <c r="AH33" s="38">
        <f t="shared" si="35"/>
        <v>0.15</v>
      </c>
      <c r="AI33" s="39">
        <f t="shared" si="36"/>
        <v>295.1808</v>
      </c>
      <c r="AJ33" s="40">
        <f t="shared" si="37"/>
        <v>55.1808</v>
      </c>
      <c r="AK33" s="41">
        <f t="shared" si="38"/>
        <v>0.034488</v>
      </c>
      <c r="AL33" s="42">
        <f t="shared" si="39"/>
        <v>0.1996049919</v>
      </c>
      <c r="AM33" s="29">
        <f t="shared" si="40"/>
        <v>1400.431103</v>
      </c>
      <c r="AN33" s="29">
        <f t="shared" si="41"/>
        <v>10</v>
      </c>
      <c r="AO33" s="29">
        <f t="shared" si="42"/>
        <v>48</v>
      </c>
    </row>
    <row r="34" ht="28.5" customHeight="1">
      <c r="A34" s="3"/>
      <c r="B34" s="21" t="s">
        <v>73</v>
      </c>
      <c r="C34" s="22" t="s">
        <v>51</v>
      </c>
      <c r="D34" s="23"/>
      <c r="E34" s="24"/>
      <c r="F34" s="25">
        <v>2275.0</v>
      </c>
      <c r="G34" s="26">
        <v>1910.0</v>
      </c>
      <c r="H34" s="26">
        <v>121.0</v>
      </c>
      <c r="I34" s="26">
        <v>7.3</v>
      </c>
      <c r="J34" s="49">
        <v>1715.0</v>
      </c>
      <c r="K34" s="28">
        <v>0.45</v>
      </c>
      <c r="L34" s="30">
        <f t="shared" si="22"/>
        <v>943.25</v>
      </c>
      <c r="M34" s="31">
        <v>242.88</v>
      </c>
      <c r="N34" s="32">
        <f t="shared" si="23"/>
        <v>60</v>
      </c>
      <c r="O34" s="33">
        <f t="shared" si="24"/>
        <v>302.88</v>
      </c>
      <c r="P34" s="34">
        <v>0.47</v>
      </c>
      <c r="Q34" s="29">
        <f t="shared" si="25"/>
        <v>806.05</v>
      </c>
      <c r="R34" s="35">
        <v>67.0</v>
      </c>
      <c r="S34" s="29">
        <f t="shared" si="26"/>
        <v>34.3</v>
      </c>
      <c r="T34" s="35">
        <v>25.0</v>
      </c>
      <c r="U34" s="29">
        <f t="shared" si="27"/>
        <v>25.725</v>
      </c>
      <c r="V34" s="29">
        <f t="shared" si="28"/>
        <v>66.0275</v>
      </c>
      <c r="W34" s="36">
        <v>0.9</v>
      </c>
      <c r="X34" s="35">
        <v>67.0</v>
      </c>
      <c r="Y34" s="29">
        <f t="shared" si="29"/>
        <v>6.7</v>
      </c>
      <c r="Z34" s="37">
        <v>0.4</v>
      </c>
      <c r="AA34" s="29">
        <f t="shared" si="30"/>
        <v>0</v>
      </c>
      <c r="AB34" s="33">
        <f t="shared" si="31"/>
        <v>2.0692</v>
      </c>
      <c r="AC34" s="34">
        <v>0.07</v>
      </c>
      <c r="AD34" s="29">
        <f t="shared" si="32"/>
        <v>120.05</v>
      </c>
      <c r="AE34" s="36">
        <v>0.08</v>
      </c>
      <c r="AF34" s="29">
        <f t="shared" si="33"/>
        <v>137.2</v>
      </c>
      <c r="AG34" s="29">
        <f t="shared" si="34"/>
        <v>257.25</v>
      </c>
      <c r="AH34" s="38">
        <f t="shared" si="35"/>
        <v>0.15</v>
      </c>
      <c r="AI34" s="39">
        <f t="shared" si="36"/>
        <v>317.7983</v>
      </c>
      <c r="AJ34" s="40">
        <f t="shared" si="37"/>
        <v>60.5483</v>
      </c>
      <c r="AK34" s="41">
        <f t="shared" si="38"/>
        <v>0.0353051312</v>
      </c>
      <c r="AL34" s="42">
        <f t="shared" si="39"/>
        <v>0.1999085446</v>
      </c>
      <c r="AM34" s="29">
        <f t="shared" si="40"/>
        <v>1496.018807</v>
      </c>
      <c r="AN34" s="29">
        <f t="shared" si="41"/>
        <v>10</v>
      </c>
      <c r="AO34" s="29">
        <f t="shared" si="42"/>
        <v>51.45</v>
      </c>
    </row>
    <row r="35" ht="28.5" customHeight="1">
      <c r="A35" s="50">
        <v>5.357327448E9</v>
      </c>
      <c r="B35" s="21" t="s">
        <v>74</v>
      </c>
      <c r="C35" s="51" t="s">
        <v>51</v>
      </c>
      <c r="D35" s="23"/>
      <c r="E35" s="24"/>
      <c r="F35" s="29">
        <v>95.0</v>
      </c>
      <c r="G35" s="26">
        <v>1456.0</v>
      </c>
      <c r="H35" s="26">
        <v>109.0</v>
      </c>
      <c r="I35" s="26">
        <v>9.0</v>
      </c>
      <c r="J35" s="49">
        <v>1727.0</v>
      </c>
      <c r="K35" s="28">
        <v>0.45</v>
      </c>
      <c r="L35" s="30">
        <f t="shared" si="22"/>
        <v>949.85</v>
      </c>
      <c r="M35" s="31">
        <v>245.65</v>
      </c>
      <c r="N35" s="32">
        <f t="shared" si="23"/>
        <v>60</v>
      </c>
      <c r="O35" s="33">
        <f t="shared" si="24"/>
        <v>305.65</v>
      </c>
      <c r="P35" s="34">
        <v>0.47</v>
      </c>
      <c r="Q35" s="29">
        <f t="shared" si="25"/>
        <v>811.69</v>
      </c>
      <c r="R35" s="35">
        <v>67.0</v>
      </c>
      <c r="S35" s="29">
        <f t="shared" si="26"/>
        <v>34.54</v>
      </c>
      <c r="T35" s="35">
        <v>25.0</v>
      </c>
      <c r="U35" s="29">
        <f t="shared" si="27"/>
        <v>25.905</v>
      </c>
      <c r="V35" s="29">
        <f t="shared" si="28"/>
        <v>66.4895</v>
      </c>
      <c r="W35" s="36">
        <v>0.9</v>
      </c>
      <c r="X35" s="35">
        <v>67.0</v>
      </c>
      <c r="Y35" s="29">
        <f t="shared" si="29"/>
        <v>6.7</v>
      </c>
      <c r="Z35" s="37">
        <v>0.4</v>
      </c>
      <c r="AA35" s="29">
        <f t="shared" si="30"/>
        <v>0</v>
      </c>
      <c r="AB35" s="33">
        <f t="shared" si="31"/>
        <v>2.0692</v>
      </c>
      <c r="AC35" s="34">
        <v>0.07</v>
      </c>
      <c r="AD35" s="29">
        <f t="shared" si="32"/>
        <v>120.89</v>
      </c>
      <c r="AE35" s="36">
        <v>0.08</v>
      </c>
      <c r="AF35" s="29">
        <f t="shared" si="33"/>
        <v>138.16</v>
      </c>
      <c r="AG35" s="29">
        <f t="shared" si="34"/>
        <v>259.05</v>
      </c>
      <c r="AH35" s="38">
        <f t="shared" si="35"/>
        <v>0.15</v>
      </c>
      <c r="AI35" s="39">
        <f t="shared" si="36"/>
        <v>320.1463</v>
      </c>
      <c r="AJ35" s="40">
        <f t="shared" si="37"/>
        <v>61.0963</v>
      </c>
      <c r="AK35" s="41">
        <f t="shared" si="38"/>
        <v>0.03537712797</v>
      </c>
      <c r="AL35" s="42">
        <f t="shared" si="39"/>
        <v>0.1998897432</v>
      </c>
      <c r="AM35" s="29">
        <f t="shared" si="40"/>
        <v>1506.03689</v>
      </c>
      <c r="AN35" s="29">
        <f t="shared" si="41"/>
        <v>10</v>
      </c>
      <c r="AO35" s="29">
        <f t="shared" si="42"/>
        <v>51.81</v>
      </c>
    </row>
    <row r="36" ht="28.5" customHeight="1">
      <c r="A36" s="50">
        <v>5.35732585E9</v>
      </c>
      <c r="B36" s="21" t="s">
        <v>75</v>
      </c>
      <c r="C36" s="51" t="s">
        <v>51</v>
      </c>
      <c r="D36" s="23"/>
      <c r="E36" s="24"/>
      <c r="F36" s="29">
        <v>101.0</v>
      </c>
      <c r="G36" s="26">
        <v>1345.0</v>
      </c>
      <c r="H36" s="26">
        <v>114.0</v>
      </c>
      <c r="I36" s="26">
        <v>0.0</v>
      </c>
      <c r="J36" s="49">
        <v>1836.0</v>
      </c>
      <c r="K36" s="28">
        <v>0.45</v>
      </c>
      <c r="L36" s="30">
        <f t="shared" si="22"/>
        <v>1009.8</v>
      </c>
      <c r="M36" s="31">
        <v>270.81</v>
      </c>
      <c r="N36" s="32">
        <f t="shared" si="23"/>
        <v>60</v>
      </c>
      <c r="O36" s="33">
        <f t="shared" si="24"/>
        <v>330.81</v>
      </c>
      <c r="P36" s="34">
        <v>0.47</v>
      </c>
      <c r="Q36" s="29">
        <f t="shared" si="25"/>
        <v>862.92</v>
      </c>
      <c r="R36" s="35">
        <v>67.0</v>
      </c>
      <c r="S36" s="29">
        <f t="shared" si="26"/>
        <v>36.72</v>
      </c>
      <c r="T36" s="35">
        <v>25.0</v>
      </c>
      <c r="U36" s="29">
        <f t="shared" si="27"/>
        <v>27.54</v>
      </c>
      <c r="V36" s="29">
        <f t="shared" si="28"/>
        <v>70.686</v>
      </c>
      <c r="W36" s="36">
        <v>0.9</v>
      </c>
      <c r="X36" s="35">
        <v>67.0</v>
      </c>
      <c r="Y36" s="29">
        <f t="shared" si="29"/>
        <v>6.7</v>
      </c>
      <c r="Z36" s="37">
        <v>0.4</v>
      </c>
      <c r="AA36" s="29">
        <f t="shared" si="30"/>
        <v>0</v>
      </c>
      <c r="AB36" s="33">
        <f t="shared" si="31"/>
        <v>2.0692</v>
      </c>
      <c r="AC36" s="34">
        <v>0.07</v>
      </c>
      <c r="AD36" s="29">
        <f t="shared" si="32"/>
        <v>128.52</v>
      </c>
      <c r="AE36" s="36">
        <v>0.08</v>
      </c>
      <c r="AF36" s="29">
        <f t="shared" si="33"/>
        <v>146.88</v>
      </c>
      <c r="AG36" s="29">
        <f t="shared" si="34"/>
        <v>275.4</v>
      </c>
      <c r="AH36" s="38">
        <f t="shared" si="35"/>
        <v>0.15</v>
      </c>
      <c r="AI36" s="39">
        <f t="shared" si="36"/>
        <v>341.4748</v>
      </c>
      <c r="AJ36" s="40">
        <f t="shared" si="37"/>
        <v>66.0748</v>
      </c>
      <c r="AK36" s="41">
        <f t="shared" si="38"/>
        <v>0.03598845316</v>
      </c>
      <c r="AL36" s="42">
        <f t="shared" si="39"/>
        <v>0.1997364046</v>
      </c>
      <c r="AM36" s="29">
        <f t="shared" si="40"/>
        <v>1597.031465</v>
      </c>
      <c r="AN36" s="29">
        <f t="shared" si="41"/>
        <v>10</v>
      </c>
      <c r="AO36" s="29">
        <f t="shared" si="42"/>
        <v>55.08</v>
      </c>
    </row>
    <row r="37" ht="28.5" customHeight="1">
      <c r="A37" s="3"/>
      <c r="B37" s="21" t="s">
        <v>76</v>
      </c>
      <c r="C37" s="22" t="s">
        <v>51</v>
      </c>
      <c r="D37" s="23"/>
      <c r="E37" s="24"/>
      <c r="F37" s="29">
        <v>247.0</v>
      </c>
      <c r="G37" s="26">
        <v>1732.0</v>
      </c>
      <c r="H37" s="26">
        <v>51.0</v>
      </c>
      <c r="I37" s="26">
        <v>9.0</v>
      </c>
      <c r="J37" s="49">
        <v>1694.0</v>
      </c>
      <c r="K37" s="28">
        <v>0.45</v>
      </c>
      <c r="L37" s="30">
        <f t="shared" si="22"/>
        <v>931.7</v>
      </c>
      <c r="M37" s="31">
        <v>238.13</v>
      </c>
      <c r="N37" s="32">
        <f t="shared" si="23"/>
        <v>60</v>
      </c>
      <c r="O37" s="33">
        <f t="shared" si="24"/>
        <v>298.13</v>
      </c>
      <c r="P37" s="34">
        <v>0.47</v>
      </c>
      <c r="Q37" s="29">
        <f t="shared" si="25"/>
        <v>796.18</v>
      </c>
      <c r="R37" s="35">
        <v>67.0</v>
      </c>
      <c r="S37" s="29">
        <f t="shared" si="26"/>
        <v>33.88</v>
      </c>
      <c r="T37" s="35">
        <v>25.0</v>
      </c>
      <c r="U37" s="29">
        <f t="shared" si="27"/>
        <v>25.41</v>
      </c>
      <c r="V37" s="29">
        <f t="shared" si="28"/>
        <v>65.219</v>
      </c>
      <c r="W37" s="36">
        <v>0.9</v>
      </c>
      <c r="X37" s="35">
        <v>67.0</v>
      </c>
      <c r="Y37" s="29">
        <f t="shared" si="29"/>
        <v>6.7</v>
      </c>
      <c r="Z37" s="37">
        <v>0.4</v>
      </c>
      <c r="AA37" s="29">
        <f t="shared" si="30"/>
        <v>0</v>
      </c>
      <c r="AB37" s="33">
        <f t="shared" si="31"/>
        <v>2.0692</v>
      </c>
      <c r="AC37" s="34">
        <v>0.07</v>
      </c>
      <c r="AD37" s="29">
        <f t="shared" si="32"/>
        <v>118.58</v>
      </c>
      <c r="AE37" s="36">
        <v>0.08</v>
      </c>
      <c r="AF37" s="29">
        <f t="shared" si="33"/>
        <v>135.52</v>
      </c>
      <c r="AG37" s="29">
        <f t="shared" si="34"/>
        <v>254.1</v>
      </c>
      <c r="AH37" s="38">
        <f t="shared" si="35"/>
        <v>0.15</v>
      </c>
      <c r="AI37" s="39">
        <f t="shared" si="36"/>
        <v>313.5918</v>
      </c>
      <c r="AJ37" s="40">
        <f t="shared" si="37"/>
        <v>59.4918</v>
      </c>
      <c r="AK37" s="41">
        <f t="shared" si="38"/>
        <v>0.03511912633</v>
      </c>
      <c r="AL37" s="42">
        <f t="shared" si="39"/>
        <v>0.1995498608</v>
      </c>
      <c r="AM37" s="29">
        <f t="shared" si="40"/>
        <v>1478.839783</v>
      </c>
      <c r="AN37" s="29">
        <f t="shared" si="41"/>
        <v>10</v>
      </c>
      <c r="AO37" s="29">
        <f t="shared" si="42"/>
        <v>50.82</v>
      </c>
    </row>
    <row r="38" ht="28.5" customHeight="1">
      <c r="A38" s="3"/>
      <c r="B38" s="21" t="s">
        <v>77</v>
      </c>
      <c r="C38" s="22" t="s">
        <v>51</v>
      </c>
      <c r="D38" s="23"/>
      <c r="E38" s="24"/>
      <c r="F38" s="29">
        <v>78.0</v>
      </c>
      <c r="G38" s="26">
        <v>1038.0</v>
      </c>
      <c r="H38" s="26">
        <v>65.0</v>
      </c>
      <c r="I38" s="26">
        <v>12.0</v>
      </c>
      <c r="J38" s="49">
        <v>1630.0</v>
      </c>
      <c r="K38" s="28">
        <v>0.45</v>
      </c>
      <c r="L38" s="30">
        <f t="shared" si="22"/>
        <v>896.5</v>
      </c>
      <c r="M38" s="31">
        <v>223.35</v>
      </c>
      <c r="N38" s="32">
        <f t="shared" si="23"/>
        <v>60</v>
      </c>
      <c r="O38" s="33">
        <f t="shared" si="24"/>
        <v>283.35</v>
      </c>
      <c r="P38" s="34">
        <v>0.47</v>
      </c>
      <c r="Q38" s="29">
        <f t="shared" si="25"/>
        <v>766.1</v>
      </c>
      <c r="R38" s="35">
        <v>67.0</v>
      </c>
      <c r="S38" s="29">
        <f t="shared" si="26"/>
        <v>32.6</v>
      </c>
      <c r="T38" s="35">
        <v>25.0</v>
      </c>
      <c r="U38" s="29">
        <f t="shared" si="27"/>
        <v>24.45</v>
      </c>
      <c r="V38" s="29">
        <f t="shared" si="28"/>
        <v>62.755</v>
      </c>
      <c r="W38" s="36">
        <v>0.9</v>
      </c>
      <c r="X38" s="35">
        <v>67.0</v>
      </c>
      <c r="Y38" s="29">
        <f t="shared" si="29"/>
        <v>6.7</v>
      </c>
      <c r="Z38" s="37">
        <v>0.4</v>
      </c>
      <c r="AA38" s="29">
        <f t="shared" si="30"/>
        <v>0</v>
      </c>
      <c r="AB38" s="33">
        <f t="shared" si="31"/>
        <v>2.0692</v>
      </c>
      <c r="AC38" s="34">
        <v>0.07</v>
      </c>
      <c r="AD38" s="29">
        <f t="shared" si="32"/>
        <v>114.1</v>
      </c>
      <c r="AE38" s="36">
        <v>0.08</v>
      </c>
      <c r="AF38" s="29">
        <f t="shared" si="33"/>
        <v>130.4</v>
      </c>
      <c r="AG38" s="29">
        <f t="shared" si="34"/>
        <v>244.5</v>
      </c>
      <c r="AH38" s="38">
        <f t="shared" si="35"/>
        <v>0.15</v>
      </c>
      <c r="AI38" s="39">
        <f t="shared" si="36"/>
        <v>301.0758</v>
      </c>
      <c r="AJ38" s="40">
        <f t="shared" si="37"/>
        <v>56.5758</v>
      </c>
      <c r="AK38" s="41">
        <f t="shared" si="38"/>
        <v>0.03470907975</v>
      </c>
      <c r="AL38" s="42">
        <f t="shared" si="39"/>
        <v>0.199667549</v>
      </c>
      <c r="AM38" s="29">
        <f t="shared" si="40"/>
        <v>1425.385895</v>
      </c>
      <c r="AN38" s="29">
        <f t="shared" si="41"/>
        <v>10</v>
      </c>
      <c r="AO38" s="29">
        <f t="shared" si="42"/>
        <v>48.9</v>
      </c>
    </row>
    <row r="39" ht="28.5" customHeight="1">
      <c r="A39" s="3"/>
      <c r="B39" s="21" t="s">
        <v>78</v>
      </c>
      <c r="C39" s="22" t="s">
        <v>51</v>
      </c>
      <c r="D39" s="23"/>
      <c r="E39" s="24"/>
      <c r="F39" s="29">
        <v>463.0</v>
      </c>
      <c r="G39" s="26">
        <v>1330.0</v>
      </c>
      <c r="H39" s="26">
        <v>180.0</v>
      </c>
      <c r="I39" s="26">
        <v>0.0</v>
      </c>
      <c r="J39" s="49">
        <v>2119.0</v>
      </c>
      <c r="K39" s="28">
        <v>0.45</v>
      </c>
      <c r="L39" s="30">
        <f t="shared" si="22"/>
        <v>1165.45</v>
      </c>
      <c r="M39" s="31">
        <v>335.9</v>
      </c>
      <c r="N39" s="32">
        <f t="shared" si="23"/>
        <v>60</v>
      </c>
      <c r="O39" s="33">
        <f t="shared" si="24"/>
        <v>395.9</v>
      </c>
      <c r="P39" s="34">
        <v>0.47</v>
      </c>
      <c r="Q39" s="29">
        <f t="shared" si="25"/>
        <v>995.93</v>
      </c>
      <c r="R39" s="35">
        <v>67.0</v>
      </c>
      <c r="S39" s="29">
        <f t="shared" si="26"/>
        <v>42.38</v>
      </c>
      <c r="T39" s="35">
        <v>25.0</v>
      </c>
      <c r="U39" s="29">
        <f t="shared" si="27"/>
        <v>31.785</v>
      </c>
      <c r="V39" s="29">
        <f t="shared" si="28"/>
        <v>81.5815</v>
      </c>
      <c r="W39" s="36">
        <v>0.9</v>
      </c>
      <c r="X39" s="35">
        <v>67.0</v>
      </c>
      <c r="Y39" s="29">
        <f t="shared" si="29"/>
        <v>6.7</v>
      </c>
      <c r="Z39" s="37">
        <v>0.4</v>
      </c>
      <c r="AA39" s="29">
        <f t="shared" si="30"/>
        <v>0</v>
      </c>
      <c r="AB39" s="33">
        <f t="shared" si="31"/>
        <v>2.0692</v>
      </c>
      <c r="AC39" s="34">
        <v>0.07</v>
      </c>
      <c r="AD39" s="29">
        <f t="shared" si="32"/>
        <v>148.33</v>
      </c>
      <c r="AE39" s="36">
        <v>0.08</v>
      </c>
      <c r="AF39" s="29">
        <f t="shared" si="33"/>
        <v>169.52</v>
      </c>
      <c r="AG39" s="29">
        <f t="shared" si="34"/>
        <v>317.85</v>
      </c>
      <c r="AH39" s="38">
        <f t="shared" si="35"/>
        <v>0.15</v>
      </c>
      <c r="AI39" s="39">
        <f t="shared" si="36"/>
        <v>397.0843</v>
      </c>
      <c r="AJ39" s="40">
        <f t="shared" si="37"/>
        <v>79.2343</v>
      </c>
      <c r="AK39" s="41">
        <f t="shared" si="38"/>
        <v>0.03739230769</v>
      </c>
      <c r="AL39" s="42">
        <f t="shared" si="39"/>
        <v>0.2001371558</v>
      </c>
      <c r="AM39" s="29">
        <f t="shared" si="40"/>
        <v>1832.438336</v>
      </c>
      <c r="AN39" s="29">
        <f t="shared" si="41"/>
        <v>10</v>
      </c>
      <c r="AO39" s="29">
        <f t="shared" si="42"/>
        <v>63.57</v>
      </c>
    </row>
    <row r="40" ht="28.5" customHeight="1">
      <c r="A40" s="3"/>
      <c r="B40" s="21" t="s">
        <v>79</v>
      </c>
      <c r="C40" s="22" t="s">
        <v>51</v>
      </c>
      <c r="D40" s="23"/>
      <c r="E40" s="24"/>
      <c r="F40" s="29">
        <v>208.0</v>
      </c>
      <c r="G40" s="26">
        <v>1330.0</v>
      </c>
      <c r="H40" s="26">
        <v>265.0</v>
      </c>
      <c r="I40" s="26">
        <v>0.0</v>
      </c>
      <c r="J40" s="49">
        <v>1984.0</v>
      </c>
      <c r="K40" s="28">
        <v>0.45</v>
      </c>
      <c r="L40" s="30">
        <f t="shared" si="22"/>
        <v>1091.2</v>
      </c>
      <c r="M40" s="31">
        <v>304.77</v>
      </c>
      <c r="N40" s="32">
        <f t="shared" si="23"/>
        <v>60</v>
      </c>
      <c r="O40" s="33">
        <f t="shared" si="24"/>
        <v>364.77</v>
      </c>
      <c r="P40" s="34">
        <v>0.47</v>
      </c>
      <c r="Q40" s="29">
        <f t="shared" si="25"/>
        <v>932.48</v>
      </c>
      <c r="R40" s="35">
        <v>67.0</v>
      </c>
      <c r="S40" s="29">
        <f t="shared" si="26"/>
        <v>39.68</v>
      </c>
      <c r="T40" s="35">
        <v>25.0</v>
      </c>
      <c r="U40" s="29">
        <f t="shared" si="27"/>
        <v>29.76</v>
      </c>
      <c r="V40" s="29">
        <f t="shared" si="28"/>
        <v>76.384</v>
      </c>
      <c r="W40" s="36">
        <v>0.9</v>
      </c>
      <c r="X40" s="35">
        <v>67.0</v>
      </c>
      <c r="Y40" s="29">
        <f t="shared" si="29"/>
        <v>6.7</v>
      </c>
      <c r="Z40" s="37">
        <v>0.4</v>
      </c>
      <c r="AA40" s="29">
        <f t="shared" si="30"/>
        <v>0</v>
      </c>
      <c r="AB40" s="33">
        <f t="shared" si="31"/>
        <v>2.0692</v>
      </c>
      <c r="AC40" s="34">
        <v>0.07</v>
      </c>
      <c r="AD40" s="29">
        <f t="shared" si="32"/>
        <v>138.88</v>
      </c>
      <c r="AE40" s="36">
        <v>0.08</v>
      </c>
      <c r="AF40" s="29">
        <f t="shared" si="33"/>
        <v>158.72</v>
      </c>
      <c r="AG40" s="29">
        <f t="shared" si="34"/>
        <v>297.6</v>
      </c>
      <c r="AH40" s="38">
        <f t="shared" si="35"/>
        <v>0.15</v>
      </c>
      <c r="AI40" s="39">
        <f t="shared" si="36"/>
        <v>370.6368</v>
      </c>
      <c r="AJ40" s="40">
        <f t="shared" si="37"/>
        <v>73.0368</v>
      </c>
      <c r="AK40" s="41">
        <f t="shared" si="38"/>
        <v>0.03681290323</v>
      </c>
      <c r="AL40" s="42">
        <f t="shared" si="39"/>
        <v>0.2002269924</v>
      </c>
      <c r="AM40" s="29">
        <f t="shared" si="40"/>
        <v>1719.852441</v>
      </c>
      <c r="AN40" s="29">
        <f t="shared" si="41"/>
        <v>10</v>
      </c>
      <c r="AO40" s="29">
        <f t="shared" si="42"/>
        <v>59.52</v>
      </c>
    </row>
    <row r="41" ht="28.5" customHeight="1">
      <c r="A41" s="3"/>
      <c r="B41" s="21" t="s">
        <v>80</v>
      </c>
      <c r="C41" s="21" t="s">
        <v>51</v>
      </c>
      <c r="D41" s="45"/>
      <c r="E41" s="45"/>
      <c r="F41" s="29">
        <v>593.0</v>
      </c>
      <c r="G41" s="29"/>
      <c r="H41" s="29"/>
      <c r="I41" s="29"/>
      <c r="J41" s="29"/>
      <c r="K41" s="46"/>
      <c r="L41" s="30"/>
      <c r="M41" s="31"/>
      <c r="N41" s="32"/>
      <c r="O41" s="33"/>
      <c r="P41" s="47"/>
      <c r="Q41" s="29"/>
      <c r="R41" s="29"/>
      <c r="S41" s="29"/>
      <c r="T41" s="29"/>
      <c r="U41" s="29"/>
      <c r="V41" s="29"/>
      <c r="W41" s="41"/>
      <c r="X41" s="29"/>
      <c r="Y41" s="29"/>
      <c r="Z41" s="48"/>
      <c r="AA41" s="29"/>
      <c r="AB41" s="33"/>
      <c r="AC41" s="47"/>
      <c r="AD41" s="29"/>
      <c r="AE41" s="41"/>
      <c r="AF41" s="29"/>
      <c r="AG41" s="29"/>
      <c r="AH41" s="38"/>
      <c r="AI41" s="39"/>
      <c r="AJ41" s="40"/>
      <c r="AK41" s="41"/>
      <c r="AL41" s="42"/>
      <c r="AM41" s="29"/>
      <c r="AN41" s="29"/>
      <c r="AO41" s="29"/>
    </row>
    <row r="42" ht="28.5" customHeight="1">
      <c r="A42" s="3"/>
      <c r="B42" s="21" t="s">
        <v>81</v>
      </c>
      <c r="C42" s="21" t="s">
        <v>51</v>
      </c>
      <c r="D42" s="45"/>
      <c r="E42" s="45"/>
      <c r="F42" s="29">
        <v>757.0</v>
      </c>
      <c r="G42" s="29"/>
      <c r="H42" s="29"/>
      <c r="I42" s="29"/>
      <c r="J42" s="29"/>
      <c r="K42" s="46"/>
      <c r="L42" s="30"/>
      <c r="M42" s="31"/>
      <c r="N42" s="32"/>
      <c r="O42" s="33"/>
      <c r="P42" s="47"/>
      <c r="Q42" s="29"/>
      <c r="R42" s="29"/>
      <c r="S42" s="29"/>
      <c r="T42" s="29"/>
      <c r="U42" s="29"/>
      <c r="V42" s="29"/>
      <c r="W42" s="41"/>
      <c r="X42" s="29"/>
      <c r="Y42" s="29"/>
      <c r="Z42" s="48"/>
      <c r="AA42" s="29"/>
      <c r="AB42" s="33"/>
      <c r="AC42" s="47"/>
      <c r="AD42" s="29"/>
      <c r="AE42" s="41"/>
      <c r="AF42" s="29"/>
      <c r="AG42" s="29"/>
      <c r="AH42" s="38"/>
      <c r="AI42" s="39"/>
      <c r="AJ42" s="40"/>
      <c r="AK42" s="41"/>
      <c r="AL42" s="42"/>
      <c r="AM42" s="29"/>
      <c r="AN42" s="29"/>
      <c r="AO42" s="29"/>
    </row>
    <row r="43" ht="28.5" customHeight="1">
      <c r="A43" s="3"/>
      <c r="B43" s="21" t="s">
        <v>82</v>
      </c>
      <c r="C43" s="21" t="s">
        <v>51</v>
      </c>
      <c r="D43" s="45"/>
      <c r="E43" s="45"/>
      <c r="F43" s="29">
        <v>810.0</v>
      </c>
      <c r="G43" s="29"/>
      <c r="H43" s="29"/>
      <c r="I43" s="29"/>
      <c r="J43" s="29"/>
      <c r="K43" s="46"/>
      <c r="L43" s="30"/>
      <c r="M43" s="31"/>
      <c r="N43" s="32"/>
      <c r="O43" s="33"/>
      <c r="P43" s="47"/>
      <c r="Q43" s="29"/>
      <c r="R43" s="29"/>
      <c r="S43" s="29"/>
      <c r="T43" s="29"/>
      <c r="U43" s="29"/>
      <c r="V43" s="29"/>
      <c r="W43" s="41"/>
      <c r="X43" s="29"/>
      <c r="Y43" s="29"/>
      <c r="Z43" s="48"/>
      <c r="AA43" s="29"/>
      <c r="AB43" s="33"/>
      <c r="AC43" s="47"/>
      <c r="AD43" s="29"/>
      <c r="AE43" s="41"/>
      <c r="AF43" s="29"/>
      <c r="AG43" s="29"/>
      <c r="AH43" s="38"/>
      <c r="AI43" s="39"/>
      <c r="AJ43" s="40"/>
      <c r="AK43" s="41"/>
      <c r="AL43" s="42"/>
      <c r="AM43" s="29"/>
      <c r="AN43" s="29"/>
      <c r="AO43" s="29"/>
    </row>
    <row r="44" ht="28.5" customHeight="1">
      <c r="A44" s="3"/>
      <c r="B44" s="21" t="s">
        <v>83</v>
      </c>
      <c r="C44" s="21" t="s">
        <v>51</v>
      </c>
      <c r="D44" s="23"/>
      <c r="E44" s="24"/>
      <c r="F44" s="29">
        <v>722.0</v>
      </c>
      <c r="G44" s="26"/>
      <c r="H44" s="26"/>
      <c r="I44" s="26"/>
      <c r="J44" s="49">
        <v>1464.0</v>
      </c>
      <c r="K44" s="28">
        <v>0.45</v>
      </c>
      <c r="L44" s="30">
        <f>J44*(1-K44)</f>
        <v>805.2</v>
      </c>
      <c r="M44" s="31">
        <v>189.27</v>
      </c>
      <c r="N44" s="32">
        <f>$J$5</f>
        <v>60</v>
      </c>
      <c r="O44" s="33">
        <f>M44+N44</f>
        <v>249.27</v>
      </c>
      <c r="P44" s="34">
        <v>0.47</v>
      </c>
      <c r="Q44" s="29">
        <f>J44*P44</f>
        <v>688.08</v>
      </c>
      <c r="R44" s="35">
        <v>63.0</v>
      </c>
      <c r="S44" s="29">
        <f>J44*$J$8</f>
        <v>29.28</v>
      </c>
      <c r="T44" s="35">
        <v>25.0</v>
      </c>
      <c r="U44" s="29">
        <f>J44*$J$4</f>
        <v>21.96</v>
      </c>
      <c r="V44" s="29">
        <f>L44*$J$3</f>
        <v>56.364</v>
      </c>
      <c r="W44" s="36">
        <v>0.9</v>
      </c>
      <c r="X44" s="35">
        <v>63.0</v>
      </c>
      <c r="Y44" s="29">
        <f>X44*(1-W44)</f>
        <v>6.3</v>
      </c>
      <c r="Z44" s="37">
        <v>0.28</v>
      </c>
      <c r="AA44" s="29">
        <f>$J$6*$J$7*Z44</f>
        <v>0</v>
      </c>
      <c r="AB44" s="33">
        <f>Z44*($J$9+$J$10)</f>
        <v>1.44844</v>
      </c>
      <c r="AC44" s="34">
        <v>0.07</v>
      </c>
      <c r="AD44" s="29">
        <f>J44*AC44</f>
        <v>102.48</v>
      </c>
      <c r="AE44" s="36">
        <v>0.08</v>
      </c>
      <c r="AF44" s="29">
        <f>J44*AE44</f>
        <v>117.12</v>
      </c>
      <c r="AG44" s="29">
        <f>AD44+AF44</f>
        <v>219.6</v>
      </c>
      <c r="AH44" s="38">
        <f>AG44/J44</f>
        <v>0.15</v>
      </c>
      <c r="AI44" s="39">
        <f>J44-Q44-R44-S44-T44-U44-V44-Y44-AA44-AB44-O44-AN44-AO44</f>
        <v>269.37756</v>
      </c>
      <c r="AJ44" s="40">
        <f>AI44-AG44</f>
        <v>49.77756</v>
      </c>
      <c r="AK44" s="41">
        <f>AJ44/J44</f>
        <v>0.03400106557</v>
      </c>
      <c r="AL44" s="42">
        <f>AJ44/O44</f>
        <v>0.1996933446</v>
      </c>
      <c r="AM44" s="29">
        <f>(R44+T44+Y44+AA44+AB44+O44+AN44)/(1-(P44+$J$4+(1-K44)*$J$3+$J$8+$J$11+AC44+AE44))</f>
        <v>1283.972658</v>
      </c>
      <c r="AN44" s="29">
        <f>$J$12</f>
        <v>10</v>
      </c>
      <c r="AO44" s="29">
        <f>J44*$J$11</f>
        <v>43.92</v>
      </c>
    </row>
    <row r="45" ht="14.25" customHeight="1">
      <c r="A45" s="17"/>
      <c r="B45" s="18" t="s">
        <v>85</v>
      </c>
      <c r="C45" s="18"/>
      <c r="D45" s="19"/>
      <c r="E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</row>
    <row r="46" ht="28.5" customHeight="1">
      <c r="A46" s="3"/>
      <c r="B46" s="21" t="s">
        <v>86</v>
      </c>
      <c r="C46" s="22" t="s">
        <v>51</v>
      </c>
      <c r="D46" s="23"/>
      <c r="E46" s="24"/>
      <c r="F46" s="29">
        <v>221.0</v>
      </c>
      <c r="G46" s="26">
        <v>1730.0</v>
      </c>
      <c r="H46" s="26">
        <v>300.0</v>
      </c>
      <c r="I46" s="26">
        <v>5.0</v>
      </c>
      <c r="J46" s="49">
        <v>1889.0</v>
      </c>
      <c r="K46" s="28">
        <v>0.45</v>
      </c>
      <c r="L46" s="30">
        <f t="shared" ref="L46:L48" si="43">J46*(1-K46)</f>
        <v>1038.95</v>
      </c>
      <c r="M46" s="31">
        <v>361.03</v>
      </c>
      <c r="N46" s="32">
        <f t="shared" ref="N46:N48" si="44">$J$5</f>
        <v>60</v>
      </c>
      <c r="O46" s="33">
        <f t="shared" ref="O46:O48" si="45">M46+N46</f>
        <v>421.03</v>
      </c>
      <c r="P46" s="34">
        <v>0.47</v>
      </c>
      <c r="Q46" s="29">
        <f t="shared" ref="Q46:Q48" si="46">J46*P46</f>
        <v>887.83</v>
      </c>
      <c r="R46" s="35">
        <v>67.0</v>
      </c>
      <c r="S46" s="29">
        <f t="shared" ref="S46:S48" si="47">J46*$J$8</f>
        <v>37.78</v>
      </c>
      <c r="T46" s="35">
        <v>25.0</v>
      </c>
      <c r="U46" s="29">
        <f t="shared" ref="U46:U48" si="48">J46*$J$4</f>
        <v>28.335</v>
      </c>
      <c r="V46" s="29">
        <f t="shared" ref="V46:V48" si="49">L46*$J$3</f>
        <v>72.7265</v>
      </c>
      <c r="W46" s="36">
        <v>0.9</v>
      </c>
      <c r="X46" s="35">
        <v>67.0</v>
      </c>
      <c r="Y46" s="29">
        <f t="shared" ref="Y46:Y48" si="50">X46*(1-W46)</f>
        <v>6.7</v>
      </c>
      <c r="Z46" s="37">
        <v>0.56</v>
      </c>
      <c r="AA46" s="29">
        <f t="shared" ref="AA46:AA48" si="51">$J$6*$J$7*Z46</f>
        <v>0</v>
      </c>
      <c r="AB46" s="33">
        <f t="shared" ref="AB46:AB48" si="52">Z46*($J$9+$J$10)</f>
        <v>2.89688</v>
      </c>
      <c r="AC46" s="34">
        <v>0.05</v>
      </c>
      <c r="AD46" s="29">
        <f t="shared" ref="AD46:AD48" si="53">J46*AC46</f>
        <v>94.45</v>
      </c>
      <c r="AE46" s="36">
        <v>0.05</v>
      </c>
      <c r="AF46" s="29">
        <f t="shared" ref="AF46:AF48" si="54">J46*AE46</f>
        <v>94.45</v>
      </c>
      <c r="AG46" s="29">
        <f t="shared" ref="AG46:AG48" si="55">AD46+AF46</f>
        <v>188.9</v>
      </c>
      <c r="AH46" s="38">
        <f t="shared" ref="AH46:AH48" si="56">AG46/J46</f>
        <v>0.1</v>
      </c>
      <c r="AI46" s="39">
        <f t="shared" ref="AI46:AI48" si="57">J46-Q46-R46-S46-T46-U46-V46-Y46-AA46-AB46-O46-AN46-AO46</f>
        <v>273.03162</v>
      </c>
      <c r="AJ46" s="40">
        <f t="shared" ref="AJ46:AJ48" si="58">AI46-AG46</f>
        <v>84.13162</v>
      </c>
      <c r="AK46" s="41">
        <f t="shared" ref="AK46:AK48" si="59">AJ46/J46</f>
        <v>0.04453764955</v>
      </c>
      <c r="AL46" s="42">
        <f t="shared" ref="AL46:AL48" si="60">AJ46/O46</f>
        <v>0.199823338</v>
      </c>
      <c r="AM46" s="29">
        <f t="shared" ref="AM46:AM48" si="61">(R46+T46+Y46+AA46+AB46+O46+AN46)/(1-(P46+$J$4+(1-K46)*$J$3+$J$8+$J$11+AC46+AE46))</f>
        <v>1631.322757</v>
      </c>
      <c r="AN46" s="29">
        <f t="shared" ref="AN46:AN48" si="62">$J$12</f>
        <v>10</v>
      </c>
      <c r="AO46" s="29">
        <f t="shared" ref="AO46:AO48" si="63">J46*$J$11</f>
        <v>56.67</v>
      </c>
    </row>
    <row r="47" ht="28.5" customHeight="1">
      <c r="A47" s="3"/>
      <c r="B47" s="21" t="s">
        <v>87</v>
      </c>
      <c r="C47" s="22" t="s">
        <v>51</v>
      </c>
      <c r="D47" s="23"/>
      <c r="E47" s="24"/>
      <c r="F47" s="29">
        <v>228.0</v>
      </c>
      <c r="G47" s="26">
        <v>1870.0</v>
      </c>
      <c r="H47" s="26">
        <v>230.0</v>
      </c>
      <c r="I47" s="26">
        <v>8.0</v>
      </c>
      <c r="J47" s="49">
        <v>1746.0</v>
      </c>
      <c r="K47" s="28">
        <v>0.45</v>
      </c>
      <c r="L47" s="30">
        <f t="shared" si="43"/>
        <v>960.3</v>
      </c>
      <c r="M47" s="31">
        <v>292.89</v>
      </c>
      <c r="N47" s="32">
        <f t="shared" si="44"/>
        <v>60</v>
      </c>
      <c r="O47" s="33">
        <f t="shared" si="45"/>
        <v>352.89</v>
      </c>
      <c r="P47" s="34">
        <v>0.47</v>
      </c>
      <c r="Q47" s="29">
        <f t="shared" si="46"/>
        <v>820.62</v>
      </c>
      <c r="R47" s="35">
        <v>67.0</v>
      </c>
      <c r="S47" s="29">
        <f t="shared" si="47"/>
        <v>34.92</v>
      </c>
      <c r="T47" s="35">
        <v>25.0</v>
      </c>
      <c r="U47" s="29">
        <f t="shared" si="48"/>
        <v>26.19</v>
      </c>
      <c r="V47" s="29">
        <f t="shared" si="49"/>
        <v>67.221</v>
      </c>
      <c r="W47" s="36">
        <v>0.9</v>
      </c>
      <c r="X47" s="35">
        <v>67.0</v>
      </c>
      <c r="Y47" s="29">
        <f t="shared" si="50"/>
        <v>6.7</v>
      </c>
      <c r="Z47" s="37">
        <v>0.56</v>
      </c>
      <c r="AA47" s="29">
        <f t="shared" si="51"/>
        <v>0</v>
      </c>
      <c r="AB47" s="33">
        <f t="shared" si="52"/>
        <v>2.89688</v>
      </c>
      <c r="AC47" s="34">
        <v>0.07</v>
      </c>
      <c r="AD47" s="29">
        <f t="shared" si="53"/>
        <v>122.22</v>
      </c>
      <c r="AE47" s="36">
        <v>0.05</v>
      </c>
      <c r="AF47" s="29">
        <f t="shared" si="54"/>
        <v>87.3</v>
      </c>
      <c r="AG47" s="29">
        <f t="shared" si="55"/>
        <v>209.52</v>
      </c>
      <c r="AH47" s="38">
        <f t="shared" si="56"/>
        <v>0.12</v>
      </c>
      <c r="AI47" s="39">
        <f t="shared" si="57"/>
        <v>280.18212</v>
      </c>
      <c r="AJ47" s="40">
        <f t="shared" si="58"/>
        <v>70.66212</v>
      </c>
      <c r="AK47" s="41">
        <f t="shared" si="59"/>
        <v>0.04047085911</v>
      </c>
      <c r="AL47" s="42">
        <f t="shared" si="60"/>
        <v>0.2002383746</v>
      </c>
      <c r="AM47" s="29">
        <f t="shared" si="61"/>
        <v>1515.454747</v>
      </c>
      <c r="AN47" s="29">
        <f t="shared" si="62"/>
        <v>10</v>
      </c>
      <c r="AO47" s="29">
        <f t="shared" si="63"/>
        <v>52.38</v>
      </c>
    </row>
    <row r="48" ht="28.5" customHeight="1">
      <c r="A48" s="3"/>
      <c r="B48" s="21" t="s">
        <v>88</v>
      </c>
      <c r="C48" s="22" t="s">
        <v>51</v>
      </c>
      <c r="D48" s="23"/>
      <c r="E48" s="24"/>
      <c r="F48" s="29">
        <v>221.0</v>
      </c>
      <c r="G48" s="26">
        <v>1900.0</v>
      </c>
      <c r="H48" s="26">
        <v>60.0</v>
      </c>
      <c r="I48" s="26">
        <v>10.0</v>
      </c>
      <c r="J48" s="49">
        <v>2387.0</v>
      </c>
      <c r="K48" s="28">
        <v>0.45</v>
      </c>
      <c r="L48" s="30">
        <f t="shared" si="43"/>
        <v>1312.85</v>
      </c>
      <c r="M48" s="31">
        <v>389.99</v>
      </c>
      <c r="N48" s="32">
        <f t="shared" si="44"/>
        <v>60</v>
      </c>
      <c r="O48" s="33">
        <f t="shared" si="45"/>
        <v>449.99</v>
      </c>
      <c r="P48" s="34">
        <v>0.47</v>
      </c>
      <c r="Q48" s="29">
        <f t="shared" si="46"/>
        <v>1121.89</v>
      </c>
      <c r="R48" s="35">
        <v>72.0</v>
      </c>
      <c r="S48" s="29">
        <f t="shared" si="47"/>
        <v>47.74</v>
      </c>
      <c r="T48" s="35">
        <v>25.0</v>
      </c>
      <c r="U48" s="29">
        <f t="shared" si="48"/>
        <v>35.805</v>
      </c>
      <c r="V48" s="29">
        <f t="shared" si="49"/>
        <v>91.8995</v>
      </c>
      <c r="W48" s="36">
        <v>0.9</v>
      </c>
      <c r="X48" s="35">
        <v>72.0</v>
      </c>
      <c r="Y48" s="29">
        <f t="shared" si="50"/>
        <v>7.2</v>
      </c>
      <c r="Z48" s="37">
        <v>1.15</v>
      </c>
      <c r="AA48" s="29">
        <f t="shared" si="51"/>
        <v>0</v>
      </c>
      <c r="AB48" s="33">
        <f t="shared" si="52"/>
        <v>5.94895</v>
      </c>
      <c r="AC48" s="34">
        <v>0.07</v>
      </c>
      <c r="AD48" s="29">
        <f t="shared" si="53"/>
        <v>167.09</v>
      </c>
      <c r="AE48" s="36">
        <v>0.08</v>
      </c>
      <c r="AF48" s="29">
        <f t="shared" si="54"/>
        <v>190.96</v>
      </c>
      <c r="AG48" s="29">
        <f t="shared" si="55"/>
        <v>358.05</v>
      </c>
      <c r="AH48" s="38">
        <f t="shared" si="56"/>
        <v>0.15</v>
      </c>
      <c r="AI48" s="39">
        <f t="shared" si="57"/>
        <v>447.91655</v>
      </c>
      <c r="AJ48" s="40">
        <f t="shared" si="58"/>
        <v>89.86655</v>
      </c>
      <c r="AK48" s="41">
        <f t="shared" si="59"/>
        <v>0.03764832426</v>
      </c>
      <c r="AL48" s="42">
        <f t="shared" si="60"/>
        <v>0.1997078824</v>
      </c>
      <c r="AM48" s="29">
        <f t="shared" si="61"/>
        <v>2061.985353</v>
      </c>
      <c r="AN48" s="29">
        <f t="shared" si="62"/>
        <v>10</v>
      </c>
      <c r="AO48" s="29">
        <f t="shared" si="63"/>
        <v>71.61</v>
      </c>
    </row>
    <row r="49" ht="14.25" customHeight="1">
      <c r="A49" s="17"/>
      <c r="B49" s="18" t="s">
        <v>89</v>
      </c>
      <c r="C49" s="18"/>
      <c r="D49" s="19"/>
      <c r="E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</row>
    <row r="50" ht="14.25" customHeight="1">
      <c r="A50" s="3"/>
      <c r="B50" s="21" t="s">
        <v>90</v>
      </c>
      <c r="C50" s="22" t="s">
        <v>51</v>
      </c>
      <c r="D50" s="23"/>
      <c r="E50" s="24" t="s">
        <v>91</v>
      </c>
      <c r="F50" s="29">
        <v>6611.0</v>
      </c>
      <c r="G50" s="26">
        <v>3850.0</v>
      </c>
      <c r="H50" s="26">
        <v>127.0</v>
      </c>
      <c r="I50" s="26">
        <v>6.0</v>
      </c>
      <c r="J50" s="49">
        <v>2178.0</v>
      </c>
      <c r="K50" s="28">
        <v>0.45</v>
      </c>
      <c r="L50" s="30">
        <f t="shared" ref="L50:L59" si="64">J50*(1-K50)</f>
        <v>1197.9</v>
      </c>
      <c r="M50" s="31">
        <v>347.76</v>
      </c>
      <c r="N50" s="32">
        <f t="shared" ref="N50:N59" si="65">$J$5</f>
        <v>60</v>
      </c>
      <c r="O50" s="33">
        <f t="shared" ref="O50:O59" si="66">M50+N50</f>
        <v>407.76</v>
      </c>
      <c r="P50" s="34">
        <v>0.47</v>
      </c>
      <c r="Q50" s="29">
        <f t="shared" ref="Q50:Q59" si="67">J50*P50</f>
        <v>1023.66</v>
      </c>
      <c r="R50" s="35">
        <v>67.0</v>
      </c>
      <c r="S50" s="29">
        <f t="shared" ref="S50:S59" si="68">J50*$J$8</f>
        <v>43.56</v>
      </c>
      <c r="T50" s="35">
        <v>25.0</v>
      </c>
      <c r="U50" s="29">
        <f t="shared" ref="U50:U59" si="69">J50*$J$4</f>
        <v>32.67</v>
      </c>
      <c r="V50" s="29">
        <f t="shared" ref="V50:V59" si="70">L50*$J$3</f>
        <v>83.853</v>
      </c>
      <c r="W50" s="36">
        <v>0.9</v>
      </c>
      <c r="X50" s="35">
        <v>67.0</v>
      </c>
      <c r="Y50" s="29">
        <f t="shared" ref="Y50:Y59" si="71">X50*(1-W50)</f>
        <v>6.7</v>
      </c>
      <c r="Z50" s="37">
        <v>0.832</v>
      </c>
      <c r="AA50" s="29">
        <f t="shared" ref="AA50:AA59" si="72">$J$6*$J$7*Z50</f>
        <v>0</v>
      </c>
      <c r="AB50" s="33">
        <f t="shared" ref="AB50:AB59" si="73">Z50*($J$9+$J$10)</f>
        <v>4.303936</v>
      </c>
      <c r="AC50" s="34">
        <v>0.07</v>
      </c>
      <c r="AD50" s="29">
        <f t="shared" ref="AD50:AD59" si="74">J50*AC50</f>
        <v>152.46</v>
      </c>
      <c r="AE50" s="36">
        <v>0.08</v>
      </c>
      <c r="AF50" s="29">
        <f t="shared" ref="AF50:AF59" si="75">J50*AE50</f>
        <v>174.24</v>
      </c>
      <c r="AG50" s="29">
        <f t="shared" ref="AG50:AG59" si="76">AD50+AF50</f>
        <v>326.7</v>
      </c>
      <c r="AH50" s="38">
        <f t="shared" ref="AH50:AH59" si="77">AG50/J50</f>
        <v>0.15</v>
      </c>
      <c r="AI50" s="39">
        <f t="shared" ref="AI50:AI59" si="78">J50-Q50-R50-S50-T50-U50-V50-Y50-AA50-AB50-O50-AN50-AO50</f>
        <v>408.153064</v>
      </c>
      <c r="AJ50" s="40">
        <f t="shared" ref="AJ50:AJ59" si="79">AI50-AG50</f>
        <v>81.453064</v>
      </c>
      <c r="AK50" s="41">
        <f t="shared" ref="AK50:AK59" si="80">AJ50/J50</f>
        <v>0.03739810101</v>
      </c>
      <c r="AL50" s="42">
        <f t="shared" ref="AL50:AL59" si="81">AJ50/O50</f>
        <v>0.1997573671</v>
      </c>
      <c r="AM50" s="29">
        <f t="shared" ref="AM50:AM59" si="82">(R50+T50+Y50+AA50+AB50+O50+AN50)/(1-(P50+$J$4+(1-K50)*$J$3+$J$8+$J$11+AC50+AE50))</f>
        <v>1883.413873</v>
      </c>
      <c r="AN50" s="29">
        <f t="shared" ref="AN50:AN59" si="83">$J$12</f>
        <v>10</v>
      </c>
      <c r="AO50" s="29">
        <f t="shared" ref="AO50:AO59" si="84">J50*$J$11</f>
        <v>65.34</v>
      </c>
    </row>
    <row r="51" ht="28.5" customHeight="1">
      <c r="A51" s="3"/>
      <c r="B51" s="21" t="s">
        <v>92</v>
      </c>
      <c r="C51" s="22" t="s">
        <v>51</v>
      </c>
      <c r="D51" s="23"/>
      <c r="E51" s="24" t="s">
        <v>91</v>
      </c>
      <c r="F51" s="29">
        <v>3360.0</v>
      </c>
      <c r="G51" s="26">
        <v>2156.0</v>
      </c>
      <c r="H51" s="26">
        <v>46.0</v>
      </c>
      <c r="I51" s="26">
        <v>5.0</v>
      </c>
      <c r="J51" s="49">
        <v>2442.0</v>
      </c>
      <c r="K51" s="28">
        <v>0.45</v>
      </c>
      <c r="L51" s="30">
        <f t="shared" si="64"/>
        <v>1343.1</v>
      </c>
      <c r="M51" s="31">
        <v>396.72</v>
      </c>
      <c r="N51" s="32">
        <f t="shared" si="65"/>
        <v>60</v>
      </c>
      <c r="O51" s="33">
        <f t="shared" si="66"/>
        <v>456.72</v>
      </c>
      <c r="P51" s="34">
        <v>0.47</v>
      </c>
      <c r="Q51" s="29">
        <f t="shared" si="67"/>
        <v>1147.74</v>
      </c>
      <c r="R51" s="35">
        <v>75.0</v>
      </c>
      <c r="S51" s="29">
        <f t="shared" si="68"/>
        <v>48.84</v>
      </c>
      <c r="T51" s="35">
        <v>25.0</v>
      </c>
      <c r="U51" s="29">
        <f t="shared" si="69"/>
        <v>36.63</v>
      </c>
      <c r="V51" s="29">
        <f t="shared" si="70"/>
        <v>94.017</v>
      </c>
      <c r="W51" s="36">
        <v>0.9</v>
      </c>
      <c r="X51" s="35">
        <v>75.0</v>
      </c>
      <c r="Y51" s="29">
        <f t="shared" si="71"/>
        <v>7.5</v>
      </c>
      <c r="Z51" s="37">
        <v>1.89</v>
      </c>
      <c r="AA51" s="29">
        <f t="shared" si="72"/>
        <v>0</v>
      </c>
      <c r="AB51" s="33">
        <f t="shared" si="73"/>
        <v>9.77697</v>
      </c>
      <c r="AC51" s="34">
        <v>0.07</v>
      </c>
      <c r="AD51" s="29">
        <f t="shared" si="74"/>
        <v>170.94</v>
      </c>
      <c r="AE51" s="36">
        <v>0.08</v>
      </c>
      <c r="AF51" s="29">
        <f t="shared" si="75"/>
        <v>195.36</v>
      </c>
      <c r="AG51" s="29">
        <f t="shared" si="76"/>
        <v>366.3</v>
      </c>
      <c r="AH51" s="38">
        <f t="shared" si="77"/>
        <v>0.15</v>
      </c>
      <c r="AI51" s="39">
        <f t="shared" si="78"/>
        <v>457.51603</v>
      </c>
      <c r="AJ51" s="40">
        <f t="shared" si="79"/>
        <v>91.21603</v>
      </c>
      <c r="AK51" s="41">
        <f t="shared" si="80"/>
        <v>0.03735300164</v>
      </c>
      <c r="AL51" s="42">
        <f t="shared" si="81"/>
        <v>0.1997198064</v>
      </c>
      <c r="AM51" s="29">
        <f t="shared" si="82"/>
        <v>2112.104774</v>
      </c>
      <c r="AN51" s="29">
        <f t="shared" si="83"/>
        <v>10</v>
      </c>
      <c r="AO51" s="29">
        <f t="shared" si="84"/>
        <v>73.26</v>
      </c>
    </row>
    <row r="52" ht="28.5" customHeight="1">
      <c r="A52" s="3"/>
      <c r="B52" s="21" t="s">
        <v>93</v>
      </c>
      <c r="C52" s="22" t="s">
        <v>51</v>
      </c>
      <c r="D52" s="23"/>
      <c r="E52" s="24" t="s">
        <v>66</v>
      </c>
      <c r="F52" s="29">
        <v>1104.0</v>
      </c>
      <c r="G52" s="26"/>
      <c r="H52" s="26"/>
      <c r="I52" s="26"/>
      <c r="J52" s="49">
        <v>2538.0</v>
      </c>
      <c r="K52" s="28">
        <v>0.45</v>
      </c>
      <c r="L52" s="30">
        <f t="shared" si="64"/>
        <v>1395.9</v>
      </c>
      <c r="M52" s="31">
        <v>431.05</v>
      </c>
      <c r="N52" s="32">
        <f t="shared" si="65"/>
        <v>60</v>
      </c>
      <c r="O52" s="33">
        <f t="shared" si="66"/>
        <v>491.05</v>
      </c>
      <c r="P52" s="34">
        <v>0.47</v>
      </c>
      <c r="Q52" s="29">
        <f t="shared" si="67"/>
        <v>1192.86</v>
      </c>
      <c r="R52" s="35">
        <v>67.0</v>
      </c>
      <c r="S52" s="29">
        <f t="shared" si="68"/>
        <v>50.76</v>
      </c>
      <c r="T52" s="35">
        <v>25.0</v>
      </c>
      <c r="U52" s="29">
        <f t="shared" si="69"/>
        <v>38.07</v>
      </c>
      <c r="V52" s="29">
        <f t="shared" si="70"/>
        <v>97.713</v>
      </c>
      <c r="W52" s="36">
        <v>0.9</v>
      </c>
      <c r="X52" s="35">
        <v>67.0</v>
      </c>
      <c r="Y52" s="29">
        <f t="shared" si="71"/>
        <v>6.7</v>
      </c>
      <c r="Z52" s="37">
        <v>0.73</v>
      </c>
      <c r="AA52" s="29">
        <f t="shared" si="72"/>
        <v>0</v>
      </c>
      <c r="AB52" s="33">
        <f t="shared" si="73"/>
        <v>3.77629</v>
      </c>
      <c r="AC52" s="34">
        <v>0.07</v>
      </c>
      <c r="AD52" s="29">
        <f t="shared" si="74"/>
        <v>177.66</v>
      </c>
      <c r="AE52" s="36">
        <v>0.08</v>
      </c>
      <c r="AF52" s="29">
        <f t="shared" si="75"/>
        <v>203.04</v>
      </c>
      <c r="AG52" s="29">
        <f t="shared" si="76"/>
        <v>380.7</v>
      </c>
      <c r="AH52" s="38">
        <f t="shared" si="77"/>
        <v>0.15</v>
      </c>
      <c r="AI52" s="39">
        <f t="shared" si="78"/>
        <v>478.93071</v>
      </c>
      <c r="AJ52" s="40">
        <f t="shared" si="79"/>
        <v>98.23071</v>
      </c>
      <c r="AK52" s="41">
        <f t="shared" si="80"/>
        <v>0.03870398345</v>
      </c>
      <c r="AL52" s="42">
        <f t="shared" si="81"/>
        <v>0.2000421749</v>
      </c>
      <c r="AM52" s="29">
        <f t="shared" si="82"/>
        <v>2182.735226</v>
      </c>
      <c r="AN52" s="29">
        <f t="shared" si="83"/>
        <v>10</v>
      </c>
      <c r="AO52" s="29">
        <f t="shared" si="84"/>
        <v>76.14</v>
      </c>
    </row>
    <row r="53" ht="28.5" customHeight="1">
      <c r="A53" s="50">
        <v>5.358217994E9</v>
      </c>
      <c r="B53" s="21" t="s">
        <v>94</v>
      </c>
      <c r="C53" s="51" t="s">
        <v>51</v>
      </c>
      <c r="D53" s="23"/>
      <c r="E53" s="24" t="s">
        <v>91</v>
      </c>
      <c r="F53" s="29">
        <v>964.0</v>
      </c>
      <c r="G53" s="26">
        <v>3070.0</v>
      </c>
      <c r="H53" s="26">
        <v>48.0</v>
      </c>
      <c r="I53" s="26">
        <v>6.6</v>
      </c>
      <c r="J53" s="49">
        <v>2032.0</v>
      </c>
      <c r="K53" s="28">
        <v>0.45</v>
      </c>
      <c r="L53" s="30">
        <f t="shared" si="64"/>
        <v>1117.6</v>
      </c>
      <c r="M53" s="31">
        <v>313.84</v>
      </c>
      <c r="N53" s="32">
        <f t="shared" si="65"/>
        <v>60</v>
      </c>
      <c r="O53" s="33">
        <f t="shared" si="66"/>
        <v>373.84</v>
      </c>
      <c r="P53" s="34">
        <v>0.47</v>
      </c>
      <c r="Q53" s="29">
        <f t="shared" si="67"/>
        <v>955.04</v>
      </c>
      <c r="R53" s="35">
        <v>67.0</v>
      </c>
      <c r="S53" s="29">
        <f t="shared" si="68"/>
        <v>40.64</v>
      </c>
      <c r="T53" s="35">
        <v>25.0</v>
      </c>
      <c r="U53" s="29">
        <f t="shared" si="69"/>
        <v>30.48</v>
      </c>
      <c r="V53" s="29">
        <f t="shared" si="70"/>
        <v>78.232</v>
      </c>
      <c r="W53" s="36">
        <v>0.9</v>
      </c>
      <c r="X53" s="35">
        <v>67.0</v>
      </c>
      <c r="Y53" s="29">
        <f t="shared" si="71"/>
        <v>6.7</v>
      </c>
      <c r="Z53" s="37">
        <v>0.86</v>
      </c>
      <c r="AA53" s="29">
        <f t="shared" si="72"/>
        <v>0</v>
      </c>
      <c r="AB53" s="33">
        <f t="shared" si="73"/>
        <v>4.44878</v>
      </c>
      <c r="AC53" s="34">
        <v>0.07</v>
      </c>
      <c r="AD53" s="29">
        <f t="shared" si="74"/>
        <v>142.24</v>
      </c>
      <c r="AE53" s="36">
        <v>0.08</v>
      </c>
      <c r="AF53" s="29">
        <f t="shared" si="75"/>
        <v>162.56</v>
      </c>
      <c r="AG53" s="29">
        <f t="shared" si="76"/>
        <v>304.8</v>
      </c>
      <c r="AH53" s="38">
        <f t="shared" si="77"/>
        <v>0.15</v>
      </c>
      <c r="AI53" s="39">
        <f t="shared" si="78"/>
        <v>379.65922</v>
      </c>
      <c r="AJ53" s="40">
        <f t="shared" si="79"/>
        <v>74.85922</v>
      </c>
      <c r="AK53" s="41">
        <f t="shared" si="80"/>
        <v>0.03684016732</v>
      </c>
      <c r="AL53" s="42">
        <f t="shared" si="81"/>
        <v>0.2002440081</v>
      </c>
      <c r="AM53" s="29">
        <f t="shared" si="82"/>
        <v>1761.26141</v>
      </c>
      <c r="AN53" s="29">
        <f t="shared" si="83"/>
        <v>10</v>
      </c>
      <c r="AO53" s="29">
        <f t="shared" si="84"/>
        <v>60.96</v>
      </c>
    </row>
    <row r="54" ht="28.5" customHeight="1">
      <c r="A54" s="3"/>
      <c r="B54" s="21" t="s">
        <v>95</v>
      </c>
      <c r="C54" s="22" t="s">
        <v>51</v>
      </c>
      <c r="D54" s="23"/>
      <c r="E54" s="24"/>
      <c r="F54" s="29">
        <v>964.0</v>
      </c>
      <c r="G54" s="26">
        <v>3820.0</v>
      </c>
      <c r="H54" s="26">
        <v>22.0</v>
      </c>
      <c r="I54" s="26">
        <v>7.0</v>
      </c>
      <c r="J54" s="49">
        <v>2364.0</v>
      </c>
      <c r="K54" s="28">
        <v>0.45</v>
      </c>
      <c r="L54" s="30">
        <f t="shared" si="64"/>
        <v>1300.2</v>
      </c>
      <c r="M54" s="31">
        <v>390.46</v>
      </c>
      <c r="N54" s="32">
        <f t="shared" si="65"/>
        <v>60</v>
      </c>
      <c r="O54" s="33">
        <f t="shared" si="66"/>
        <v>450.46</v>
      </c>
      <c r="P54" s="34">
        <v>0.47</v>
      </c>
      <c r="Q54" s="29">
        <f t="shared" si="67"/>
        <v>1111.08</v>
      </c>
      <c r="R54" s="35">
        <v>67.0</v>
      </c>
      <c r="S54" s="29">
        <f t="shared" si="68"/>
        <v>47.28</v>
      </c>
      <c r="T54" s="35">
        <v>25.0</v>
      </c>
      <c r="U54" s="29">
        <f t="shared" si="69"/>
        <v>35.46</v>
      </c>
      <c r="V54" s="29">
        <f t="shared" si="70"/>
        <v>91.014</v>
      </c>
      <c r="W54" s="36">
        <v>0.9</v>
      </c>
      <c r="X54" s="35">
        <v>67.0</v>
      </c>
      <c r="Y54" s="29">
        <f t="shared" si="71"/>
        <v>6.7</v>
      </c>
      <c r="Z54" s="37">
        <v>0.86</v>
      </c>
      <c r="AA54" s="29">
        <f t="shared" si="72"/>
        <v>0</v>
      </c>
      <c r="AB54" s="33">
        <f t="shared" si="73"/>
        <v>4.44878</v>
      </c>
      <c r="AC54" s="34">
        <v>0.07</v>
      </c>
      <c r="AD54" s="29">
        <f t="shared" si="74"/>
        <v>165.48</v>
      </c>
      <c r="AE54" s="36">
        <v>0.08</v>
      </c>
      <c r="AF54" s="29">
        <f t="shared" si="75"/>
        <v>189.12</v>
      </c>
      <c r="AG54" s="29">
        <f t="shared" si="76"/>
        <v>354.6</v>
      </c>
      <c r="AH54" s="38">
        <f t="shared" si="77"/>
        <v>0.15</v>
      </c>
      <c r="AI54" s="39">
        <f t="shared" si="78"/>
        <v>444.63722</v>
      </c>
      <c r="AJ54" s="40">
        <f t="shared" si="79"/>
        <v>90.03722</v>
      </c>
      <c r="AK54" s="41">
        <f t="shared" si="80"/>
        <v>0.03808681049</v>
      </c>
      <c r="AL54" s="42">
        <f t="shared" si="81"/>
        <v>0.199878391</v>
      </c>
      <c r="AM54" s="29">
        <f t="shared" si="82"/>
        <v>2038.368101</v>
      </c>
      <c r="AN54" s="29">
        <f t="shared" si="83"/>
        <v>10</v>
      </c>
      <c r="AO54" s="29">
        <f t="shared" si="84"/>
        <v>70.92</v>
      </c>
    </row>
    <row r="55" ht="28.5" customHeight="1">
      <c r="A55" s="3"/>
      <c r="B55" s="21" t="s">
        <v>96</v>
      </c>
      <c r="C55" s="22" t="s">
        <v>51</v>
      </c>
      <c r="D55" s="23"/>
      <c r="E55" s="24"/>
      <c r="F55" s="29">
        <v>2535.0</v>
      </c>
      <c r="G55" s="26">
        <v>2000.0</v>
      </c>
      <c r="H55" s="26">
        <v>23.0</v>
      </c>
      <c r="I55" s="26">
        <v>1.0</v>
      </c>
      <c r="J55" s="49">
        <v>2448.0</v>
      </c>
      <c r="K55" s="28">
        <v>0.45</v>
      </c>
      <c r="L55" s="30">
        <f t="shared" si="64"/>
        <v>1346.4</v>
      </c>
      <c r="M55" s="31">
        <v>400.76</v>
      </c>
      <c r="N55" s="32">
        <f t="shared" si="65"/>
        <v>60</v>
      </c>
      <c r="O55" s="33">
        <f t="shared" si="66"/>
        <v>460.76</v>
      </c>
      <c r="P55" s="34">
        <v>0.47</v>
      </c>
      <c r="Q55" s="29">
        <f t="shared" si="67"/>
        <v>1150.56</v>
      </c>
      <c r="R55" s="35">
        <v>75.0</v>
      </c>
      <c r="S55" s="29">
        <f t="shared" si="68"/>
        <v>48.96</v>
      </c>
      <c r="T55" s="35">
        <v>25.0</v>
      </c>
      <c r="U55" s="29">
        <f t="shared" si="69"/>
        <v>36.72</v>
      </c>
      <c r="V55" s="29">
        <f t="shared" si="70"/>
        <v>94.248</v>
      </c>
      <c r="W55" s="36">
        <v>0.9</v>
      </c>
      <c r="X55" s="35">
        <v>75.0</v>
      </c>
      <c r="Y55" s="29">
        <f t="shared" si="71"/>
        <v>7.5</v>
      </c>
      <c r="Z55" s="37">
        <v>1.26</v>
      </c>
      <c r="AA55" s="29">
        <f t="shared" si="72"/>
        <v>0</v>
      </c>
      <c r="AB55" s="33">
        <f t="shared" si="73"/>
        <v>6.51798</v>
      </c>
      <c r="AC55" s="34">
        <v>0.07</v>
      </c>
      <c r="AD55" s="29">
        <f t="shared" si="74"/>
        <v>171.36</v>
      </c>
      <c r="AE55" s="36">
        <v>0.08</v>
      </c>
      <c r="AF55" s="29">
        <f t="shared" si="75"/>
        <v>195.84</v>
      </c>
      <c r="AG55" s="29">
        <f t="shared" si="76"/>
        <v>367.2</v>
      </c>
      <c r="AH55" s="38">
        <f t="shared" si="77"/>
        <v>0.15</v>
      </c>
      <c r="AI55" s="39">
        <f t="shared" si="78"/>
        <v>459.29402</v>
      </c>
      <c r="AJ55" s="40">
        <f t="shared" si="79"/>
        <v>92.09402</v>
      </c>
      <c r="AK55" s="41">
        <f t="shared" si="80"/>
        <v>0.03762010621</v>
      </c>
      <c r="AL55" s="42">
        <f t="shared" si="81"/>
        <v>0.1998741644</v>
      </c>
      <c r="AM55" s="29">
        <f t="shared" si="82"/>
        <v>2114.929403</v>
      </c>
      <c r="AN55" s="29">
        <f t="shared" si="83"/>
        <v>10</v>
      </c>
      <c r="AO55" s="29">
        <f t="shared" si="84"/>
        <v>73.44</v>
      </c>
    </row>
    <row r="56" ht="28.5" customHeight="1">
      <c r="A56" s="3"/>
      <c r="B56" s="21" t="s">
        <v>97</v>
      </c>
      <c r="C56" s="22" t="s">
        <v>51</v>
      </c>
      <c r="D56" s="23"/>
      <c r="E56" s="24"/>
      <c r="F56" s="29">
        <v>484.0</v>
      </c>
      <c r="G56" s="26">
        <v>2128.0</v>
      </c>
      <c r="H56" s="26">
        <v>22.0</v>
      </c>
      <c r="I56" s="26">
        <v>7.5</v>
      </c>
      <c r="J56" s="49">
        <v>2431.0</v>
      </c>
      <c r="K56" s="28">
        <v>0.45</v>
      </c>
      <c r="L56" s="30">
        <f t="shared" si="64"/>
        <v>1337.05</v>
      </c>
      <c r="M56" s="31">
        <v>396.72</v>
      </c>
      <c r="N56" s="32">
        <f t="shared" si="65"/>
        <v>60</v>
      </c>
      <c r="O56" s="33">
        <f t="shared" si="66"/>
        <v>456.72</v>
      </c>
      <c r="P56" s="34">
        <v>0.47</v>
      </c>
      <c r="Q56" s="29">
        <f t="shared" si="67"/>
        <v>1142.57</v>
      </c>
      <c r="R56" s="35">
        <v>75.0</v>
      </c>
      <c r="S56" s="29">
        <f t="shared" si="68"/>
        <v>48.62</v>
      </c>
      <c r="T56" s="35">
        <v>25.0</v>
      </c>
      <c r="U56" s="29">
        <f t="shared" si="69"/>
        <v>36.465</v>
      </c>
      <c r="V56" s="29">
        <f t="shared" si="70"/>
        <v>93.5935</v>
      </c>
      <c r="W56" s="36">
        <v>0.9</v>
      </c>
      <c r="X56" s="35">
        <v>75.0</v>
      </c>
      <c r="Y56" s="29">
        <f t="shared" si="71"/>
        <v>7.5</v>
      </c>
      <c r="Z56" s="37">
        <v>1.26</v>
      </c>
      <c r="AA56" s="29">
        <f t="shared" si="72"/>
        <v>0</v>
      </c>
      <c r="AB56" s="33">
        <f t="shared" si="73"/>
        <v>6.51798</v>
      </c>
      <c r="AC56" s="34">
        <v>0.07</v>
      </c>
      <c r="AD56" s="29">
        <f t="shared" si="74"/>
        <v>170.17</v>
      </c>
      <c r="AE56" s="36">
        <v>0.08</v>
      </c>
      <c r="AF56" s="29">
        <f t="shared" si="75"/>
        <v>194.48</v>
      </c>
      <c r="AG56" s="29">
        <f t="shared" si="76"/>
        <v>364.65</v>
      </c>
      <c r="AH56" s="38">
        <f t="shared" si="77"/>
        <v>0.15</v>
      </c>
      <c r="AI56" s="39">
        <f t="shared" si="78"/>
        <v>456.08352</v>
      </c>
      <c r="AJ56" s="40">
        <f t="shared" si="79"/>
        <v>91.43352</v>
      </c>
      <c r="AK56" s="41">
        <f t="shared" si="80"/>
        <v>0.03761148499</v>
      </c>
      <c r="AL56" s="42">
        <f t="shared" si="81"/>
        <v>0.2001960063</v>
      </c>
      <c r="AM56" s="29">
        <f t="shared" si="82"/>
        <v>2100.318192</v>
      </c>
      <c r="AN56" s="29">
        <f t="shared" si="83"/>
        <v>10</v>
      </c>
      <c r="AO56" s="29">
        <f t="shared" si="84"/>
        <v>72.93</v>
      </c>
    </row>
    <row r="57" ht="28.5" customHeight="1">
      <c r="A57" s="3"/>
      <c r="B57" s="21" t="s">
        <v>98</v>
      </c>
      <c r="C57" s="22" t="s">
        <v>51</v>
      </c>
      <c r="D57" s="23"/>
      <c r="E57" s="24"/>
      <c r="F57" s="29">
        <v>484.0</v>
      </c>
      <c r="G57" s="26">
        <v>2145.0</v>
      </c>
      <c r="H57" s="26">
        <v>48.0</v>
      </c>
      <c r="I57" s="26">
        <v>5.0</v>
      </c>
      <c r="J57" s="49">
        <v>1647.0</v>
      </c>
      <c r="K57" s="28">
        <v>0.45</v>
      </c>
      <c r="L57" s="30">
        <f t="shared" si="64"/>
        <v>905.85</v>
      </c>
      <c r="M57" s="31">
        <v>231.73</v>
      </c>
      <c r="N57" s="32">
        <f t="shared" si="65"/>
        <v>60</v>
      </c>
      <c r="O57" s="33">
        <f t="shared" si="66"/>
        <v>291.73</v>
      </c>
      <c r="P57" s="34">
        <v>0.47</v>
      </c>
      <c r="Q57" s="29">
        <f t="shared" si="67"/>
        <v>774.09</v>
      </c>
      <c r="R57" s="35">
        <v>63.0</v>
      </c>
      <c r="S57" s="29">
        <f t="shared" si="68"/>
        <v>32.94</v>
      </c>
      <c r="T57" s="35">
        <v>25.0</v>
      </c>
      <c r="U57" s="29">
        <f t="shared" si="69"/>
        <v>24.705</v>
      </c>
      <c r="V57" s="29">
        <f t="shared" si="70"/>
        <v>63.4095</v>
      </c>
      <c r="W57" s="36">
        <v>0.9</v>
      </c>
      <c r="X57" s="35">
        <v>63.0</v>
      </c>
      <c r="Y57" s="29">
        <f t="shared" si="71"/>
        <v>6.3</v>
      </c>
      <c r="Z57" s="37">
        <v>0.22</v>
      </c>
      <c r="AA57" s="29">
        <f t="shared" si="72"/>
        <v>0</v>
      </c>
      <c r="AB57" s="33">
        <f t="shared" si="73"/>
        <v>1.13806</v>
      </c>
      <c r="AC57" s="34">
        <v>0.07</v>
      </c>
      <c r="AD57" s="29">
        <f t="shared" si="74"/>
        <v>115.29</v>
      </c>
      <c r="AE57" s="36">
        <v>0.08</v>
      </c>
      <c r="AF57" s="29">
        <f t="shared" si="75"/>
        <v>131.76</v>
      </c>
      <c r="AG57" s="29">
        <f t="shared" si="76"/>
        <v>247.05</v>
      </c>
      <c r="AH57" s="38">
        <f t="shared" si="77"/>
        <v>0.15</v>
      </c>
      <c r="AI57" s="39">
        <f t="shared" si="78"/>
        <v>305.27744</v>
      </c>
      <c r="AJ57" s="40">
        <f t="shared" si="79"/>
        <v>58.22744</v>
      </c>
      <c r="AK57" s="41">
        <f t="shared" si="80"/>
        <v>0.03535363692</v>
      </c>
      <c r="AL57" s="42">
        <f t="shared" si="81"/>
        <v>0.1995935968</v>
      </c>
      <c r="AM57" s="29">
        <f t="shared" si="82"/>
        <v>1436.412514</v>
      </c>
      <c r="AN57" s="29">
        <f t="shared" si="83"/>
        <v>10</v>
      </c>
      <c r="AO57" s="29">
        <f t="shared" si="84"/>
        <v>49.41</v>
      </c>
    </row>
    <row r="58" ht="28.5" customHeight="1">
      <c r="A58" s="50">
        <v>5.358217491E9</v>
      </c>
      <c r="B58" s="21" t="s">
        <v>99</v>
      </c>
      <c r="C58" s="51" t="s">
        <v>51</v>
      </c>
      <c r="D58" s="23"/>
      <c r="E58" s="24"/>
      <c r="F58" s="29">
        <v>287.0</v>
      </c>
      <c r="G58" s="26">
        <v>4300.0</v>
      </c>
      <c r="H58" s="26">
        <v>29.0</v>
      </c>
      <c r="I58" s="26">
        <v>7.0</v>
      </c>
      <c r="J58" s="49">
        <v>2767.0</v>
      </c>
      <c r="K58" s="28">
        <v>0.45</v>
      </c>
      <c r="L58" s="30">
        <f t="shared" si="64"/>
        <v>1521.85</v>
      </c>
      <c r="M58" s="31">
        <v>484.42</v>
      </c>
      <c r="N58" s="32">
        <f t="shared" si="65"/>
        <v>60</v>
      </c>
      <c r="O58" s="33">
        <f t="shared" si="66"/>
        <v>544.42</v>
      </c>
      <c r="P58" s="34">
        <v>0.47</v>
      </c>
      <c r="Q58" s="29">
        <f t="shared" si="67"/>
        <v>1300.49</v>
      </c>
      <c r="R58" s="35">
        <v>67.0</v>
      </c>
      <c r="S58" s="29">
        <f t="shared" si="68"/>
        <v>55.34</v>
      </c>
      <c r="T58" s="35">
        <v>25.0</v>
      </c>
      <c r="U58" s="29">
        <f t="shared" si="69"/>
        <v>41.505</v>
      </c>
      <c r="V58" s="29">
        <f t="shared" si="70"/>
        <v>106.5295</v>
      </c>
      <c r="W58" s="36">
        <v>0.9</v>
      </c>
      <c r="X58" s="35">
        <v>67.0</v>
      </c>
      <c r="Y58" s="29">
        <f t="shared" si="71"/>
        <v>6.7</v>
      </c>
      <c r="Z58" s="37">
        <v>0.57</v>
      </c>
      <c r="AA58" s="29">
        <f t="shared" si="72"/>
        <v>0</v>
      </c>
      <c r="AB58" s="33">
        <f t="shared" si="73"/>
        <v>2.94861</v>
      </c>
      <c r="AC58" s="34">
        <v>0.07</v>
      </c>
      <c r="AD58" s="29">
        <f t="shared" si="74"/>
        <v>193.69</v>
      </c>
      <c r="AE58" s="36">
        <v>0.08</v>
      </c>
      <c r="AF58" s="29">
        <f t="shared" si="75"/>
        <v>221.36</v>
      </c>
      <c r="AG58" s="29">
        <f t="shared" si="76"/>
        <v>415.05</v>
      </c>
      <c r="AH58" s="38">
        <f t="shared" si="77"/>
        <v>0.15</v>
      </c>
      <c r="AI58" s="39">
        <f t="shared" si="78"/>
        <v>524.05689</v>
      </c>
      <c r="AJ58" s="40">
        <f t="shared" si="79"/>
        <v>109.00689</v>
      </c>
      <c r="AK58" s="41">
        <f t="shared" si="80"/>
        <v>0.0393953343</v>
      </c>
      <c r="AL58" s="42">
        <f t="shared" si="81"/>
        <v>0.2002257265</v>
      </c>
      <c r="AM58" s="29">
        <f t="shared" si="82"/>
        <v>2372.7617</v>
      </c>
      <c r="AN58" s="29">
        <f t="shared" si="83"/>
        <v>10</v>
      </c>
      <c r="AO58" s="29">
        <f t="shared" si="84"/>
        <v>83.01</v>
      </c>
    </row>
    <row r="59" ht="28.5" customHeight="1">
      <c r="A59" s="50">
        <v>5.369902609E9</v>
      </c>
      <c r="B59" s="21" t="s">
        <v>100</v>
      </c>
      <c r="C59" s="51" t="s">
        <v>51</v>
      </c>
      <c r="D59" s="23"/>
      <c r="E59" s="24"/>
      <c r="F59" s="29">
        <v>515.0</v>
      </c>
      <c r="G59" s="26">
        <v>1100.0</v>
      </c>
      <c r="H59" s="26">
        <v>163.0</v>
      </c>
      <c r="I59" s="26">
        <v>4.5</v>
      </c>
      <c r="J59" s="49">
        <v>1365.0</v>
      </c>
      <c r="K59" s="28">
        <v>0.45</v>
      </c>
      <c r="L59" s="30">
        <f t="shared" si="64"/>
        <v>750.75</v>
      </c>
      <c r="M59" s="31">
        <v>161.47</v>
      </c>
      <c r="N59" s="32">
        <f t="shared" si="65"/>
        <v>60</v>
      </c>
      <c r="O59" s="33">
        <f t="shared" si="66"/>
        <v>221.47</v>
      </c>
      <c r="P59" s="34">
        <v>0.47</v>
      </c>
      <c r="Q59" s="29">
        <f t="shared" si="67"/>
        <v>641.55</v>
      </c>
      <c r="R59" s="35">
        <v>67.0</v>
      </c>
      <c r="S59" s="29">
        <f t="shared" si="68"/>
        <v>27.3</v>
      </c>
      <c r="T59" s="35">
        <v>25.0</v>
      </c>
      <c r="U59" s="29">
        <f t="shared" si="69"/>
        <v>20.475</v>
      </c>
      <c r="V59" s="29">
        <f t="shared" si="70"/>
        <v>52.5525</v>
      </c>
      <c r="W59" s="36">
        <v>0.9</v>
      </c>
      <c r="X59" s="35">
        <v>67.0</v>
      </c>
      <c r="Y59" s="29">
        <f t="shared" si="71"/>
        <v>6.7</v>
      </c>
      <c r="Z59" s="37">
        <v>0.57</v>
      </c>
      <c r="AA59" s="29">
        <f t="shared" si="72"/>
        <v>0</v>
      </c>
      <c r="AB59" s="33">
        <f t="shared" si="73"/>
        <v>2.94861</v>
      </c>
      <c r="AC59" s="34">
        <v>0.07</v>
      </c>
      <c r="AD59" s="29">
        <f t="shared" si="74"/>
        <v>95.55</v>
      </c>
      <c r="AE59" s="36">
        <v>0.08</v>
      </c>
      <c r="AF59" s="29">
        <f t="shared" si="75"/>
        <v>109.2</v>
      </c>
      <c r="AG59" s="29">
        <f t="shared" si="76"/>
        <v>204.75</v>
      </c>
      <c r="AH59" s="38">
        <f t="shared" si="77"/>
        <v>0.15</v>
      </c>
      <c r="AI59" s="39">
        <f t="shared" si="78"/>
        <v>249.05389</v>
      </c>
      <c r="AJ59" s="40">
        <f t="shared" si="79"/>
        <v>44.30389</v>
      </c>
      <c r="AK59" s="41">
        <f t="shared" si="80"/>
        <v>0.03245706227</v>
      </c>
      <c r="AL59" s="42">
        <f t="shared" si="81"/>
        <v>0.2000446562</v>
      </c>
      <c r="AM59" s="29">
        <f t="shared" si="82"/>
        <v>1204.768933</v>
      </c>
      <c r="AN59" s="29">
        <f t="shared" si="83"/>
        <v>10</v>
      </c>
      <c r="AO59" s="29">
        <f t="shared" si="84"/>
        <v>40.95</v>
      </c>
    </row>
    <row r="60" ht="14.25" customHeight="1">
      <c r="A60" s="17"/>
      <c r="B60" s="18" t="s">
        <v>101</v>
      </c>
      <c r="C60" s="18"/>
      <c r="D60" s="19"/>
      <c r="E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</row>
    <row r="61" ht="28.5" customHeight="1">
      <c r="A61" s="3"/>
      <c r="B61" s="21" t="s">
        <v>102</v>
      </c>
      <c r="C61" s="22" t="s">
        <v>51</v>
      </c>
      <c r="D61" s="23"/>
      <c r="E61" s="24"/>
      <c r="F61" s="29">
        <v>1025.0</v>
      </c>
      <c r="G61" s="26">
        <v>2980.0</v>
      </c>
      <c r="H61" s="26">
        <v>100.0</v>
      </c>
      <c r="I61" s="26">
        <v>0.0</v>
      </c>
      <c r="J61" s="49">
        <v>3350.0</v>
      </c>
      <c r="K61" s="28">
        <v>0.45</v>
      </c>
      <c r="L61" s="30">
        <f>J61*(1-K61)</f>
        <v>1842.5</v>
      </c>
      <c r="M61" s="31">
        <v>770.48</v>
      </c>
      <c r="N61" s="32">
        <f>$J$5</f>
        <v>60</v>
      </c>
      <c r="O61" s="33">
        <f>M61+N61</f>
        <v>830.48</v>
      </c>
      <c r="P61" s="34">
        <v>0.47</v>
      </c>
      <c r="Q61" s="29">
        <f>J61*P61</f>
        <v>1574.5</v>
      </c>
      <c r="R61" s="35">
        <v>56.0</v>
      </c>
      <c r="S61" s="29">
        <f>J61*$J$8</f>
        <v>67</v>
      </c>
      <c r="T61" s="35">
        <v>25.0</v>
      </c>
      <c r="U61" s="29">
        <f>J61*$J$4</f>
        <v>50.25</v>
      </c>
      <c r="V61" s="29">
        <f>L61*$J$3</f>
        <v>128.975</v>
      </c>
      <c r="W61" s="36">
        <v>0.9</v>
      </c>
      <c r="X61" s="35">
        <v>56.0</v>
      </c>
      <c r="Y61" s="29">
        <f>X61*(1-W61)</f>
        <v>5.6</v>
      </c>
      <c r="Z61" s="37">
        <v>0.14</v>
      </c>
      <c r="AA61" s="29">
        <f>$J$6*$J$7*Z61</f>
        <v>0</v>
      </c>
      <c r="AB61" s="33">
        <f>Z61*($J$9+$J$10)</f>
        <v>0.72422</v>
      </c>
      <c r="AC61" s="34">
        <v>0.05</v>
      </c>
      <c r="AD61" s="29">
        <f>J61*AC61</f>
        <v>167.5</v>
      </c>
      <c r="AE61" s="36">
        <v>0.05</v>
      </c>
      <c r="AF61" s="29">
        <f>J61*AE61</f>
        <v>167.5</v>
      </c>
      <c r="AG61" s="29">
        <f>AD61+AF61</f>
        <v>335</v>
      </c>
      <c r="AH61" s="38">
        <f>AG61/J61</f>
        <v>0.1</v>
      </c>
      <c r="AI61" s="39">
        <f>J61-Q61-R61-S61-T61-U61-V61-Y61-AA61-AB61-O61-AN61-AO61</f>
        <v>500.97078</v>
      </c>
      <c r="AJ61" s="40">
        <f>AI61-AG61</f>
        <v>165.97078</v>
      </c>
      <c r="AK61" s="41">
        <f>AJ61/J61</f>
        <v>0.04954351642</v>
      </c>
      <c r="AL61" s="42">
        <f>AJ61/O61</f>
        <v>0.1998492197</v>
      </c>
      <c r="AM61" s="29">
        <f>(R61+T61+Y61+AA61+AB61+O61+AN61)/(1-(P61+$J$4+(1-K61)*$J$3+$J$8+$J$11+AC61+AE61))</f>
        <v>2841.66683</v>
      </c>
      <c r="AN61" s="29">
        <f>$J$12</f>
        <v>10</v>
      </c>
      <c r="AO61" s="29">
        <f>J61*$J$11</f>
        <v>100.5</v>
      </c>
    </row>
    <row r="62" ht="14.25" customHeight="1">
      <c r="A62" s="17"/>
      <c r="B62" s="18" t="s">
        <v>103</v>
      </c>
      <c r="C62" s="18"/>
      <c r="D62" s="19"/>
      <c r="E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</row>
    <row r="63" ht="28.5" customHeight="1">
      <c r="A63" s="50">
        <v>5.358217946E9</v>
      </c>
      <c r="B63" s="21" t="s">
        <v>104</v>
      </c>
      <c r="C63" s="21" t="s">
        <v>51</v>
      </c>
      <c r="D63" s="23"/>
      <c r="E63" s="24"/>
      <c r="F63" s="29">
        <v>7668.0</v>
      </c>
      <c r="G63" s="26">
        <v>980.0</v>
      </c>
      <c r="H63" s="26">
        <v>160.0</v>
      </c>
      <c r="I63" s="26">
        <v>4.5</v>
      </c>
      <c r="J63" s="49">
        <v>1539.0</v>
      </c>
      <c r="K63" s="28">
        <v>0.45</v>
      </c>
      <c r="L63" s="30">
        <f t="shared" ref="L63:L65" si="85">J63*(1-K63)</f>
        <v>846.45</v>
      </c>
      <c r="M63" s="31">
        <v>202.27</v>
      </c>
      <c r="N63" s="32">
        <f t="shared" ref="N63:N65" si="86">$J$5</f>
        <v>60</v>
      </c>
      <c r="O63" s="33">
        <f t="shared" ref="O63:O65" si="87">M63+N63</f>
        <v>262.27</v>
      </c>
      <c r="P63" s="34">
        <v>0.47</v>
      </c>
      <c r="Q63" s="29">
        <f t="shared" ref="Q63:Q65" si="88">J63*P63</f>
        <v>723.33</v>
      </c>
      <c r="R63" s="35">
        <v>67.0</v>
      </c>
      <c r="S63" s="29">
        <f t="shared" ref="S63:S65" si="89">J63*$J$8</f>
        <v>30.78</v>
      </c>
      <c r="T63" s="35">
        <v>25.0</v>
      </c>
      <c r="U63" s="29">
        <f t="shared" ref="U63:U65" si="90">J63*$J$4</f>
        <v>23.085</v>
      </c>
      <c r="V63" s="29">
        <f t="shared" ref="V63:V65" si="91">L63*$J$3</f>
        <v>59.2515</v>
      </c>
      <c r="W63" s="36">
        <v>0.9</v>
      </c>
      <c r="X63" s="35">
        <v>67.0</v>
      </c>
      <c r="Y63" s="29">
        <f t="shared" ref="Y63:Y65" si="92">X63*(1-W63)</f>
        <v>6.7</v>
      </c>
      <c r="Z63" s="37">
        <v>0.42</v>
      </c>
      <c r="AA63" s="29">
        <f t="shared" ref="AA63:AA65" si="93">$J$6*$J$7*Z63</f>
        <v>0</v>
      </c>
      <c r="AB63" s="33">
        <f t="shared" ref="AB63:AB65" si="94">Z63*($J$9+$J$10)</f>
        <v>2.17266</v>
      </c>
      <c r="AC63" s="34">
        <v>0.07</v>
      </c>
      <c r="AD63" s="29">
        <f t="shared" ref="AD63:AD65" si="95">J63*AC63</f>
        <v>107.73</v>
      </c>
      <c r="AE63" s="36">
        <v>0.08</v>
      </c>
      <c r="AF63" s="29">
        <f t="shared" ref="AF63:AF65" si="96">J63*AE63</f>
        <v>123.12</v>
      </c>
      <c r="AG63" s="29">
        <f t="shared" ref="AG63:AG65" si="97">AD63+AF63</f>
        <v>230.85</v>
      </c>
      <c r="AH63" s="38">
        <f t="shared" ref="AH63:AH65" si="98">AG63/J63</f>
        <v>0.15</v>
      </c>
      <c r="AI63" s="39">
        <f t="shared" ref="AI63:AI65" si="99">J63-Q63-R63-S63-T63-U63-V63-Y63-AA63-AB63-O63-AN63-AO63</f>
        <v>283.24084</v>
      </c>
      <c r="AJ63" s="40">
        <f t="shared" ref="AJ63:AJ65" si="100">AI63-AG63</f>
        <v>52.39084</v>
      </c>
      <c r="AK63" s="41">
        <f t="shared" ref="AK63:AK65" si="101">AJ63/J63</f>
        <v>0.03404213125</v>
      </c>
      <c r="AL63" s="42">
        <f t="shared" ref="AL63:AL65" si="102">AJ63/O63</f>
        <v>0.1997591795</v>
      </c>
      <c r="AM63" s="29">
        <f t="shared" ref="AM63:AM65" si="103">(R63+T63+Y63+AA63+AB63+O63+AN63)/(1-(P63+$J$4+(1-K63)*$J$3+$J$8+$J$11+AC63+AE63))</f>
        <v>1349.521374</v>
      </c>
      <c r="AN63" s="29">
        <f t="shared" ref="AN63:AN65" si="104">$J$12</f>
        <v>10</v>
      </c>
      <c r="AO63" s="29">
        <f t="shared" ref="AO63:AO65" si="105">J63*$J$11</f>
        <v>46.17</v>
      </c>
    </row>
    <row r="64" ht="28.5" customHeight="1">
      <c r="A64" s="50">
        <v>5.358217452E9</v>
      </c>
      <c r="B64" s="21" t="s">
        <v>105</v>
      </c>
      <c r="C64" s="51" t="s">
        <v>51</v>
      </c>
      <c r="D64" s="23"/>
      <c r="E64" s="24"/>
      <c r="F64" s="29">
        <v>1241.0</v>
      </c>
      <c r="G64" s="26">
        <v>1030.0</v>
      </c>
      <c r="H64" s="26">
        <v>153.0</v>
      </c>
      <c r="I64" s="26">
        <v>5.0</v>
      </c>
      <c r="J64" s="49">
        <v>1471.0</v>
      </c>
      <c r="K64" s="28">
        <v>0.45</v>
      </c>
      <c r="L64" s="30">
        <f t="shared" si="85"/>
        <v>809.05</v>
      </c>
      <c r="M64" s="31">
        <v>185.86</v>
      </c>
      <c r="N64" s="32">
        <f t="shared" si="86"/>
        <v>60</v>
      </c>
      <c r="O64" s="33">
        <f t="shared" si="87"/>
        <v>245.86</v>
      </c>
      <c r="P64" s="34">
        <v>0.47</v>
      </c>
      <c r="Q64" s="29">
        <f t="shared" si="88"/>
        <v>691.37</v>
      </c>
      <c r="R64" s="35">
        <v>67.0</v>
      </c>
      <c r="S64" s="29">
        <f t="shared" si="89"/>
        <v>29.42</v>
      </c>
      <c r="T64" s="35">
        <v>25.0</v>
      </c>
      <c r="U64" s="29">
        <f t="shared" si="90"/>
        <v>22.065</v>
      </c>
      <c r="V64" s="29">
        <f t="shared" si="91"/>
        <v>56.6335</v>
      </c>
      <c r="W64" s="36">
        <v>0.9</v>
      </c>
      <c r="X64" s="35">
        <v>67.0</v>
      </c>
      <c r="Y64" s="29">
        <f t="shared" si="92"/>
        <v>6.7</v>
      </c>
      <c r="Z64" s="37">
        <v>0.57</v>
      </c>
      <c r="AA64" s="29">
        <f t="shared" si="93"/>
        <v>0</v>
      </c>
      <c r="AB64" s="33">
        <f t="shared" si="94"/>
        <v>2.94861</v>
      </c>
      <c r="AC64" s="34">
        <v>0.07</v>
      </c>
      <c r="AD64" s="29">
        <f t="shared" si="95"/>
        <v>102.97</v>
      </c>
      <c r="AE64" s="36">
        <v>0.08</v>
      </c>
      <c r="AF64" s="29">
        <f t="shared" si="96"/>
        <v>117.68</v>
      </c>
      <c r="AG64" s="29">
        <f t="shared" si="97"/>
        <v>220.65</v>
      </c>
      <c r="AH64" s="38">
        <f t="shared" si="98"/>
        <v>0.15</v>
      </c>
      <c r="AI64" s="39">
        <f t="shared" si="99"/>
        <v>269.87289</v>
      </c>
      <c r="AJ64" s="40">
        <f t="shared" si="100"/>
        <v>49.22289</v>
      </c>
      <c r="AK64" s="41">
        <f t="shared" si="101"/>
        <v>0.03346219579</v>
      </c>
      <c r="AL64" s="42">
        <f t="shared" si="102"/>
        <v>0.2002069877</v>
      </c>
      <c r="AM64" s="29">
        <f t="shared" si="103"/>
        <v>1292.978698</v>
      </c>
      <c r="AN64" s="29">
        <f t="shared" si="104"/>
        <v>10</v>
      </c>
      <c r="AO64" s="29">
        <f t="shared" si="105"/>
        <v>44.13</v>
      </c>
    </row>
    <row r="65" ht="28.5" customHeight="1">
      <c r="A65" s="50">
        <v>5.358217202E9</v>
      </c>
      <c r="B65" s="21" t="s">
        <v>106</v>
      </c>
      <c r="C65" s="51" t="s">
        <v>51</v>
      </c>
      <c r="D65" s="23"/>
      <c r="E65" s="24"/>
      <c r="F65" s="29">
        <v>1814.0</v>
      </c>
      <c r="G65" s="26">
        <v>1040.0</v>
      </c>
      <c r="H65" s="26">
        <v>49.0</v>
      </c>
      <c r="I65" s="26">
        <v>4.0</v>
      </c>
      <c r="J65" s="49">
        <v>1539.0</v>
      </c>
      <c r="K65" s="28">
        <v>0.45</v>
      </c>
      <c r="L65" s="30">
        <f t="shared" si="85"/>
        <v>846.45</v>
      </c>
      <c r="M65" s="31">
        <v>202.27</v>
      </c>
      <c r="N65" s="32">
        <f t="shared" si="86"/>
        <v>60</v>
      </c>
      <c r="O65" s="33">
        <f t="shared" si="87"/>
        <v>262.27</v>
      </c>
      <c r="P65" s="34">
        <v>0.47</v>
      </c>
      <c r="Q65" s="29">
        <f t="shared" si="88"/>
        <v>723.33</v>
      </c>
      <c r="R65" s="35">
        <v>67.0</v>
      </c>
      <c r="S65" s="29">
        <f t="shared" si="89"/>
        <v>30.78</v>
      </c>
      <c r="T65" s="35">
        <v>25.0</v>
      </c>
      <c r="U65" s="29">
        <f t="shared" si="90"/>
        <v>23.085</v>
      </c>
      <c r="V65" s="29">
        <f t="shared" si="91"/>
        <v>59.2515</v>
      </c>
      <c r="W65" s="36">
        <v>0.9</v>
      </c>
      <c r="X65" s="35">
        <v>67.0</v>
      </c>
      <c r="Y65" s="29">
        <f t="shared" si="92"/>
        <v>6.7</v>
      </c>
      <c r="Z65" s="37">
        <v>0.42</v>
      </c>
      <c r="AA65" s="29">
        <f t="shared" si="93"/>
        <v>0</v>
      </c>
      <c r="AB65" s="33">
        <f t="shared" si="94"/>
        <v>2.17266</v>
      </c>
      <c r="AC65" s="34">
        <v>0.07</v>
      </c>
      <c r="AD65" s="29">
        <f t="shared" si="95"/>
        <v>107.73</v>
      </c>
      <c r="AE65" s="36">
        <v>0.08</v>
      </c>
      <c r="AF65" s="29">
        <f t="shared" si="96"/>
        <v>123.12</v>
      </c>
      <c r="AG65" s="29">
        <f t="shared" si="97"/>
        <v>230.85</v>
      </c>
      <c r="AH65" s="38">
        <f t="shared" si="98"/>
        <v>0.15</v>
      </c>
      <c r="AI65" s="39">
        <f t="shared" si="99"/>
        <v>283.24084</v>
      </c>
      <c r="AJ65" s="40">
        <f t="shared" si="100"/>
        <v>52.39084</v>
      </c>
      <c r="AK65" s="41">
        <f t="shared" si="101"/>
        <v>0.03404213125</v>
      </c>
      <c r="AL65" s="42">
        <f t="shared" si="102"/>
        <v>0.1997591795</v>
      </c>
      <c r="AM65" s="29">
        <f t="shared" si="103"/>
        <v>1349.521374</v>
      </c>
      <c r="AN65" s="29">
        <f t="shared" si="104"/>
        <v>10</v>
      </c>
      <c r="AO65" s="29">
        <f t="shared" si="105"/>
        <v>46.17</v>
      </c>
    </row>
    <row r="66" ht="14.25" customHeight="1">
      <c r="A66" s="17"/>
      <c r="B66" s="18" t="s">
        <v>107</v>
      </c>
      <c r="C66" s="18"/>
      <c r="D66" s="19"/>
      <c r="E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</row>
    <row r="67" ht="14.25" customHeight="1">
      <c r="A67" s="43"/>
      <c r="B67" s="44" t="s">
        <v>108</v>
      </c>
      <c r="C67" s="44"/>
      <c r="D67" s="45"/>
      <c r="E67" s="45"/>
      <c r="F67" s="29">
        <v>1350.0</v>
      </c>
      <c r="G67" s="29"/>
      <c r="H67" s="29"/>
      <c r="I67" s="29"/>
      <c r="J67" s="29"/>
      <c r="K67" s="46"/>
      <c r="L67" s="30"/>
      <c r="M67" s="32"/>
      <c r="N67" s="32"/>
      <c r="O67" s="33"/>
      <c r="P67" s="47"/>
      <c r="Q67" s="29"/>
      <c r="R67" s="29"/>
      <c r="S67" s="29"/>
      <c r="T67" s="29"/>
      <c r="U67" s="29"/>
      <c r="V67" s="29"/>
      <c r="W67" s="41"/>
      <c r="X67" s="29"/>
      <c r="Y67" s="29"/>
      <c r="Z67" s="48"/>
      <c r="AA67" s="29"/>
      <c r="AB67" s="33"/>
      <c r="AC67" s="47"/>
      <c r="AD67" s="29"/>
      <c r="AE67" s="41"/>
      <c r="AF67" s="29"/>
      <c r="AG67" s="29"/>
      <c r="AH67" s="38"/>
      <c r="AI67" s="39"/>
      <c r="AJ67" s="29"/>
      <c r="AK67" s="41"/>
      <c r="AL67" s="41"/>
      <c r="AM67" s="29"/>
      <c r="AN67" s="29"/>
      <c r="AO67" s="29"/>
    </row>
    <row r="68" ht="14.25" customHeight="1">
      <c r="A68" s="17"/>
      <c r="B68" s="18" t="s">
        <v>109</v>
      </c>
      <c r="C68" s="18"/>
      <c r="D68" s="19"/>
      <c r="E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</row>
    <row r="69" ht="28.5" customHeight="1">
      <c r="A69" s="3"/>
      <c r="B69" s="21" t="s">
        <v>110</v>
      </c>
      <c r="C69" s="22" t="s">
        <v>51</v>
      </c>
      <c r="D69" s="23"/>
      <c r="E69" s="24"/>
      <c r="F69" s="29">
        <v>1296.0</v>
      </c>
      <c r="G69" s="26">
        <v>1140.0</v>
      </c>
      <c r="H69" s="26">
        <v>131.0</v>
      </c>
      <c r="I69" s="26">
        <v>0.0</v>
      </c>
      <c r="J69" s="49">
        <v>1823.0</v>
      </c>
      <c r="K69" s="28">
        <v>0.45</v>
      </c>
      <c r="L69" s="30">
        <f t="shared" ref="L69:L72" si="106">J69*(1-K69)</f>
        <v>1002.65</v>
      </c>
      <c r="M69" s="31">
        <v>265.36</v>
      </c>
      <c r="N69" s="32">
        <f t="shared" ref="N69:N72" si="107">$J$5</f>
        <v>60</v>
      </c>
      <c r="O69" s="33">
        <f t="shared" ref="O69:O72" si="108">M69+N69</f>
        <v>325.36</v>
      </c>
      <c r="P69" s="34">
        <v>0.47</v>
      </c>
      <c r="Q69" s="29">
        <f t="shared" ref="Q69:Q72" si="109">J69*P69</f>
        <v>856.81</v>
      </c>
      <c r="R69" s="35">
        <v>67.0</v>
      </c>
      <c r="S69" s="29">
        <f t="shared" ref="S69:S72" si="110">J69*$J$8</f>
        <v>36.46</v>
      </c>
      <c r="T69" s="35">
        <v>25.0</v>
      </c>
      <c r="U69" s="29">
        <f t="shared" ref="U69:U72" si="111">J69*$J$4</f>
        <v>27.345</v>
      </c>
      <c r="V69" s="29">
        <f t="shared" ref="V69:V72" si="112">L69*$J$3</f>
        <v>70.1855</v>
      </c>
      <c r="W69" s="36">
        <v>0.9</v>
      </c>
      <c r="X69" s="35">
        <v>67.0</v>
      </c>
      <c r="Y69" s="29">
        <f t="shared" ref="Y69:Y72" si="113">X69*(1-W69)</f>
        <v>6.7</v>
      </c>
      <c r="Z69" s="37">
        <v>0.93</v>
      </c>
      <c r="AA69" s="29">
        <f t="shared" ref="AA69:AA72" si="114">$J$6*$J$7*Z69</f>
        <v>0</v>
      </c>
      <c r="AB69" s="33">
        <f t="shared" ref="AB69:AB72" si="115">Z69*($J$9+$J$10)</f>
        <v>4.81089</v>
      </c>
      <c r="AC69" s="34">
        <v>0.07</v>
      </c>
      <c r="AD69" s="29">
        <f t="shared" ref="AD69:AD72" si="116">J69*AC69</f>
        <v>127.61</v>
      </c>
      <c r="AE69" s="36">
        <v>0.08</v>
      </c>
      <c r="AF69" s="29">
        <f t="shared" ref="AF69:AF72" si="117">J69*AE69</f>
        <v>145.84</v>
      </c>
      <c r="AG69" s="29">
        <f t="shared" ref="AG69:AG72" si="118">AD69+AF69</f>
        <v>273.45</v>
      </c>
      <c r="AH69" s="38">
        <f t="shared" ref="AH69:AH72" si="119">AG69/J69</f>
        <v>0.15</v>
      </c>
      <c r="AI69" s="39">
        <f t="shared" ref="AI69:AI72" si="120">J69-Q69-R69-S69-T69-U69-V69-Y69-AA69-AB69-O69-AN69-AO69</f>
        <v>338.63861</v>
      </c>
      <c r="AJ69" s="40">
        <f t="shared" ref="AJ69:AJ72" si="121">AI69-AG69</f>
        <v>65.18861</v>
      </c>
      <c r="AK69" s="41">
        <f t="shared" ref="AK69:AK72" si="122">AJ69/J69</f>
        <v>0.03575897422</v>
      </c>
      <c r="AL69" s="42">
        <f t="shared" ref="AL69:AL72" si="123">AJ69/O69</f>
        <v>0.200358403</v>
      </c>
      <c r="AM69" s="29">
        <f t="shared" ref="AM69:AM72" si="124">(R69+T69+Y69+AA69+AB69+O69+AN69)/(1-(P69+$J$4+(1-K69)*$J$3+$J$8+$J$11+AC69+AE69))</f>
        <v>1587.236492</v>
      </c>
      <c r="AN69" s="29">
        <f t="shared" ref="AN69:AN72" si="125">$J$12</f>
        <v>10</v>
      </c>
      <c r="AO69" s="29">
        <f t="shared" ref="AO69:AO72" si="126">J69*$J$11</f>
        <v>54.69</v>
      </c>
    </row>
    <row r="70" ht="28.5" customHeight="1">
      <c r="A70" s="3"/>
      <c r="B70" s="21" t="s">
        <v>111</v>
      </c>
      <c r="C70" s="22" t="s">
        <v>51</v>
      </c>
      <c r="D70" s="23"/>
      <c r="E70" s="24"/>
      <c r="F70" s="29">
        <v>1468.0</v>
      </c>
      <c r="G70" s="26">
        <v>1140.0</v>
      </c>
      <c r="H70" s="26">
        <v>191.0</v>
      </c>
      <c r="I70" s="26">
        <v>0.0</v>
      </c>
      <c r="J70" s="49">
        <v>1823.0</v>
      </c>
      <c r="K70" s="28">
        <v>0.45</v>
      </c>
      <c r="L70" s="30">
        <f t="shared" si="106"/>
        <v>1002.65</v>
      </c>
      <c r="M70" s="31">
        <v>265.36</v>
      </c>
      <c r="N70" s="32">
        <f t="shared" si="107"/>
        <v>60</v>
      </c>
      <c r="O70" s="33">
        <f t="shared" si="108"/>
        <v>325.36</v>
      </c>
      <c r="P70" s="34">
        <v>0.47</v>
      </c>
      <c r="Q70" s="29">
        <f t="shared" si="109"/>
        <v>856.81</v>
      </c>
      <c r="R70" s="35">
        <v>67.0</v>
      </c>
      <c r="S70" s="29">
        <f t="shared" si="110"/>
        <v>36.46</v>
      </c>
      <c r="T70" s="35">
        <v>25.0</v>
      </c>
      <c r="U70" s="29">
        <f t="shared" si="111"/>
        <v>27.345</v>
      </c>
      <c r="V70" s="29">
        <f t="shared" si="112"/>
        <v>70.1855</v>
      </c>
      <c r="W70" s="36">
        <v>0.9</v>
      </c>
      <c r="X70" s="35">
        <v>67.0</v>
      </c>
      <c r="Y70" s="29">
        <f t="shared" si="113"/>
        <v>6.7</v>
      </c>
      <c r="Z70" s="37">
        <v>0.93</v>
      </c>
      <c r="AA70" s="29">
        <f t="shared" si="114"/>
        <v>0</v>
      </c>
      <c r="AB70" s="33">
        <f t="shared" si="115"/>
        <v>4.81089</v>
      </c>
      <c r="AC70" s="34">
        <v>0.07</v>
      </c>
      <c r="AD70" s="29">
        <f t="shared" si="116"/>
        <v>127.61</v>
      </c>
      <c r="AE70" s="36">
        <v>0.08</v>
      </c>
      <c r="AF70" s="29">
        <f t="shared" si="117"/>
        <v>145.84</v>
      </c>
      <c r="AG70" s="29">
        <f t="shared" si="118"/>
        <v>273.45</v>
      </c>
      <c r="AH70" s="38">
        <f t="shared" si="119"/>
        <v>0.15</v>
      </c>
      <c r="AI70" s="39">
        <f t="shared" si="120"/>
        <v>338.63861</v>
      </c>
      <c r="AJ70" s="40">
        <f t="shared" si="121"/>
        <v>65.18861</v>
      </c>
      <c r="AK70" s="41">
        <f t="shared" si="122"/>
        <v>0.03575897422</v>
      </c>
      <c r="AL70" s="42">
        <f t="shared" si="123"/>
        <v>0.200358403</v>
      </c>
      <c r="AM70" s="29">
        <f t="shared" si="124"/>
        <v>1587.236492</v>
      </c>
      <c r="AN70" s="29">
        <f t="shared" si="125"/>
        <v>10</v>
      </c>
      <c r="AO70" s="29">
        <f t="shared" si="126"/>
        <v>54.69</v>
      </c>
    </row>
    <row r="71" ht="28.5" customHeight="1">
      <c r="A71" s="3"/>
      <c r="B71" s="21" t="s">
        <v>112</v>
      </c>
      <c r="C71" s="22" t="s">
        <v>51</v>
      </c>
      <c r="D71" s="23"/>
      <c r="E71" s="24"/>
      <c r="F71" s="29">
        <v>424.0</v>
      </c>
      <c r="G71" s="26">
        <v>975.0</v>
      </c>
      <c r="H71" s="26">
        <v>77.0</v>
      </c>
      <c r="I71" s="26">
        <v>0.0</v>
      </c>
      <c r="J71" s="49">
        <v>1823.0</v>
      </c>
      <c r="K71" s="28">
        <v>0.45</v>
      </c>
      <c r="L71" s="30">
        <f t="shared" si="106"/>
        <v>1002.65</v>
      </c>
      <c r="M71" s="31">
        <v>265.36</v>
      </c>
      <c r="N71" s="32">
        <f t="shared" si="107"/>
        <v>60</v>
      </c>
      <c r="O71" s="33">
        <f t="shared" si="108"/>
        <v>325.36</v>
      </c>
      <c r="P71" s="34">
        <v>0.47</v>
      </c>
      <c r="Q71" s="29">
        <f t="shared" si="109"/>
        <v>856.81</v>
      </c>
      <c r="R71" s="35">
        <v>67.0</v>
      </c>
      <c r="S71" s="29">
        <f t="shared" si="110"/>
        <v>36.46</v>
      </c>
      <c r="T71" s="35">
        <v>25.0</v>
      </c>
      <c r="U71" s="29">
        <f t="shared" si="111"/>
        <v>27.345</v>
      </c>
      <c r="V71" s="29">
        <f t="shared" si="112"/>
        <v>70.1855</v>
      </c>
      <c r="W71" s="36">
        <v>0.9</v>
      </c>
      <c r="X71" s="35">
        <v>67.0</v>
      </c>
      <c r="Y71" s="29">
        <f t="shared" si="113"/>
        <v>6.7</v>
      </c>
      <c r="Z71" s="37">
        <v>0.93</v>
      </c>
      <c r="AA71" s="29">
        <f t="shared" si="114"/>
        <v>0</v>
      </c>
      <c r="AB71" s="33">
        <f t="shared" si="115"/>
        <v>4.81089</v>
      </c>
      <c r="AC71" s="34">
        <v>0.07</v>
      </c>
      <c r="AD71" s="29">
        <f t="shared" si="116"/>
        <v>127.61</v>
      </c>
      <c r="AE71" s="36">
        <v>0.08</v>
      </c>
      <c r="AF71" s="29">
        <f t="shared" si="117"/>
        <v>145.84</v>
      </c>
      <c r="AG71" s="29">
        <f t="shared" si="118"/>
        <v>273.45</v>
      </c>
      <c r="AH71" s="38">
        <f t="shared" si="119"/>
        <v>0.15</v>
      </c>
      <c r="AI71" s="39">
        <f t="shared" si="120"/>
        <v>338.63861</v>
      </c>
      <c r="AJ71" s="40">
        <f t="shared" si="121"/>
        <v>65.18861</v>
      </c>
      <c r="AK71" s="41">
        <f t="shared" si="122"/>
        <v>0.03575897422</v>
      </c>
      <c r="AL71" s="42">
        <f t="shared" si="123"/>
        <v>0.200358403</v>
      </c>
      <c r="AM71" s="29">
        <f t="shared" si="124"/>
        <v>1587.236492</v>
      </c>
      <c r="AN71" s="29">
        <f t="shared" si="125"/>
        <v>10</v>
      </c>
      <c r="AO71" s="29">
        <f t="shared" si="126"/>
        <v>54.69</v>
      </c>
    </row>
    <row r="72" ht="28.5" customHeight="1">
      <c r="A72" s="3"/>
      <c r="B72" s="21" t="s">
        <v>113</v>
      </c>
      <c r="C72" s="22" t="s">
        <v>51</v>
      </c>
      <c r="D72" s="23"/>
      <c r="E72" s="24"/>
      <c r="F72" s="29">
        <v>356.0</v>
      </c>
      <c r="G72" s="26">
        <v>1100.0</v>
      </c>
      <c r="H72" s="26">
        <v>169.0</v>
      </c>
      <c r="I72" s="26">
        <v>8.0</v>
      </c>
      <c r="J72" s="49">
        <v>1823.0</v>
      </c>
      <c r="K72" s="28">
        <v>0.45</v>
      </c>
      <c r="L72" s="30">
        <f t="shared" si="106"/>
        <v>1002.65</v>
      </c>
      <c r="M72" s="31">
        <v>265.36</v>
      </c>
      <c r="N72" s="32">
        <f t="shared" si="107"/>
        <v>60</v>
      </c>
      <c r="O72" s="33">
        <f t="shared" si="108"/>
        <v>325.36</v>
      </c>
      <c r="P72" s="34">
        <v>0.47</v>
      </c>
      <c r="Q72" s="29">
        <f t="shared" si="109"/>
        <v>856.81</v>
      </c>
      <c r="R72" s="35">
        <v>67.0</v>
      </c>
      <c r="S72" s="29">
        <f t="shared" si="110"/>
        <v>36.46</v>
      </c>
      <c r="T72" s="35">
        <v>25.0</v>
      </c>
      <c r="U72" s="29">
        <f t="shared" si="111"/>
        <v>27.345</v>
      </c>
      <c r="V72" s="29">
        <f t="shared" si="112"/>
        <v>70.1855</v>
      </c>
      <c r="W72" s="36">
        <v>0.9</v>
      </c>
      <c r="X72" s="35">
        <v>67.0</v>
      </c>
      <c r="Y72" s="29">
        <f t="shared" si="113"/>
        <v>6.7</v>
      </c>
      <c r="Z72" s="37">
        <v>0.93</v>
      </c>
      <c r="AA72" s="29">
        <f t="shared" si="114"/>
        <v>0</v>
      </c>
      <c r="AB72" s="33">
        <f t="shared" si="115"/>
        <v>4.81089</v>
      </c>
      <c r="AC72" s="34">
        <v>0.07</v>
      </c>
      <c r="AD72" s="29">
        <f t="shared" si="116"/>
        <v>127.61</v>
      </c>
      <c r="AE72" s="36">
        <v>0.08</v>
      </c>
      <c r="AF72" s="29">
        <f t="shared" si="117"/>
        <v>145.84</v>
      </c>
      <c r="AG72" s="29">
        <f t="shared" si="118"/>
        <v>273.45</v>
      </c>
      <c r="AH72" s="38">
        <f t="shared" si="119"/>
        <v>0.15</v>
      </c>
      <c r="AI72" s="39">
        <f t="shared" si="120"/>
        <v>338.63861</v>
      </c>
      <c r="AJ72" s="40">
        <f t="shared" si="121"/>
        <v>65.18861</v>
      </c>
      <c r="AK72" s="41">
        <f t="shared" si="122"/>
        <v>0.03575897422</v>
      </c>
      <c r="AL72" s="42">
        <f t="shared" si="123"/>
        <v>0.200358403</v>
      </c>
      <c r="AM72" s="29">
        <f t="shared" si="124"/>
        <v>1587.236492</v>
      </c>
      <c r="AN72" s="29">
        <f t="shared" si="125"/>
        <v>10</v>
      </c>
      <c r="AO72" s="29">
        <f t="shared" si="126"/>
        <v>54.69</v>
      </c>
    </row>
    <row r="73" ht="14.25" customHeight="1">
      <c r="A73" s="17"/>
      <c r="B73" s="18" t="s">
        <v>114</v>
      </c>
      <c r="C73" s="18"/>
      <c r="D73" s="19"/>
      <c r="E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</row>
    <row r="74" ht="28.5" customHeight="1">
      <c r="A74" s="3"/>
      <c r="B74" s="21" t="s">
        <v>115</v>
      </c>
      <c r="C74" s="22" t="s">
        <v>51</v>
      </c>
      <c r="D74" s="23"/>
      <c r="E74" s="24"/>
      <c r="F74" s="29">
        <v>1039.0</v>
      </c>
      <c r="G74" s="26">
        <v>2340.0</v>
      </c>
      <c r="H74" s="26" t="s">
        <v>116</v>
      </c>
      <c r="I74" s="26">
        <v>4.0</v>
      </c>
      <c r="J74" s="49">
        <v>2707.0</v>
      </c>
      <c r="K74" s="28">
        <v>0.45</v>
      </c>
      <c r="L74" s="30">
        <f>J74*(1-K74)</f>
        <v>1488.85</v>
      </c>
      <c r="M74" s="31">
        <v>463.2</v>
      </c>
      <c r="N74" s="32">
        <f>$J$5</f>
        <v>60</v>
      </c>
      <c r="O74" s="33">
        <f>M74+N74</f>
        <v>523.2</v>
      </c>
      <c r="P74" s="34">
        <v>0.47</v>
      </c>
      <c r="Q74" s="29">
        <f>J74*P74</f>
        <v>1272.29</v>
      </c>
      <c r="R74" s="35">
        <v>72.0</v>
      </c>
      <c r="S74" s="29">
        <f>J74*$J$8</f>
        <v>54.14</v>
      </c>
      <c r="T74" s="35">
        <v>25.0</v>
      </c>
      <c r="U74" s="29">
        <f>J74*$J$4</f>
        <v>40.605</v>
      </c>
      <c r="V74" s="29">
        <f>L74*$J$3</f>
        <v>104.2195</v>
      </c>
      <c r="W74" s="36">
        <v>0.9</v>
      </c>
      <c r="X74" s="35">
        <v>72.0</v>
      </c>
      <c r="Y74" s="29">
        <f>X74*(1-W74)</f>
        <v>7.2</v>
      </c>
      <c r="Z74" s="37">
        <v>1.25</v>
      </c>
      <c r="AA74" s="29">
        <f>$J$6*$J$7*Z74</f>
        <v>0</v>
      </c>
      <c r="AB74" s="33">
        <f>Z74*($J$9+$J$10)</f>
        <v>6.46625</v>
      </c>
      <c r="AC74" s="34">
        <v>0.07</v>
      </c>
      <c r="AD74" s="29">
        <f>J74*AC74</f>
        <v>189.49</v>
      </c>
      <c r="AE74" s="36">
        <v>0.08</v>
      </c>
      <c r="AF74" s="29">
        <f>J74*AE74</f>
        <v>216.56</v>
      </c>
      <c r="AG74" s="29">
        <f>AD74+AF74</f>
        <v>406.05</v>
      </c>
      <c r="AH74" s="38">
        <f>AG74/J74</f>
        <v>0.15</v>
      </c>
      <c r="AI74" s="39">
        <f>J74-Q74-R74-S74-T74-U74-V74-Y74-AA74-AB74-O74-AN74-AO74</f>
        <v>510.66925</v>
      </c>
      <c r="AJ74" s="40">
        <f>AI74-AG74</f>
        <v>104.61925</v>
      </c>
      <c r="AK74" s="41">
        <f>AJ74/J74</f>
        <v>0.0386476727</v>
      </c>
      <c r="AL74" s="42">
        <f>AJ74/O74</f>
        <v>0.1999603402</v>
      </c>
      <c r="AM74" s="29">
        <f>(R74+T74+Y74+AA74+AB74+O74+AN74)/(1-(P74+$J$4+(1-K74)*$J$3+$J$8+$J$11+AC74+AE74))</f>
        <v>2328.630199</v>
      </c>
      <c r="AN74" s="29">
        <f>$J$12</f>
        <v>10</v>
      </c>
      <c r="AO74" s="29">
        <f>J74*$J$11</f>
        <v>81.21</v>
      </c>
    </row>
    <row r="75" ht="14.25" customHeight="1">
      <c r="A75" s="17"/>
      <c r="B75" s="18" t="s">
        <v>117</v>
      </c>
      <c r="C75" s="18"/>
      <c r="D75" s="19"/>
      <c r="E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</row>
    <row r="76" ht="14.25" customHeight="1">
      <c r="A76" s="3"/>
      <c r="B76" s="21" t="s">
        <v>118</v>
      </c>
      <c r="C76" s="22" t="s">
        <v>51</v>
      </c>
      <c r="D76" s="23"/>
      <c r="E76" s="24" t="s">
        <v>119</v>
      </c>
      <c r="F76" s="29">
        <v>835.0</v>
      </c>
      <c r="G76" s="26"/>
      <c r="H76" s="26"/>
      <c r="I76" s="26"/>
      <c r="J76" s="49">
        <v>2707.0</v>
      </c>
      <c r="K76" s="28">
        <v>0.45</v>
      </c>
      <c r="L76" s="30">
        <f>J76*(1-K76)</f>
        <v>1488.85</v>
      </c>
      <c r="M76" s="31">
        <v>463.2</v>
      </c>
      <c r="N76" s="32">
        <f>$J$5</f>
        <v>60</v>
      </c>
      <c r="O76" s="33">
        <f>M76+N76</f>
        <v>523.2</v>
      </c>
      <c r="P76" s="34">
        <v>0.47</v>
      </c>
      <c r="Q76" s="29">
        <f>J76*P76</f>
        <v>1272.29</v>
      </c>
      <c r="R76" s="35">
        <v>72.0</v>
      </c>
      <c r="S76" s="29">
        <f>J76*$J$8</f>
        <v>54.14</v>
      </c>
      <c r="T76" s="35">
        <v>25.0</v>
      </c>
      <c r="U76" s="29">
        <f>J76*$J$4</f>
        <v>40.605</v>
      </c>
      <c r="V76" s="29">
        <f>L76*$J$3</f>
        <v>104.2195</v>
      </c>
      <c r="W76" s="36">
        <v>0.9</v>
      </c>
      <c r="X76" s="35">
        <v>72.0</v>
      </c>
      <c r="Y76" s="29">
        <f>X76*(1-W76)</f>
        <v>7.2</v>
      </c>
      <c r="Z76" s="37">
        <v>1.25</v>
      </c>
      <c r="AA76" s="29">
        <f>$J$6*$J$7*Z76</f>
        <v>0</v>
      </c>
      <c r="AB76" s="33">
        <f>Z76*($J$9+$J$10)</f>
        <v>6.46625</v>
      </c>
      <c r="AC76" s="34">
        <v>0.07</v>
      </c>
      <c r="AD76" s="29">
        <f>J76*AC76</f>
        <v>189.49</v>
      </c>
      <c r="AE76" s="36">
        <v>0.08</v>
      </c>
      <c r="AF76" s="29">
        <f>J76*AE76</f>
        <v>216.56</v>
      </c>
      <c r="AG76" s="29">
        <f>AD76+AF76</f>
        <v>406.05</v>
      </c>
      <c r="AH76" s="38">
        <f>AG76/J76</f>
        <v>0.15</v>
      </c>
      <c r="AI76" s="39">
        <f>J76-Q76-R76-S76-T76-U76-V76-Y76-AA76-AB76-O76-AN76-AO76</f>
        <v>510.66925</v>
      </c>
      <c r="AJ76" s="40">
        <f>AI76-AG76</f>
        <v>104.61925</v>
      </c>
      <c r="AK76" s="41">
        <f>AJ76/J76</f>
        <v>0.0386476727</v>
      </c>
      <c r="AL76" s="42">
        <f>AJ76/O76</f>
        <v>0.1999603402</v>
      </c>
      <c r="AM76" s="29">
        <f>(R76+T76+Y76+AA76+AB76+O76+AN76)/(1-(P76+$J$4+(1-K76)*$J$3+$J$8+$J$11+AC76+AE76))</f>
        <v>2328.630199</v>
      </c>
      <c r="AN76" s="29">
        <f>$J$12</f>
        <v>10</v>
      </c>
      <c r="AO76" s="29">
        <f>J76*$J$11</f>
        <v>81.21</v>
      </c>
    </row>
    <row r="77" ht="14.25" customHeight="1">
      <c r="A77" s="17"/>
      <c r="B77" s="18" t="s">
        <v>121</v>
      </c>
      <c r="C77" s="18"/>
      <c r="D77" s="19"/>
      <c r="E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</row>
    <row r="78" ht="28.5" customHeight="1">
      <c r="A78" s="3"/>
      <c r="B78" s="21" t="s">
        <v>122</v>
      </c>
      <c r="C78" s="22" t="s">
        <v>51</v>
      </c>
      <c r="D78" s="23"/>
      <c r="E78" s="24"/>
      <c r="F78" s="29">
        <v>410.0</v>
      </c>
      <c r="G78" s="26">
        <v>667.0</v>
      </c>
      <c r="H78" s="26">
        <v>1738.0</v>
      </c>
      <c r="I78" s="26">
        <v>22.0</v>
      </c>
      <c r="J78" s="49">
        <v>1112.0</v>
      </c>
      <c r="K78" s="28">
        <v>0.45</v>
      </c>
      <c r="L78" s="30">
        <f>J78*(1-K78)</f>
        <v>611.6</v>
      </c>
      <c r="M78" s="31">
        <v>108.15</v>
      </c>
      <c r="N78" s="32">
        <f>$J$5</f>
        <v>60</v>
      </c>
      <c r="O78" s="33">
        <f>M78+N78</f>
        <v>168.15</v>
      </c>
      <c r="P78" s="34">
        <v>0.47</v>
      </c>
      <c r="Q78" s="29">
        <f>J78*P78</f>
        <v>522.64</v>
      </c>
      <c r="R78" s="35">
        <v>63.0</v>
      </c>
      <c r="S78" s="29">
        <f>J78*$J$8</f>
        <v>22.24</v>
      </c>
      <c r="T78" s="35">
        <v>25.0</v>
      </c>
      <c r="U78" s="29">
        <f>J78*$J$4</f>
        <v>16.68</v>
      </c>
      <c r="V78" s="29">
        <f>L78*$J$3</f>
        <v>42.812</v>
      </c>
      <c r="W78" s="36">
        <v>0.9</v>
      </c>
      <c r="X78" s="35">
        <v>63.0</v>
      </c>
      <c r="Y78" s="29">
        <f>X78*(1-W78)</f>
        <v>6.3</v>
      </c>
      <c r="Z78" s="37">
        <v>0.27</v>
      </c>
      <c r="AA78" s="29">
        <f>$J$6*$J$7*Z78</f>
        <v>0</v>
      </c>
      <c r="AB78" s="33">
        <f>Z78*($J$9+$J$10)</f>
        <v>1.39671</v>
      </c>
      <c r="AC78" s="34">
        <v>0.07</v>
      </c>
      <c r="AD78" s="29">
        <f>J78*AC78</f>
        <v>77.84</v>
      </c>
      <c r="AE78" s="36">
        <v>0.08</v>
      </c>
      <c r="AF78" s="29">
        <f>J78*AE78</f>
        <v>88.96</v>
      </c>
      <c r="AG78" s="29">
        <f>AD78+AF78</f>
        <v>166.8</v>
      </c>
      <c r="AH78" s="38">
        <f>AG78/J78</f>
        <v>0.15</v>
      </c>
      <c r="AI78" s="39">
        <f>J78-Q78-R78-S78-T78-U78-V78-Y78-AA78-AB78-O78-AN78-AO78</f>
        <v>200.42129</v>
      </c>
      <c r="AJ78" s="40">
        <f>AI78-AG78</f>
        <v>33.62129</v>
      </c>
      <c r="AK78" s="41">
        <f>AJ78/J78</f>
        <v>0.03023497302</v>
      </c>
      <c r="AL78" s="42">
        <f>AJ78/O78</f>
        <v>0.199948201</v>
      </c>
      <c r="AM78" s="29">
        <f>(R78+T78+Y78+AA78+AB78+O78+AN78)/(1-(P78+$J$4+(1-K78)*$J$3+$J$8+$J$11+AC78+AE78))</f>
        <v>990.4040145</v>
      </c>
      <c r="AN78" s="29">
        <f>$J$12</f>
        <v>10</v>
      </c>
      <c r="AO78" s="29">
        <f>J78*$J$11</f>
        <v>33.36</v>
      </c>
    </row>
    <row r="79" ht="15.75" customHeight="1">
      <c r="A79" s="17"/>
      <c r="B79" s="18" t="s">
        <v>123</v>
      </c>
      <c r="C79" s="18"/>
      <c r="D79" s="19"/>
      <c r="E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</row>
    <row r="80" ht="14.25" customHeight="1">
      <c r="A80" s="3"/>
      <c r="B80" s="21" t="s">
        <v>124</v>
      </c>
      <c r="C80" s="21" t="s">
        <v>51</v>
      </c>
      <c r="D80" s="23"/>
      <c r="E80" s="24"/>
      <c r="F80" s="29">
        <v>341.0</v>
      </c>
      <c r="G80" s="26">
        <v>1470.0</v>
      </c>
      <c r="H80" s="26">
        <v>568.0</v>
      </c>
      <c r="I80" s="26">
        <v>10.0</v>
      </c>
      <c r="J80" s="49">
        <v>1182.0</v>
      </c>
      <c r="K80" s="28">
        <v>0.45</v>
      </c>
      <c r="L80" s="30">
        <f>J80*(1-K80)</f>
        <v>650.1</v>
      </c>
      <c r="M80" s="31">
        <v>130.86</v>
      </c>
      <c r="N80" s="32">
        <f>$J$5</f>
        <v>60</v>
      </c>
      <c r="O80" s="33">
        <f>M80+N80</f>
        <v>190.86</v>
      </c>
      <c r="P80" s="34">
        <v>0.47</v>
      </c>
      <c r="Q80" s="29">
        <f>J80*P80</f>
        <v>555.54</v>
      </c>
      <c r="R80" s="35">
        <v>56.0</v>
      </c>
      <c r="S80" s="29">
        <f>J80*$J$8</f>
        <v>23.64</v>
      </c>
      <c r="T80" s="35">
        <v>25.0</v>
      </c>
      <c r="U80" s="29">
        <f>J80*$J$4</f>
        <v>17.73</v>
      </c>
      <c r="V80" s="29">
        <f>L80*$J$3</f>
        <v>45.507</v>
      </c>
      <c r="W80" s="36">
        <v>0.9</v>
      </c>
      <c r="X80" s="35">
        <v>56.0</v>
      </c>
      <c r="Y80" s="29">
        <f>X80*(1-W80)</f>
        <v>5.6</v>
      </c>
      <c r="Z80" s="37">
        <v>0.2</v>
      </c>
      <c r="AA80" s="29">
        <f>$J$6*$J$7*Z80</f>
        <v>0</v>
      </c>
      <c r="AB80" s="33">
        <f>Z80*($J$9+$J$10)</f>
        <v>1.0346</v>
      </c>
      <c r="AC80" s="34">
        <v>0.07</v>
      </c>
      <c r="AD80" s="29">
        <f>J80*AC80</f>
        <v>82.74</v>
      </c>
      <c r="AE80" s="36">
        <v>0.08</v>
      </c>
      <c r="AF80" s="29">
        <f>J80*AE80</f>
        <v>94.56</v>
      </c>
      <c r="AG80" s="29">
        <f>AD80+AF80</f>
        <v>177.3</v>
      </c>
      <c r="AH80" s="38">
        <f>AG80/J80</f>
        <v>0.15</v>
      </c>
      <c r="AI80" s="39">
        <f>J80-Q80-R80-S80-T80-U80-V80-Y80-AA80-AB80-O80-AN80-AO80</f>
        <v>215.6284</v>
      </c>
      <c r="AJ80" s="40">
        <f>AI80-AG80</f>
        <v>38.3284</v>
      </c>
      <c r="AK80" s="41">
        <f>AJ80/J80</f>
        <v>0.03242673435</v>
      </c>
      <c r="AL80" s="42">
        <f>AJ80/O80</f>
        <v>0.2008194488</v>
      </c>
      <c r="AM80" s="29">
        <f>(R80+T80+Y80+AA80+AB80+O80+AN80)/(1-(P80+$J$4+(1-K80)*$J$3+$J$8+$J$11+AC80+AE80))</f>
        <v>1043.380108</v>
      </c>
      <c r="AN80" s="29">
        <f>$J$12</f>
        <v>10</v>
      </c>
      <c r="AO80" s="29">
        <f>J80*$J$11</f>
        <v>35.46</v>
      </c>
    </row>
    <row r="81" ht="14.25" customHeight="1">
      <c r="A81" s="17"/>
      <c r="B81" s="18" t="s">
        <v>125</v>
      </c>
      <c r="C81" s="18"/>
      <c r="D81" s="19"/>
      <c r="E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</row>
    <row r="82" ht="28.5" customHeight="1">
      <c r="A82" s="50">
        <v>5.368879752E9</v>
      </c>
      <c r="B82" s="21" t="s">
        <v>126</v>
      </c>
      <c r="C82" s="51"/>
      <c r="D82" s="23"/>
      <c r="E82" s="24"/>
      <c r="F82" s="29">
        <v>1473.0</v>
      </c>
      <c r="G82" s="26">
        <v>5800.0</v>
      </c>
      <c r="H82" s="26">
        <v>152.0</v>
      </c>
      <c r="I82" s="26">
        <v>0.0</v>
      </c>
      <c r="J82" s="26">
        <f t="shared" ref="J82:J87" si="127">(1.25*O82+R82+T82+Y82+AA82+AB82+AN82)/(1-P82-$J$8-$J$4-(1-K82)*$J$3-$J$11-AC82-AE82)</f>
        <v>3467.667729</v>
      </c>
      <c r="K82" s="28">
        <v>0.45</v>
      </c>
      <c r="L82" s="30">
        <f t="shared" ref="L82:L87" si="128">J82*(1-K82)</f>
        <v>1907.217251</v>
      </c>
      <c r="M82" s="31">
        <v>899.78</v>
      </c>
      <c r="N82" s="32">
        <f t="shared" ref="N82:N87" si="129">$J$5</f>
        <v>60</v>
      </c>
      <c r="O82" s="33">
        <f t="shared" ref="O82:O87" si="130">M82+N82</f>
        <v>959.78</v>
      </c>
      <c r="P82" s="34">
        <v>0.47</v>
      </c>
      <c r="Q82" s="29">
        <f t="shared" ref="Q82:Q87" si="131">J82*P82</f>
        <v>1629.803833</v>
      </c>
      <c r="R82" s="35">
        <v>63.0</v>
      </c>
      <c r="S82" s="29">
        <f t="shared" ref="S82:S87" si="132">J82*$J$8</f>
        <v>69.35335458</v>
      </c>
      <c r="T82" s="35">
        <v>25.0</v>
      </c>
      <c r="U82" s="29">
        <f t="shared" ref="U82:U87" si="133">J82*$J$4</f>
        <v>52.01501594</v>
      </c>
      <c r="V82" s="29">
        <f t="shared" ref="V82:V87" si="134">L82*$J$3</f>
        <v>133.5052076</v>
      </c>
      <c r="W82" s="36">
        <v>0.9</v>
      </c>
      <c r="X82" s="35">
        <v>63.0</v>
      </c>
      <c r="Y82" s="29">
        <f t="shared" ref="Y82:Y87" si="135">X82*(1-W82)</f>
        <v>6.3</v>
      </c>
      <c r="Z82" s="37">
        <v>0.3</v>
      </c>
      <c r="AA82" s="29">
        <f t="shared" ref="AA82:AA87" si="136">$J$6*$J$7*Z82</f>
        <v>0</v>
      </c>
      <c r="AB82" s="33">
        <f t="shared" ref="AB82:AB87" si="137">Z82*($J$9+$J$10)</f>
        <v>1.5519</v>
      </c>
      <c r="AC82" s="34">
        <v>0.025</v>
      </c>
      <c r="AD82" s="29">
        <f t="shared" ref="AD82:AD87" si="138">J82*AC82</f>
        <v>86.69169323</v>
      </c>
      <c r="AE82" s="36">
        <v>0.025</v>
      </c>
      <c r="AF82" s="29">
        <f t="shared" ref="AF82:AF87" si="139">J82*AE82</f>
        <v>86.69169323</v>
      </c>
      <c r="AG82" s="29">
        <f t="shared" ref="AG82:AG87" si="140">AD82+AF82</f>
        <v>173.3833865</v>
      </c>
      <c r="AH82" s="38">
        <f t="shared" ref="AH82:AH87" si="141">AG82/J82</f>
        <v>0.05</v>
      </c>
      <c r="AI82" s="39">
        <f t="shared" ref="AI82:AI87" si="142">J82-Q82-R82-S82-T82-U82-V82-Y82-AA82-AB82-O82-AN82-AO82</f>
        <v>413.3283865</v>
      </c>
      <c r="AJ82" s="40">
        <f t="shared" ref="AJ82:AJ87" si="143">AI82-AG82</f>
        <v>239.945</v>
      </c>
      <c r="AK82" s="41">
        <f t="shared" ref="AK82:AK87" si="144">AJ82/J82</f>
        <v>0.06919492257</v>
      </c>
      <c r="AL82" s="42">
        <f t="shared" ref="AL82:AL87" si="145">AJ82/O82</f>
        <v>0.25</v>
      </c>
      <c r="AM82" s="29">
        <f t="shared" ref="AM82:AM87" si="146">(R82+T82+Y82+AA82+AB82+O82+AN82)/(1-(P82+$J$4+(1-K82)*$J$3+$J$8+$J$11+AC82+AE82))</f>
        <v>2830.363612</v>
      </c>
      <c r="AN82" s="29">
        <f t="shared" ref="AN82:AN87" si="147">$J$12</f>
        <v>10</v>
      </c>
      <c r="AO82" s="29">
        <f t="shared" ref="AO82:AO87" si="148">J82*$J$11</f>
        <v>104.0300319</v>
      </c>
    </row>
    <row r="83" ht="28.5" customHeight="1">
      <c r="A83" s="3"/>
      <c r="B83" s="21" t="s">
        <v>127</v>
      </c>
      <c r="C83" s="21"/>
      <c r="D83" s="23"/>
      <c r="E83" s="24" t="s">
        <v>128</v>
      </c>
      <c r="F83" s="29">
        <v>854.0</v>
      </c>
      <c r="G83" s="26">
        <v>4000.0</v>
      </c>
      <c r="H83" s="26">
        <v>163.0</v>
      </c>
      <c r="I83" s="26">
        <v>0.0</v>
      </c>
      <c r="J83" s="26">
        <f t="shared" si="127"/>
        <v>2605.897397</v>
      </c>
      <c r="K83" s="28">
        <v>0.45</v>
      </c>
      <c r="L83" s="30">
        <f t="shared" si="128"/>
        <v>1433.243568</v>
      </c>
      <c r="M83" s="31">
        <v>646.83</v>
      </c>
      <c r="N83" s="32">
        <f t="shared" si="129"/>
        <v>60</v>
      </c>
      <c r="O83" s="33">
        <f t="shared" si="130"/>
        <v>706.83</v>
      </c>
      <c r="P83" s="34">
        <v>0.47</v>
      </c>
      <c r="Q83" s="29">
        <f t="shared" si="131"/>
        <v>1224.771777</v>
      </c>
      <c r="R83" s="35">
        <v>56.0</v>
      </c>
      <c r="S83" s="29">
        <f t="shared" si="132"/>
        <v>52.11794794</v>
      </c>
      <c r="T83" s="35">
        <v>25.0</v>
      </c>
      <c r="U83" s="29">
        <f t="shared" si="133"/>
        <v>39.08846096</v>
      </c>
      <c r="V83" s="29">
        <f t="shared" si="134"/>
        <v>100.3270498</v>
      </c>
      <c r="W83" s="36">
        <v>0.9</v>
      </c>
      <c r="X83" s="35">
        <v>56.0</v>
      </c>
      <c r="Y83" s="29">
        <f t="shared" si="135"/>
        <v>5.6</v>
      </c>
      <c r="Z83" s="37">
        <v>0.19</v>
      </c>
      <c r="AA83" s="29">
        <f t="shared" si="136"/>
        <v>0</v>
      </c>
      <c r="AB83" s="33">
        <f t="shared" si="137"/>
        <v>0.98287</v>
      </c>
      <c r="AC83" s="34">
        <v>0.025</v>
      </c>
      <c r="AD83" s="29">
        <f t="shared" si="138"/>
        <v>65.14743493</v>
      </c>
      <c r="AE83" s="36">
        <v>0.025</v>
      </c>
      <c r="AF83" s="29">
        <f t="shared" si="139"/>
        <v>65.14743493</v>
      </c>
      <c r="AG83" s="29">
        <f t="shared" si="140"/>
        <v>130.2948699</v>
      </c>
      <c r="AH83" s="38">
        <f t="shared" si="141"/>
        <v>0.05</v>
      </c>
      <c r="AI83" s="39">
        <f t="shared" si="142"/>
        <v>307.0023699</v>
      </c>
      <c r="AJ83" s="40">
        <f t="shared" si="143"/>
        <v>176.7075</v>
      </c>
      <c r="AK83" s="41">
        <f t="shared" si="144"/>
        <v>0.06781061303</v>
      </c>
      <c r="AL83" s="42">
        <f t="shared" si="145"/>
        <v>0.25</v>
      </c>
      <c r="AM83" s="29">
        <f t="shared" si="146"/>
        <v>2136.554768</v>
      </c>
      <c r="AN83" s="29">
        <f t="shared" si="147"/>
        <v>10</v>
      </c>
      <c r="AO83" s="29">
        <f t="shared" si="148"/>
        <v>78.17692191</v>
      </c>
    </row>
    <row r="84" ht="28.5" customHeight="1">
      <c r="A84" s="3"/>
      <c r="B84" s="21" t="s">
        <v>129</v>
      </c>
      <c r="C84" s="21"/>
      <c r="D84" s="23"/>
      <c r="E84" s="24" t="s">
        <v>130</v>
      </c>
      <c r="F84" s="29">
        <v>756.0</v>
      </c>
      <c r="G84" s="26">
        <v>4000.0</v>
      </c>
      <c r="H84" s="26">
        <v>140.0</v>
      </c>
      <c r="I84" s="26">
        <v>0.0</v>
      </c>
      <c r="J84" s="26">
        <f t="shared" si="127"/>
        <v>2937.66409</v>
      </c>
      <c r="K84" s="28">
        <v>0.45</v>
      </c>
      <c r="L84" s="30">
        <f t="shared" si="128"/>
        <v>1615.71525</v>
      </c>
      <c r="M84" s="31">
        <v>735.34</v>
      </c>
      <c r="N84" s="32">
        <f t="shared" si="129"/>
        <v>60</v>
      </c>
      <c r="O84" s="33">
        <f t="shared" si="130"/>
        <v>795.34</v>
      </c>
      <c r="P84" s="34">
        <v>0.47</v>
      </c>
      <c r="Q84" s="29">
        <f t="shared" si="131"/>
        <v>1380.702122</v>
      </c>
      <c r="R84" s="35">
        <v>67.0</v>
      </c>
      <c r="S84" s="29">
        <f t="shared" si="132"/>
        <v>58.75328181</v>
      </c>
      <c r="T84" s="35">
        <v>25.0</v>
      </c>
      <c r="U84" s="29">
        <f t="shared" si="133"/>
        <v>44.06496135</v>
      </c>
      <c r="V84" s="29">
        <f t="shared" si="134"/>
        <v>113.1000675</v>
      </c>
      <c r="W84" s="36">
        <v>0.9</v>
      </c>
      <c r="X84" s="35">
        <v>67.0</v>
      </c>
      <c r="Y84" s="29">
        <f t="shared" si="135"/>
        <v>6.7</v>
      </c>
      <c r="Z84" s="37">
        <v>0.61</v>
      </c>
      <c r="AA84" s="29">
        <f t="shared" si="136"/>
        <v>0</v>
      </c>
      <c r="AB84" s="33">
        <f t="shared" si="137"/>
        <v>3.15553</v>
      </c>
      <c r="AC84" s="34">
        <v>0.025</v>
      </c>
      <c r="AD84" s="29">
        <f t="shared" si="138"/>
        <v>73.44160226</v>
      </c>
      <c r="AE84" s="36">
        <v>0.025</v>
      </c>
      <c r="AF84" s="29">
        <f t="shared" si="139"/>
        <v>73.44160226</v>
      </c>
      <c r="AG84" s="29">
        <f t="shared" si="140"/>
        <v>146.8832045</v>
      </c>
      <c r="AH84" s="38">
        <f t="shared" si="141"/>
        <v>0.05</v>
      </c>
      <c r="AI84" s="39">
        <f t="shared" si="142"/>
        <v>345.7182045</v>
      </c>
      <c r="AJ84" s="40">
        <f t="shared" si="143"/>
        <v>198.835</v>
      </c>
      <c r="AK84" s="41">
        <f t="shared" si="144"/>
        <v>0.06768472973</v>
      </c>
      <c r="AL84" s="42">
        <f t="shared" si="145"/>
        <v>0.25</v>
      </c>
      <c r="AM84" s="29">
        <f t="shared" si="146"/>
        <v>2409.54988</v>
      </c>
      <c r="AN84" s="29">
        <f t="shared" si="147"/>
        <v>10</v>
      </c>
      <c r="AO84" s="29">
        <f t="shared" si="148"/>
        <v>88.12992271</v>
      </c>
    </row>
    <row r="85" ht="28.5" customHeight="1">
      <c r="A85" s="3"/>
      <c r="B85" s="21" t="s">
        <v>131</v>
      </c>
      <c r="C85" s="21"/>
      <c r="D85" s="23"/>
      <c r="E85" s="24" t="s">
        <v>128</v>
      </c>
      <c r="F85" s="29">
        <v>243.0</v>
      </c>
      <c r="G85" s="26">
        <v>4000.0</v>
      </c>
      <c r="H85" s="26">
        <v>60.0</v>
      </c>
      <c r="I85" s="26">
        <v>0.0</v>
      </c>
      <c r="J85" s="26">
        <f t="shared" si="127"/>
        <v>3326.790173</v>
      </c>
      <c r="K85" s="28">
        <v>0.45</v>
      </c>
      <c r="L85" s="30">
        <f t="shared" si="128"/>
        <v>1829.734595</v>
      </c>
      <c r="M85" s="31">
        <v>853.0</v>
      </c>
      <c r="N85" s="32">
        <f t="shared" si="129"/>
        <v>60</v>
      </c>
      <c r="O85" s="33">
        <f t="shared" si="130"/>
        <v>913</v>
      </c>
      <c r="P85" s="34">
        <v>0.47</v>
      </c>
      <c r="Q85" s="29">
        <f t="shared" si="131"/>
        <v>1563.591381</v>
      </c>
      <c r="R85" s="35">
        <v>67.0</v>
      </c>
      <c r="S85" s="29">
        <f t="shared" si="132"/>
        <v>66.53580345</v>
      </c>
      <c r="T85" s="35">
        <v>25.0</v>
      </c>
      <c r="U85" s="29">
        <f t="shared" si="133"/>
        <v>49.90185259</v>
      </c>
      <c r="V85" s="29">
        <f t="shared" si="134"/>
        <v>128.0814216</v>
      </c>
      <c r="W85" s="36">
        <v>0.9</v>
      </c>
      <c r="X85" s="35">
        <v>67.0</v>
      </c>
      <c r="Y85" s="29">
        <f t="shared" si="135"/>
        <v>6.7</v>
      </c>
      <c r="Z85" s="37">
        <v>0.5</v>
      </c>
      <c r="AA85" s="29">
        <f t="shared" si="136"/>
        <v>0</v>
      </c>
      <c r="AB85" s="33">
        <f t="shared" si="137"/>
        <v>2.5865</v>
      </c>
      <c r="AC85" s="34">
        <v>0.025</v>
      </c>
      <c r="AD85" s="29">
        <f t="shared" si="138"/>
        <v>83.16975432</v>
      </c>
      <c r="AE85" s="36">
        <v>0.025</v>
      </c>
      <c r="AF85" s="29">
        <f t="shared" si="139"/>
        <v>83.16975432</v>
      </c>
      <c r="AG85" s="29">
        <f t="shared" si="140"/>
        <v>166.3395086</v>
      </c>
      <c r="AH85" s="38">
        <f t="shared" si="141"/>
        <v>0.05</v>
      </c>
      <c r="AI85" s="39">
        <f t="shared" si="142"/>
        <v>394.5895086</v>
      </c>
      <c r="AJ85" s="40">
        <f t="shared" si="143"/>
        <v>228.25</v>
      </c>
      <c r="AK85" s="41">
        <f t="shared" si="144"/>
        <v>0.06860967724</v>
      </c>
      <c r="AL85" s="42">
        <f t="shared" si="145"/>
        <v>0.25</v>
      </c>
      <c r="AM85" s="29">
        <f t="shared" si="146"/>
        <v>2720.548473</v>
      </c>
      <c r="AN85" s="29">
        <f t="shared" si="147"/>
        <v>10</v>
      </c>
      <c r="AO85" s="29">
        <f t="shared" si="148"/>
        <v>99.80370518</v>
      </c>
    </row>
    <row r="86" ht="28.5" customHeight="1">
      <c r="A86" s="3"/>
      <c r="B86" s="21" t="s">
        <v>132</v>
      </c>
      <c r="C86" s="21"/>
      <c r="D86" s="23"/>
      <c r="E86" s="24" t="s">
        <v>128</v>
      </c>
      <c r="F86" s="29">
        <v>814.0</v>
      </c>
      <c r="G86" s="26">
        <v>4800.0</v>
      </c>
      <c r="H86" s="26">
        <v>20.0</v>
      </c>
      <c r="I86" s="26">
        <v>0.0</v>
      </c>
      <c r="J86" s="26">
        <f t="shared" si="127"/>
        <v>2682.114377</v>
      </c>
      <c r="K86" s="28">
        <v>0.45</v>
      </c>
      <c r="L86" s="30">
        <f t="shared" si="128"/>
        <v>1475.162907</v>
      </c>
      <c r="M86" s="31">
        <v>650.0</v>
      </c>
      <c r="N86" s="32">
        <f t="shared" si="129"/>
        <v>60</v>
      </c>
      <c r="O86" s="33">
        <f t="shared" si="130"/>
        <v>710</v>
      </c>
      <c r="P86" s="34">
        <v>0.47</v>
      </c>
      <c r="Q86" s="29">
        <f t="shared" si="131"/>
        <v>1260.593757</v>
      </c>
      <c r="R86" s="35">
        <v>75.0</v>
      </c>
      <c r="S86" s="29">
        <f t="shared" si="132"/>
        <v>53.64228754</v>
      </c>
      <c r="T86" s="35">
        <v>25.0</v>
      </c>
      <c r="U86" s="29">
        <f t="shared" si="133"/>
        <v>40.23171566</v>
      </c>
      <c r="V86" s="29">
        <f t="shared" si="134"/>
        <v>103.2614035</v>
      </c>
      <c r="W86" s="36">
        <v>0.9</v>
      </c>
      <c r="X86" s="35">
        <v>75.0</v>
      </c>
      <c r="Y86" s="29">
        <f t="shared" si="135"/>
        <v>7.5</v>
      </c>
      <c r="Z86" s="37">
        <v>0.931</v>
      </c>
      <c r="AA86" s="29">
        <f t="shared" si="136"/>
        <v>0</v>
      </c>
      <c r="AB86" s="33">
        <f t="shared" si="137"/>
        <v>4.816063</v>
      </c>
      <c r="AC86" s="34">
        <v>0.025</v>
      </c>
      <c r="AD86" s="29">
        <f t="shared" si="138"/>
        <v>67.05285943</v>
      </c>
      <c r="AE86" s="36">
        <v>0.025</v>
      </c>
      <c r="AF86" s="29">
        <f t="shared" si="139"/>
        <v>67.05285943</v>
      </c>
      <c r="AG86" s="29">
        <f t="shared" si="140"/>
        <v>134.1057189</v>
      </c>
      <c r="AH86" s="38">
        <f t="shared" si="141"/>
        <v>0.05</v>
      </c>
      <c r="AI86" s="39">
        <f t="shared" si="142"/>
        <v>311.6057189</v>
      </c>
      <c r="AJ86" s="40">
        <f t="shared" si="143"/>
        <v>177.5</v>
      </c>
      <c r="AK86" s="41">
        <f t="shared" si="144"/>
        <v>0.06617913148</v>
      </c>
      <c r="AL86" s="42">
        <f t="shared" si="145"/>
        <v>0.25</v>
      </c>
      <c r="AM86" s="29">
        <f t="shared" si="146"/>
        <v>2210.666834</v>
      </c>
      <c r="AN86" s="29">
        <f t="shared" si="147"/>
        <v>10</v>
      </c>
      <c r="AO86" s="29">
        <f t="shared" si="148"/>
        <v>80.46343131</v>
      </c>
    </row>
    <row r="87" ht="28.5" customHeight="1">
      <c r="A87" s="3"/>
      <c r="B87" s="21" t="s">
        <v>133</v>
      </c>
      <c r="C87" s="21"/>
      <c r="D87" s="23"/>
      <c r="E87" s="24"/>
      <c r="F87" s="29">
        <v>786.0</v>
      </c>
      <c r="G87" s="26">
        <v>3800.0</v>
      </c>
      <c r="H87" s="26">
        <v>370.0</v>
      </c>
      <c r="I87" s="26">
        <v>0.0</v>
      </c>
      <c r="J87" s="26">
        <f t="shared" si="127"/>
        <v>3467.667729</v>
      </c>
      <c r="K87" s="28">
        <v>0.45</v>
      </c>
      <c r="L87" s="30">
        <f t="shared" si="128"/>
        <v>1907.217251</v>
      </c>
      <c r="M87" s="31">
        <v>899.78</v>
      </c>
      <c r="N87" s="32">
        <f t="shared" si="129"/>
        <v>60</v>
      </c>
      <c r="O87" s="33">
        <f t="shared" si="130"/>
        <v>959.78</v>
      </c>
      <c r="P87" s="34">
        <v>0.47</v>
      </c>
      <c r="Q87" s="29">
        <f t="shared" si="131"/>
        <v>1629.803833</v>
      </c>
      <c r="R87" s="35">
        <v>63.0</v>
      </c>
      <c r="S87" s="29">
        <f t="shared" si="132"/>
        <v>69.35335458</v>
      </c>
      <c r="T87" s="35">
        <v>25.0</v>
      </c>
      <c r="U87" s="29">
        <f t="shared" si="133"/>
        <v>52.01501594</v>
      </c>
      <c r="V87" s="29">
        <f t="shared" si="134"/>
        <v>133.5052076</v>
      </c>
      <c r="W87" s="36">
        <v>0.9</v>
      </c>
      <c r="X87" s="35">
        <v>63.0</v>
      </c>
      <c r="Y87" s="29">
        <f t="shared" si="135"/>
        <v>6.3</v>
      </c>
      <c r="Z87" s="37">
        <v>0.3</v>
      </c>
      <c r="AA87" s="29">
        <f t="shared" si="136"/>
        <v>0</v>
      </c>
      <c r="AB87" s="33">
        <f t="shared" si="137"/>
        <v>1.5519</v>
      </c>
      <c r="AC87" s="34">
        <v>0.025</v>
      </c>
      <c r="AD87" s="29">
        <f t="shared" si="138"/>
        <v>86.69169323</v>
      </c>
      <c r="AE87" s="36">
        <v>0.025</v>
      </c>
      <c r="AF87" s="29">
        <f t="shared" si="139"/>
        <v>86.69169323</v>
      </c>
      <c r="AG87" s="29">
        <f t="shared" si="140"/>
        <v>173.3833865</v>
      </c>
      <c r="AH87" s="38">
        <f t="shared" si="141"/>
        <v>0.05</v>
      </c>
      <c r="AI87" s="39">
        <f t="shared" si="142"/>
        <v>413.3283865</v>
      </c>
      <c r="AJ87" s="40">
        <f t="shared" si="143"/>
        <v>239.945</v>
      </c>
      <c r="AK87" s="41">
        <f t="shared" si="144"/>
        <v>0.06919492257</v>
      </c>
      <c r="AL87" s="42">
        <f t="shared" si="145"/>
        <v>0.25</v>
      </c>
      <c r="AM87" s="29">
        <f t="shared" si="146"/>
        <v>2830.363612</v>
      </c>
      <c r="AN87" s="29">
        <f t="shared" si="147"/>
        <v>10</v>
      </c>
      <c r="AO87" s="29">
        <f t="shared" si="148"/>
        <v>104.0300319</v>
      </c>
    </row>
    <row r="88" ht="14.25" customHeight="1">
      <c r="A88" s="17"/>
      <c r="B88" s="18" t="s">
        <v>134</v>
      </c>
      <c r="C88" s="18"/>
      <c r="D88" s="19"/>
      <c r="E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</row>
    <row r="89" ht="14.25" customHeight="1">
      <c r="A89" s="43"/>
      <c r="B89" s="44" t="s">
        <v>135</v>
      </c>
      <c r="C89" s="44" t="s">
        <v>51</v>
      </c>
      <c r="D89" s="45"/>
      <c r="E89" s="45"/>
      <c r="F89" s="29">
        <v>119.0</v>
      </c>
      <c r="G89" s="29"/>
      <c r="H89" s="29"/>
      <c r="I89" s="29"/>
      <c r="J89" s="29"/>
      <c r="K89" s="46"/>
      <c r="L89" s="30"/>
      <c r="M89" s="32"/>
      <c r="N89" s="32"/>
      <c r="O89" s="33"/>
      <c r="P89" s="47"/>
      <c r="Q89" s="29"/>
      <c r="R89" s="29"/>
      <c r="S89" s="29"/>
      <c r="T89" s="29"/>
      <c r="U89" s="29"/>
      <c r="V89" s="29"/>
      <c r="W89" s="41"/>
      <c r="X89" s="29"/>
      <c r="Y89" s="29"/>
      <c r="Z89" s="48"/>
      <c r="AA89" s="29"/>
      <c r="AB89" s="33"/>
      <c r="AC89" s="47"/>
      <c r="AD89" s="29"/>
      <c r="AE89" s="41"/>
      <c r="AF89" s="29"/>
      <c r="AG89" s="29"/>
      <c r="AH89" s="38"/>
      <c r="AI89" s="39"/>
      <c r="AJ89" s="29"/>
      <c r="AK89" s="41"/>
      <c r="AL89" s="41"/>
      <c r="AM89" s="29"/>
      <c r="AN89" s="29"/>
      <c r="AO89" s="29"/>
    </row>
    <row r="90" ht="14.25" customHeight="1">
      <c r="A90" s="17"/>
      <c r="B90" s="18" t="s">
        <v>136</v>
      </c>
      <c r="C90" s="18"/>
      <c r="D90" s="19"/>
      <c r="E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</row>
    <row r="91" ht="28.5" customHeight="1">
      <c r="A91" s="3"/>
      <c r="B91" s="21" t="s">
        <v>137</v>
      </c>
      <c r="C91" s="22" t="s">
        <v>51</v>
      </c>
      <c r="D91" s="23"/>
      <c r="E91" s="24"/>
      <c r="F91" s="56">
        <v>1008.0</v>
      </c>
      <c r="G91" s="26">
        <v>1818.0</v>
      </c>
      <c r="H91" s="26">
        <v>734.0</v>
      </c>
      <c r="I91" s="26">
        <v>16.0</v>
      </c>
      <c r="J91" s="49">
        <v>2336.0</v>
      </c>
      <c r="K91" s="28">
        <v>0.45</v>
      </c>
      <c r="L91" s="30">
        <f t="shared" ref="L91:L102" si="149">J91*(1-K91)</f>
        <v>1284.8</v>
      </c>
      <c r="M91" s="31">
        <v>385.05</v>
      </c>
      <c r="N91" s="32">
        <f t="shared" ref="N91:N102" si="150">$J$5</f>
        <v>60</v>
      </c>
      <c r="O91" s="33">
        <f t="shared" ref="O91:O102" si="151">M91+N91</f>
        <v>445.05</v>
      </c>
      <c r="P91" s="34">
        <v>0.47</v>
      </c>
      <c r="Q91" s="29">
        <f t="shared" ref="Q91:Q102" si="152">J91*P91</f>
        <v>1097.92</v>
      </c>
      <c r="R91" s="35">
        <v>67.0</v>
      </c>
      <c r="S91" s="29">
        <f t="shared" ref="S91:S102" si="153">J91*$J$8</f>
        <v>46.72</v>
      </c>
      <c r="T91" s="35">
        <v>25.0</v>
      </c>
      <c r="U91" s="29">
        <f t="shared" ref="U91:U102" si="154">J91*$J$4</f>
        <v>35.04</v>
      </c>
      <c r="V91" s="29">
        <f t="shared" ref="V91:V102" si="155">L91*$J$3</f>
        <v>89.936</v>
      </c>
      <c r="W91" s="36">
        <v>0.9</v>
      </c>
      <c r="X91" s="35">
        <v>67.0</v>
      </c>
      <c r="Y91" s="29">
        <f t="shared" ref="Y91:Y102" si="156">X91*(1-W91)</f>
        <v>6.7</v>
      </c>
      <c r="Z91" s="37">
        <v>0.6</v>
      </c>
      <c r="AA91" s="29">
        <f t="shared" ref="AA91:AA102" si="157">$J$6*$J$7*Z91</f>
        <v>0</v>
      </c>
      <c r="AB91" s="33">
        <f t="shared" ref="AB91:AB102" si="158">Z91*($J$9+$J$10)</f>
        <v>3.1038</v>
      </c>
      <c r="AC91" s="34">
        <v>0.07</v>
      </c>
      <c r="AD91" s="29">
        <f t="shared" ref="AD91:AD102" si="159">J91*AC91</f>
        <v>163.52</v>
      </c>
      <c r="AE91" s="36">
        <v>0.08</v>
      </c>
      <c r="AF91" s="29">
        <f t="shared" ref="AF91:AF102" si="160">J91*AE91</f>
        <v>186.88</v>
      </c>
      <c r="AG91" s="29">
        <f t="shared" ref="AG91:AG102" si="161">AD91+AF91</f>
        <v>350.4</v>
      </c>
      <c r="AH91" s="38">
        <f t="shared" ref="AH91:AH102" si="162">AG91/J91</f>
        <v>0.15</v>
      </c>
      <c r="AI91" s="39">
        <f t="shared" ref="AI91:AI102" si="163">J91-Q91-R91-S91-T91-U91-V91-Y91-AA91-AB91-O91-AN91-AO91</f>
        <v>439.4502</v>
      </c>
      <c r="AJ91" s="40">
        <f t="shared" ref="AJ91:AJ102" si="164">AI91-AG91</f>
        <v>89.0502</v>
      </c>
      <c r="AK91" s="41">
        <f t="shared" ref="AK91:AK102" si="165">AJ91/J91</f>
        <v>0.03812080479</v>
      </c>
      <c r="AL91" s="42">
        <f t="shared" ref="AL91:AL102" si="166">AJ91/O91</f>
        <v>0.2000903269</v>
      </c>
      <c r="AM91" s="29">
        <f t="shared" ref="AM91:AM102" si="167">(R91+T91+Y91+AA91+AB91+O91+AN91)/(1-(P91+$J$4+(1-K91)*$J$3+$J$8+$J$11+AC91+AE91))</f>
        <v>2013.937794</v>
      </c>
      <c r="AN91" s="29">
        <f t="shared" ref="AN91:AN102" si="168">$J$12</f>
        <v>10</v>
      </c>
      <c r="AO91" s="29">
        <f t="shared" ref="AO91:AO102" si="169">J91*$J$11</f>
        <v>70.08</v>
      </c>
    </row>
    <row r="92" ht="28.5" customHeight="1">
      <c r="A92" s="3"/>
      <c r="B92" s="21" t="s">
        <v>138</v>
      </c>
      <c r="C92" s="22" t="s">
        <v>51</v>
      </c>
      <c r="D92" s="23"/>
      <c r="E92" s="24"/>
      <c r="F92" s="29">
        <v>587.0</v>
      </c>
      <c r="G92" s="26"/>
      <c r="H92" s="26"/>
      <c r="I92" s="26"/>
      <c r="J92" s="49">
        <v>2783.0</v>
      </c>
      <c r="K92" s="28">
        <v>0.45</v>
      </c>
      <c r="L92" s="30">
        <f t="shared" si="149"/>
        <v>1530.65</v>
      </c>
      <c r="M92" s="31">
        <v>486.69</v>
      </c>
      <c r="N92" s="32">
        <f t="shared" si="150"/>
        <v>60</v>
      </c>
      <c r="O92" s="33">
        <f t="shared" si="151"/>
        <v>546.69</v>
      </c>
      <c r="P92" s="34">
        <v>0.47</v>
      </c>
      <c r="Q92" s="29">
        <f t="shared" si="152"/>
        <v>1308.01</v>
      </c>
      <c r="R92" s="35">
        <v>67.0</v>
      </c>
      <c r="S92" s="29">
        <f t="shared" si="153"/>
        <v>55.66</v>
      </c>
      <c r="T92" s="35">
        <v>25.0</v>
      </c>
      <c r="U92" s="29">
        <f t="shared" si="154"/>
        <v>41.745</v>
      </c>
      <c r="V92" s="29">
        <f t="shared" si="155"/>
        <v>107.1455</v>
      </c>
      <c r="W92" s="36">
        <v>0.9</v>
      </c>
      <c r="X92" s="35">
        <v>67.0</v>
      </c>
      <c r="Y92" s="29">
        <f t="shared" si="156"/>
        <v>6.7</v>
      </c>
      <c r="Z92" s="37">
        <v>0.93</v>
      </c>
      <c r="AA92" s="29">
        <f t="shared" si="157"/>
        <v>0</v>
      </c>
      <c r="AB92" s="33">
        <f t="shared" si="158"/>
        <v>4.81089</v>
      </c>
      <c r="AC92" s="34">
        <v>0.07</v>
      </c>
      <c r="AD92" s="29">
        <f t="shared" si="159"/>
        <v>194.81</v>
      </c>
      <c r="AE92" s="36">
        <v>0.08</v>
      </c>
      <c r="AF92" s="29">
        <f t="shared" si="160"/>
        <v>222.64</v>
      </c>
      <c r="AG92" s="29">
        <f t="shared" si="161"/>
        <v>417.45</v>
      </c>
      <c r="AH92" s="38">
        <f t="shared" si="162"/>
        <v>0.15</v>
      </c>
      <c r="AI92" s="39">
        <f t="shared" si="163"/>
        <v>526.74861</v>
      </c>
      <c r="AJ92" s="40">
        <f t="shared" si="164"/>
        <v>109.29861</v>
      </c>
      <c r="AK92" s="41">
        <f t="shared" si="165"/>
        <v>0.03927366511</v>
      </c>
      <c r="AL92" s="42">
        <f t="shared" si="166"/>
        <v>0.1999279482</v>
      </c>
      <c r="AM92" s="29">
        <f t="shared" si="167"/>
        <v>2387.706655</v>
      </c>
      <c r="AN92" s="29">
        <f t="shared" si="168"/>
        <v>10</v>
      </c>
      <c r="AO92" s="29">
        <f t="shared" si="169"/>
        <v>83.49</v>
      </c>
    </row>
    <row r="93" ht="28.5" customHeight="1">
      <c r="A93" s="3"/>
      <c r="B93" s="21" t="s">
        <v>139</v>
      </c>
      <c r="C93" s="22" t="s">
        <v>51</v>
      </c>
      <c r="D93" s="23"/>
      <c r="E93" s="24"/>
      <c r="F93" s="29">
        <v>300.0</v>
      </c>
      <c r="G93" s="26"/>
      <c r="H93" s="26"/>
      <c r="I93" s="26"/>
      <c r="J93" s="49">
        <v>2468.0</v>
      </c>
      <c r="K93" s="28">
        <v>0.45</v>
      </c>
      <c r="L93" s="30">
        <f t="shared" si="149"/>
        <v>1357.4</v>
      </c>
      <c r="M93" s="31">
        <v>415.46</v>
      </c>
      <c r="N93" s="32">
        <f t="shared" si="150"/>
        <v>60</v>
      </c>
      <c r="O93" s="33">
        <f t="shared" si="151"/>
        <v>475.46</v>
      </c>
      <c r="P93" s="34">
        <v>0.47</v>
      </c>
      <c r="Q93" s="29">
        <f t="shared" si="152"/>
        <v>1159.96</v>
      </c>
      <c r="R93" s="35">
        <v>67.0</v>
      </c>
      <c r="S93" s="29">
        <f t="shared" si="153"/>
        <v>49.36</v>
      </c>
      <c r="T93" s="35">
        <v>25.0</v>
      </c>
      <c r="U93" s="29">
        <f t="shared" si="154"/>
        <v>37.02</v>
      </c>
      <c r="V93" s="29">
        <f t="shared" si="155"/>
        <v>95.018</v>
      </c>
      <c r="W93" s="36">
        <v>0.9</v>
      </c>
      <c r="X93" s="35">
        <v>67.0</v>
      </c>
      <c r="Y93" s="29">
        <f t="shared" si="156"/>
        <v>6.7</v>
      </c>
      <c r="Z93" s="37">
        <v>0.6</v>
      </c>
      <c r="AA93" s="29">
        <f t="shared" si="157"/>
        <v>0</v>
      </c>
      <c r="AB93" s="33">
        <f t="shared" si="158"/>
        <v>3.1038</v>
      </c>
      <c r="AC93" s="34">
        <v>0.07</v>
      </c>
      <c r="AD93" s="29">
        <f t="shared" si="159"/>
        <v>172.76</v>
      </c>
      <c r="AE93" s="36">
        <v>0.08</v>
      </c>
      <c r="AF93" s="29">
        <f t="shared" si="160"/>
        <v>197.44</v>
      </c>
      <c r="AG93" s="29">
        <f t="shared" si="161"/>
        <v>370.2</v>
      </c>
      <c r="AH93" s="38">
        <f t="shared" si="162"/>
        <v>0.15</v>
      </c>
      <c r="AI93" s="39">
        <f t="shared" si="163"/>
        <v>465.3382</v>
      </c>
      <c r="AJ93" s="40">
        <f t="shared" si="164"/>
        <v>95.1382</v>
      </c>
      <c r="AK93" s="41">
        <f t="shared" si="165"/>
        <v>0.0385487034</v>
      </c>
      <c r="AL93" s="42">
        <f t="shared" si="166"/>
        <v>0.2000971691</v>
      </c>
      <c r="AM93" s="29">
        <f t="shared" si="167"/>
        <v>2123.919711</v>
      </c>
      <c r="AN93" s="29">
        <f t="shared" si="168"/>
        <v>10</v>
      </c>
      <c r="AO93" s="29">
        <f t="shared" si="169"/>
        <v>74.04</v>
      </c>
    </row>
    <row r="94" ht="14.25" customHeight="1">
      <c r="A94" s="3"/>
      <c r="B94" s="21" t="s">
        <v>140</v>
      </c>
      <c r="C94" s="22" t="s">
        <v>51</v>
      </c>
      <c r="D94" s="23"/>
      <c r="E94" s="24"/>
      <c r="F94" s="29">
        <v>95.0</v>
      </c>
      <c r="G94" s="26"/>
      <c r="H94" s="26"/>
      <c r="I94" s="26"/>
      <c r="J94" s="49">
        <v>3237.0</v>
      </c>
      <c r="K94" s="28">
        <v>0.45</v>
      </c>
      <c r="L94" s="30">
        <f t="shared" si="149"/>
        <v>1780.35</v>
      </c>
      <c r="M94" s="31">
        <v>591.29</v>
      </c>
      <c r="N94" s="32">
        <f t="shared" si="150"/>
        <v>60</v>
      </c>
      <c r="O94" s="33">
        <f t="shared" si="151"/>
        <v>651.29</v>
      </c>
      <c r="P94" s="34">
        <v>0.47</v>
      </c>
      <c r="Q94" s="29">
        <f t="shared" si="152"/>
        <v>1521.39</v>
      </c>
      <c r="R94" s="35">
        <v>67.0</v>
      </c>
      <c r="S94" s="29">
        <f t="shared" si="153"/>
        <v>64.74</v>
      </c>
      <c r="T94" s="35">
        <v>25.0</v>
      </c>
      <c r="U94" s="29">
        <f t="shared" si="154"/>
        <v>48.555</v>
      </c>
      <c r="V94" s="29">
        <f t="shared" si="155"/>
        <v>124.6245</v>
      </c>
      <c r="W94" s="36">
        <v>0.9</v>
      </c>
      <c r="X94" s="35">
        <v>67.0</v>
      </c>
      <c r="Y94" s="29">
        <f t="shared" si="156"/>
        <v>6.7</v>
      </c>
      <c r="Z94" s="37">
        <v>0.93</v>
      </c>
      <c r="AA94" s="29">
        <f t="shared" si="157"/>
        <v>0</v>
      </c>
      <c r="AB94" s="33">
        <f t="shared" si="158"/>
        <v>4.81089</v>
      </c>
      <c r="AC94" s="34">
        <v>0.07</v>
      </c>
      <c r="AD94" s="29">
        <f t="shared" si="159"/>
        <v>226.59</v>
      </c>
      <c r="AE94" s="36">
        <v>0.08</v>
      </c>
      <c r="AF94" s="29">
        <f t="shared" si="160"/>
        <v>258.96</v>
      </c>
      <c r="AG94" s="29">
        <f t="shared" si="161"/>
        <v>485.55</v>
      </c>
      <c r="AH94" s="38">
        <f t="shared" si="162"/>
        <v>0.15</v>
      </c>
      <c r="AI94" s="39">
        <f t="shared" si="163"/>
        <v>615.77961</v>
      </c>
      <c r="AJ94" s="40">
        <f t="shared" si="164"/>
        <v>130.22961</v>
      </c>
      <c r="AK94" s="41">
        <f t="shared" si="165"/>
        <v>0.04023157553</v>
      </c>
      <c r="AL94" s="42">
        <f t="shared" si="166"/>
        <v>0.1999564096</v>
      </c>
      <c r="AM94" s="29">
        <f t="shared" si="167"/>
        <v>2766.006835</v>
      </c>
      <c r="AN94" s="29">
        <f t="shared" si="168"/>
        <v>10</v>
      </c>
      <c r="AO94" s="29">
        <f t="shared" si="169"/>
        <v>97.11</v>
      </c>
    </row>
    <row r="95" ht="28.5" customHeight="1">
      <c r="A95" s="3"/>
      <c r="B95" s="21" t="s">
        <v>141</v>
      </c>
      <c r="C95" s="22" t="s">
        <v>51</v>
      </c>
      <c r="D95" s="23"/>
      <c r="E95" s="24"/>
      <c r="F95" s="29">
        <v>713.0</v>
      </c>
      <c r="G95" s="26"/>
      <c r="H95" s="26"/>
      <c r="I95" s="26"/>
      <c r="J95" s="49">
        <v>2468.0</v>
      </c>
      <c r="K95" s="28">
        <v>0.45</v>
      </c>
      <c r="L95" s="30">
        <f t="shared" si="149"/>
        <v>1357.4</v>
      </c>
      <c r="M95" s="31">
        <v>415.46</v>
      </c>
      <c r="N95" s="32">
        <f t="shared" si="150"/>
        <v>60</v>
      </c>
      <c r="O95" s="33">
        <f t="shared" si="151"/>
        <v>475.46</v>
      </c>
      <c r="P95" s="34">
        <v>0.47</v>
      </c>
      <c r="Q95" s="29">
        <f t="shared" si="152"/>
        <v>1159.96</v>
      </c>
      <c r="R95" s="35">
        <v>67.0</v>
      </c>
      <c r="S95" s="29">
        <f t="shared" si="153"/>
        <v>49.36</v>
      </c>
      <c r="T95" s="35">
        <v>25.0</v>
      </c>
      <c r="U95" s="29">
        <f t="shared" si="154"/>
        <v>37.02</v>
      </c>
      <c r="V95" s="29">
        <f t="shared" si="155"/>
        <v>95.018</v>
      </c>
      <c r="W95" s="36">
        <v>0.9</v>
      </c>
      <c r="X95" s="35">
        <v>67.0</v>
      </c>
      <c r="Y95" s="29">
        <f t="shared" si="156"/>
        <v>6.7</v>
      </c>
      <c r="Z95" s="37">
        <v>0.6</v>
      </c>
      <c r="AA95" s="29">
        <f t="shared" si="157"/>
        <v>0</v>
      </c>
      <c r="AB95" s="33">
        <f t="shared" si="158"/>
        <v>3.1038</v>
      </c>
      <c r="AC95" s="34">
        <v>0.07</v>
      </c>
      <c r="AD95" s="29">
        <f t="shared" si="159"/>
        <v>172.76</v>
      </c>
      <c r="AE95" s="36">
        <v>0.08</v>
      </c>
      <c r="AF95" s="29">
        <f t="shared" si="160"/>
        <v>197.44</v>
      </c>
      <c r="AG95" s="29">
        <f t="shared" si="161"/>
        <v>370.2</v>
      </c>
      <c r="AH95" s="38">
        <f t="shared" si="162"/>
        <v>0.15</v>
      </c>
      <c r="AI95" s="39">
        <f t="shared" si="163"/>
        <v>465.3382</v>
      </c>
      <c r="AJ95" s="40">
        <f t="shared" si="164"/>
        <v>95.1382</v>
      </c>
      <c r="AK95" s="41">
        <f t="shared" si="165"/>
        <v>0.0385487034</v>
      </c>
      <c r="AL95" s="42">
        <f t="shared" si="166"/>
        <v>0.2000971691</v>
      </c>
      <c r="AM95" s="29">
        <f t="shared" si="167"/>
        <v>2123.919711</v>
      </c>
      <c r="AN95" s="29">
        <f t="shared" si="168"/>
        <v>10</v>
      </c>
      <c r="AO95" s="29">
        <f t="shared" si="169"/>
        <v>74.04</v>
      </c>
    </row>
    <row r="96" ht="28.5" customHeight="1">
      <c r="A96" s="3"/>
      <c r="B96" s="21" t="s">
        <v>142</v>
      </c>
      <c r="C96" s="22" t="s">
        <v>51</v>
      </c>
      <c r="D96" s="23"/>
      <c r="E96" s="24"/>
      <c r="F96" s="29">
        <v>288.0</v>
      </c>
      <c r="G96" s="26"/>
      <c r="H96" s="26"/>
      <c r="I96" s="26"/>
      <c r="J96" s="49">
        <v>2468.0</v>
      </c>
      <c r="K96" s="28">
        <v>0.45</v>
      </c>
      <c r="L96" s="30">
        <f t="shared" si="149"/>
        <v>1357.4</v>
      </c>
      <c r="M96" s="31">
        <v>415.46</v>
      </c>
      <c r="N96" s="32">
        <f t="shared" si="150"/>
        <v>60</v>
      </c>
      <c r="O96" s="33">
        <f t="shared" si="151"/>
        <v>475.46</v>
      </c>
      <c r="P96" s="34">
        <v>0.47</v>
      </c>
      <c r="Q96" s="29">
        <f t="shared" si="152"/>
        <v>1159.96</v>
      </c>
      <c r="R96" s="35">
        <v>67.0</v>
      </c>
      <c r="S96" s="29">
        <f t="shared" si="153"/>
        <v>49.36</v>
      </c>
      <c r="T96" s="35">
        <v>25.0</v>
      </c>
      <c r="U96" s="29">
        <f t="shared" si="154"/>
        <v>37.02</v>
      </c>
      <c r="V96" s="29">
        <f t="shared" si="155"/>
        <v>95.018</v>
      </c>
      <c r="W96" s="36">
        <v>0.9</v>
      </c>
      <c r="X96" s="35">
        <v>67.0</v>
      </c>
      <c r="Y96" s="29">
        <f t="shared" si="156"/>
        <v>6.7</v>
      </c>
      <c r="Z96" s="37">
        <v>0.6</v>
      </c>
      <c r="AA96" s="29">
        <f t="shared" si="157"/>
        <v>0</v>
      </c>
      <c r="AB96" s="33">
        <f t="shared" si="158"/>
        <v>3.1038</v>
      </c>
      <c r="AC96" s="34">
        <v>0.07</v>
      </c>
      <c r="AD96" s="29">
        <f t="shared" si="159"/>
        <v>172.76</v>
      </c>
      <c r="AE96" s="36">
        <v>0.08</v>
      </c>
      <c r="AF96" s="29">
        <f t="shared" si="160"/>
        <v>197.44</v>
      </c>
      <c r="AG96" s="29">
        <f t="shared" si="161"/>
        <v>370.2</v>
      </c>
      <c r="AH96" s="38">
        <f t="shared" si="162"/>
        <v>0.15</v>
      </c>
      <c r="AI96" s="39">
        <f t="shared" si="163"/>
        <v>465.3382</v>
      </c>
      <c r="AJ96" s="40">
        <f t="shared" si="164"/>
        <v>95.1382</v>
      </c>
      <c r="AK96" s="41">
        <f t="shared" si="165"/>
        <v>0.0385487034</v>
      </c>
      <c r="AL96" s="42">
        <f t="shared" si="166"/>
        <v>0.2000971691</v>
      </c>
      <c r="AM96" s="29">
        <f t="shared" si="167"/>
        <v>2123.919711</v>
      </c>
      <c r="AN96" s="29">
        <f t="shared" si="168"/>
        <v>10</v>
      </c>
      <c r="AO96" s="29">
        <f t="shared" si="169"/>
        <v>74.04</v>
      </c>
    </row>
    <row r="97" ht="28.5" customHeight="1">
      <c r="A97" s="3"/>
      <c r="B97" s="21" t="s">
        <v>143</v>
      </c>
      <c r="C97" s="22" t="s">
        <v>51</v>
      </c>
      <c r="D97" s="23"/>
      <c r="E97" s="24"/>
      <c r="F97" s="29">
        <v>72.0</v>
      </c>
      <c r="G97" s="26"/>
      <c r="H97" s="26"/>
      <c r="I97" s="26"/>
      <c r="J97" s="49">
        <v>2336.0</v>
      </c>
      <c r="K97" s="28">
        <v>0.45</v>
      </c>
      <c r="L97" s="30">
        <f t="shared" si="149"/>
        <v>1284.8</v>
      </c>
      <c r="M97" s="31">
        <v>385.05</v>
      </c>
      <c r="N97" s="32">
        <f t="shared" si="150"/>
        <v>60</v>
      </c>
      <c r="O97" s="33">
        <f t="shared" si="151"/>
        <v>445.05</v>
      </c>
      <c r="P97" s="34">
        <v>0.47</v>
      </c>
      <c r="Q97" s="29">
        <f t="shared" si="152"/>
        <v>1097.92</v>
      </c>
      <c r="R97" s="35">
        <v>67.0</v>
      </c>
      <c r="S97" s="29">
        <f t="shared" si="153"/>
        <v>46.72</v>
      </c>
      <c r="T97" s="35">
        <v>25.0</v>
      </c>
      <c r="U97" s="29">
        <f t="shared" si="154"/>
        <v>35.04</v>
      </c>
      <c r="V97" s="29">
        <f t="shared" si="155"/>
        <v>89.936</v>
      </c>
      <c r="W97" s="36">
        <v>0.9</v>
      </c>
      <c r="X97" s="35">
        <v>67.0</v>
      </c>
      <c r="Y97" s="29">
        <f t="shared" si="156"/>
        <v>6.7</v>
      </c>
      <c r="Z97" s="37">
        <v>0.6</v>
      </c>
      <c r="AA97" s="29">
        <f t="shared" si="157"/>
        <v>0</v>
      </c>
      <c r="AB97" s="33">
        <f t="shared" si="158"/>
        <v>3.1038</v>
      </c>
      <c r="AC97" s="34">
        <v>0.07</v>
      </c>
      <c r="AD97" s="29">
        <f t="shared" si="159"/>
        <v>163.52</v>
      </c>
      <c r="AE97" s="36">
        <v>0.08</v>
      </c>
      <c r="AF97" s="29">
        <f t="shared" si="160"/>
        <v>186.88</v>
      </c>
      <c r="AG97" s="29">
        <f t="shared" si="161"/>
        <v>350.4</v>
      </c>
      <c r="AH97" s="38">
        <f t="shared" si="162"/>
        <v>0.15</v>
      </c>
      <c r="AI97" s="39">
        <f t="shared" si="163"/>
        <v>439.4502</v>
      </c>
      <c r="AJ97" s="40">
        <f t="shared" si="164"/>
        <v>89.0502</v>
      </c>
      <c r="AK97" s="41">
        <f t="shared" si="165"/>
        <v>0.03812080479</v>
      </c>
      <c r="AL97" s="42">
        <f t="shared" si="166"/>
        <v>0.2000903269</v>
      </c>
      <c r="AM97" s="29">
        <f t="shared" si="167"/>
        <v>2013.937794</v>
      </c>
      <c r="AN97" s="29">
        <f t="shared" si="168"/>
        <v>10</v>
      </c>
      <c r="AO97" s="29">
        <f t="shared" si="169"/>
        <v>70.08</v>
      </c>
    </row>
    <row r="98" ht="28.5" customHeight="1">
      <c r="A98" s="3"/>
      <c r="B98" s="21" t="s">
        <v>144</v>
      </c>
      <c r="C98" s="22" t="s">
        <v>51</v>
      </c>
      <c r="D98" s="23"/>
      <c r="E98" s="24"/>
      <c r="F98" s="29">
        <v>267.0</v>
      </c>
      <c r="G98" s="26"/>
      <c r="H98" s="26"/>
      <c r="I98" s="26"/>
      <c r="J98" s="49">
        <v>2783.0</v>
      </c>
      <c r="K98" s="28">
        <v>0.45</v>
      </c>
      <c r="L98" s="30">
        <f t="shared" si="149"/>
        <v>1530.65</v>
      </c>
      <c r="M98" s="31">
        <v>486.69</v>
      </c>
      <c r="N98" s="32">
        <f t="shared" si="150"/>
        <v>60</v>
      </c>
      <c r="O98" s="33">
        <f t="shared" si="151"/>
        <v>546.69</v>
      </c>
      <c r="P98" s="34">
        <v>0.47</v>
      </c>
      <c r="Q98" s="29">
        <f t="shared" si="152"/>
        <v>1308.01</v>
      </c>
      <c r="R98" s="35">
        <v>67.0</v>
      </c>
      <c r="S98" s="29">
        <f t="shared" si="153"/>
        <v>55.66</v>
      </c>
      <c r="T98" s="35">
        <v>25.0</v>
      </c>
      <c r="U98" s="29">
        <f t="shared" si="154"/>
        <v>41.745</v>
      </c>
      <c r="V98" s="29">
        <f t="shared" si="155"/>
        <v>107.1455</v>
      </c>
      <c r="W98" s="36">
        <v>0.9</v>
      </c>
      <c r="X98" s="35">
        <v>67.0</v>
      </c>
      <c r="Y98" s="29">
        <f t="shared" si="156"/>
        <v>6.7</v>
      </c>
      <c r="Z98" s="37">
        <v>0.93</v>
      </c>
      <c r="AA98" s="29">
        <f t="shared" si="157"/>
        <v>0</v>
      </c>
      <c r="AB98" s="33">
        <f t="shared" si="158"/>
        <v>4.81089</v>
      </c>
      <c r="AC98" s="34">
        <v>0.07</v>
      </c>
      <c r="AD98" s="29">
        <f t="shared" si="159"/>
        <v>194.81</v>
      </c>
      <c r="AE98" s="36">
        <v>0.08</v>
      </c>
      <c r="AF98" s="29">
        <f t="shared" si="160"/>
        <v>222.64</v>
      </c>
      <c r="AG98" s="29">
        <f t="shared" si="161"/>
        <v>417.45</v>
      </c>
      <c r="AH98" s="38">
        <f t="shared" si="162"/>
        <v>0.15</v>
      </c>
      <c r="AI98" s="39">
        <f t="shared" si="163"/>
        <v>526.74861</v>
      </c>
      <c r="AJ98" s="40">
        <f t="shared" si="164"/>
        <v>109.29861</v>
      </c>
      <c r="AK98" s="41">
        <f t="shared" si="165"/>
        <v>0.03927366511</v>
      </c>
      <c r="AL98" s="42">
        <f t="shared" si="166"/>
        <v>0.1999279482</v>
      </c>
      <c r="AM98" s="29">
        <f t="shared" si="167"/>
        <v>2387.706655</v>
      </c>
      <c r="AN98" s="29">
        <f t="shared" si="168"/>
        <v>10</v>
      </c>
      <c r="AO98" s="29">
        <f t="shared" si="169"/>
        <v>83.49</v>
      </c>
    </row>
    <row r="99" ht="28.5" customHeight="1">
      <c r="A99" s="3"/>
      <c r="B99" s="21" t="s">
        <v>145</v>
      </c>
      <c r="C99" s="22" t="s">
        <v>51</v>
      </c>
      <c r="D99" s="23"/>
      <c r="E99" s="24"/>
      <c r="F99" s="29">
        <v>909.0</v>
      </c>
      <c r="G99" s="26">
        <v>1780.0</v>
      </c>
      <c r="H99" s="26">
        <v>489.0</v>
      </c>
      <c r="I99" s="26">
        <v>16.0</v>
      </c>
      <c r="J99" s="49">
        <v>2347.0</v>
      </c>
      <c r="K99" s="28">
        <v>0.45</v>
      </c>
      <c r="L99" s="30">
        <f t="shared" si="149"/>
        <v>1290.85</v>
      </c>
      <c r="M99" s="31">
        <v>387.67</v>
      </c>
      <c r="N99" s="32">
        <f t="shared" si="150"/>
        <v>60</v>
      </c>
      <c r="O99" s="33">
        <f t="shared" si="151"/>
        <v>447.67</v>
      </c>
      <c r="P99" s="34">
        <v>0.47</v>
      </c>
      <c r="Q99" s="29">
        <f t="shared" si="152"/>
        <v>1103.09</v>
      </c>
      <c r="R99" s="35">
        <v>67.0</v>
      </c>
      <c r="S99" s="29">
        <f t="shared" si="153"/>
        <v>46.94</v>
      </c>
      <c r="T99" s="35">
        <v>25.0</v>
      </c>
      <c r="U99" s="29">
        <f t="shared" si="154"/>
        <v>35.205</v>
      </c>
      <c r="V99" s="29">
        <f t="shared" si="155"/>
        <v>90.3595</v>
      </c>
      <c r="W99" s="36">
        <v>0.9</v>
      </c>
      <c r="X99" s="35">
        <v>67.0</v>
      </c>
      <c r="Y99" s="29">
        <f t="shared" si="156"/>
        <v>6.7</v>
      </c>
      <c r="Z99" s="37">
        <v>0.6</v>
      </c>
      <c r="AA99" s="29">
        <f t="shared" si="157"/>
        <v>0</v>
      </c>
      <c r="AB99" s="33">
        <f t="shared" si="158"/>
        <v>3.1038</v>
      </c>
      <c r="AC99" s="34">
        <v>0.07</v>
      </c>
      <c r="AD99" s="29">
        <f t="shared" si="159"/>
        <v>164.29</v>
      </c>
      <c r="AE99" s="36">
        <v>0.08</v>
      </c>
      <c r="AF99" s="29">
        <f t="shared" si="160"/>
        <v>187.76</v>
      </c>
      <c r="AG99" s="29">
        <f t="shared" si="161"/>
        <v>352.05</v>
      </c>
      <c r="AH99" s="38">
        <f t="shared" si="162"/>
        <v>0.15</v>
      </c>
      <c r="AI99" s="39">
        <f t="shared" si="163"/>
        <v>441.5217</v>
      </c>
      <c r="AJ99" s="40">
        <f t="shared" si="164"/>
        <v>89.4717</v>
      </c>
      <c r="AK99" s="41">
        <f t="shared" si="165"/>
        <v>0.03812172987</v>
      </c>
      <c r="AL99" s="42">
        <f t="shared" si="166"/>
        <v>0.199860835</v>
      </c>
      <c r="AM99" s="29">
        <f t="shared" si="167"/>
        <v>2023.413382</v>
      </c>
      <c r="AN99" s="29">
        <f t="shared" si="168"/>
        <v>10</v>
      </c>
      <c r="AO99" s="29">
        <f t="shared" si="169"/>
        <v>70.41</v>
      </c>
    </row>
    <row r="100" ht="28.5" customHeight="1">
      <c r="A100" s="3"/>
      <c r="B100" s="21" t="s">
        <v>146</v>
      </c>
      <c r="C100" s="22" t="s">
        <v>51</v>
      </c>
      <c r="D100" s="23"/>
      <c r="E100" s="24"/>
      <c r="F100" s="29">
        <v>933.0</v>
      </c>
      <c r="G100" s="26">
        <v>1730.0</v>
      </c>
      <c r="H100" s="26">
        <v>568.0</v>
      </c>
      <c r="I100" s="26">
        <v>17.0</v>
      </c>
      <c r="J100" s="49">
        <v>2468.0</v>
      </c>
      <c r="K100" s="28">
        <v>0.45</v>
      </c>
      <c r="L100" s="30">
        <f t="shared" si="149"/>
        <v>1357.4</v>
      </c>
      <c r="M100" s="31">
        <v>415.46</v>
      </c>
      <c r="N100" s="32">
        <f t="shared" si="150"/>
        <v>60</v>
      </c>
      <c r="O100" s="33">
        <f t="shared" si="151"/>
        <v>475.46</v>
      </c>
      <c r="P100" s="34">
        <v>0.47</v>
      </c>
      <c r="Q100" s="29">
        <f t="shared" si="152"/>
        <v>1159.96</v>
      </c>
      <c r="R100" s="35">
        <v>67.0</v>
      </c>
      <c r="S100" s="29">
        <f t="shared" si="153"/>
        <v>49.36</v>
      </c>
      <c r="T100" s="35">
        <v>25.0</v>
      </c>
      <c r="U100" s="29">
        <f t="shared" si="154"/>
        <v>37.02</v>
      </c>
      <c r="V100" s="29">
        <f t="shared" si="155"/>
        <v>95.018</v>
      </c>
      <c r="W100" s="36">
        <v>0.9</v>
      </c>
      <c r="X100" s="35">
        <v>67.0</v>
      </c>
      <c r="Y100" s="29">
        <f t="shared" si="156"/>
        <v>6.7</v>
      </c>
      <c r="Z100" s="37">
        <v>0.6</v>
      </c>
      <c r="AA100" s="29">
        <f t="shared" si="157"/>
        <v>0</v>
      </c>
      <c r="AB100" s="33">
        <f t="shared" si="158"/>
        <v>3.1038</v>
      </c>
      <c r="AC100" s="34">
        <v>0.07</v>
      </c>
      <c r="AD100" s="29">
        <f t="shared" si="159"/>
        <v>172.76</v>
      </c>
      <c r="AE100" s="36">
        <v>0.08</v>
      </c>
      <c r="AF100" s="29">
        <f t="shared" si="160"/>
        <v>197.44</v>
      </c>
      <c r="AG100" s="29">
        <f t="shared" si="161"/>
        <v>370.2</v>
      </c>
      <c r="AH100" s="38">
        <f t="shared" si="162"/>
        <v>0.15</v>
      </c>
      <c r="AI100" s="39">
        <f t="shared" si="163"/>
        <v>465.3382</v>
      </c>
      <c r="AJ100" s="40">
        <f t="shared" si="164"/>
        <v>95.1382</v>
      </c>
      <c r="AK100" s="41">
        <f t="shared" si="165"/>
        <v>0.0385487034</v>
      </c>
      <c r="AL100" s="42">
        <f t="shared" si="166"/>
        <v>0.2000971691</v>
      </c>
      <c r="AM100" s="29">
        <f t="shared" si="167"/>
        <v>2123.919711</v>
      </c>
      <c r="AN100" s="29">
        <f t="shared" si="168"/>
        <v>10</v>
      </c>
      <c r="AO100" s="29">
        <f t="shared" si="169"/>
        <v>74.04</v>
      </c>
    </row>
    <row r="101" ht="28.5" customHeight="1">
      <c r="A101" s="3"/>
      <c r="B101" s="21" t="s">
        <v>147</v>
      </c>
      <c r="C101" s="22" t="s">
        <v>51</v>
      </c>
      <c r="D101" s="23"/>
      <c r="E101" s="24"/>
      <c r="F101" s="29">
        <v>909.0</v>
      </c>
      <c r="G101" s="26">
        <v>1740.0</v>
      </c>
      <c r="H101" s="26">
        <v>150.0</v>
      </c>
      <c r="I101" s="26">
        <v>7.0</v>
      </c>
      <c r="J101" s="49">
        <v>2468.0</v>
      </c>
      <c r="K101" s="28">
        <v>0.45</v>
      </c>
      <c r="L101" s="30">
        <f t="shared" si="149"/>
        <v>1357.4</v>
      </c>
      <c r="M101" s="31">
        <v>415.46</v>
      </c>
      <c r="N101" s="32">
        <f t="shared" si="150"/>
        <v>60</v>
      </c>
      <c r="O101" s="33">
        <f t="shared" si="151"/>
        <v>475.46</v>
      </c>
      <c r="P101" s="34">
        <v>0.47</v>
      </c>
      <c r="Q101" s="29">
        <f t="shared" si="152"/>
        <v>1159.96</v>
      </c>
      <c r="R101" s="35">
        <v>67.0</v>
      </c>
      <c r="S101" s="29">
        <f t="shared" si="153"/>
        <v>49.36</v>
      </c>
      <c r="T101" s="35">
        <v>25.0</v>
      </c>
      <c r="U101" s="29">
        <f t="shared" si="154"/>
        <v>37.02</v>
      </c>
      <c r="V101" s="29">
        <f t="shared" si="155"/>
        <v>95.018</v>
      </c>
      <c r="W101" s="36">
        <v>0.9</v>
      </c>
      <c r="X101" s="35">
        <v>67.0</v>
      </c>
      <c r="Y101" s="29">
        <f t="shared" si="156"/>
        <v>6.7</v>
      </c>
      <c r="Z101" s="37">
        <v>0.6</v>
      </c>
      <c r="AA101" s="29">
        <f t="shared" si="157"/>
        <v>0</v>
      </c>
      <c r="AB101" s="33">
        <f t="shared" si="158"/>
        <v>3.1038</v>
      </c>
      <c r="AC101" s="34">
        <v>0.07</v>
      </c>
      <c r="AD101" s="29">
        <f t="shared" si="159"/>
        <v>172.76</v>
      </c>
      <c r="AE101" s="36">
        <v>0.08</v>
      </c>
      <c r="AF101" s="29">
        <f t="shared" si="160"/>
        <v>197.44</v>
      </c>
      <c r="AG101" s="29">
        <f t="shared" si="161"/>
        <v>370.2</v>
      </c>
      <c r="AH101" s="38">
        <f t="shared" si="162"/>
        <v>0.15</v>
      </c>
      <c r="AI101" s="39">
        <f t="shared" si="163"/>
        <v>465.3382</v>
      </c>
      <c r="AJ101" s="40">
        <f t="shared" si="164"/>
        <v>95.1382</v>
      </c>
      <c r="AK101" s="41">
        <f t="shared" si="165"/>
        <v>0.0385487034</v>
      </c>
      <c r="AL101" s="42">
        <f t="shared" si="166"/>
        <v>0.2000971691</v>
      </c>
      <c r="AM101" s="29">
        <f t="shared" si="167"/>
        <v>2123.919711</v>
      </c>
      <c r="AN101" s="29">
        <f t="shared" si="168"/>
        <v>10</v>
      </c>
      <c r="AO101" s="29">
        <f t="shared" si="169"/>
        <v>74.04</v>
      </c>
    </row>
    <row r="102" ht="28.5" customHeight="1">
      <c r="A102" s="3"/>
      <c r="B102" s="21" t="s">
        <v>148</v>
      </c>
      <c r="C102" s="22" t="s">
        <v>51</v>
      </c>
      <c r="D102" s="23"/>
      <c r="E102" s="24"/>
      <c r="F102" s="29">
        <v>700.0</v>
      </c>
      <c r="G102" s="26">
        <v>1930.0</v>
      </c>
      <c r="H102" s="26">
        <v>128.0</v>
      </c>
      <c r="I102" s="26">
        <v>2.2</v>
      </c>
      <c r="J102" s="49">
        <v>2468.0</v>
      </c>
      <c r="K102" s="28">
        <v>0.45</v>
      </c>
      <c r="L102" s="30">
        <f t="shared" si="149"/>
        <v>1357.4</v>
      </c>
      <c r="M102" s="31">
        <v>415.46</v>
      </c>
      <c r="N102" s="32">
        <f t="shared" si="150"/>
        <v>60</v>
      </c>
      <c r="O102" s="33">
        <f t="shared" si="151"/>
        <v>475.46</v>
      </c>
      <c r="P102" s="34">
        <v>0.47</v>
      </c>
      <c r="Q102" s="29">
        <f t="shared" si="152"/>
        <v>1159.96</v>
      </c>
      <c r="R102" s="35">
        <v>67.0</v>
      </c>
      <c r="S102" s="29">
        <f t="shared" si="153"/>
        <v>49.36</v>
      </c>
      <c r="T102" s="35">
        <v>25.0</v>
      </c>
      <c r="U102" s="29">
        <f t="shared" si="154"/>
        <v>37.02</v>
      </c>
      <c r="V102" s="29">
        <f t="shared" si="155"/>
        <v>95.018</v>
      </c>
      <c r="W102" s="36">
        <v>0.9</v>
      </c>
      <c r="X102" s="35">
        <v>67.0</v>
      </c>
      <c r="Y102" s="29">
        <f t="shared" si="156"/>
        <v>6.7</v>
      </c>
      <c r="Z102" s="37">
        <v>0.6</v>
      </c>
      <c r="AA102" s="29">
        <f t="shared" si="157"/>
        <v>0</v>
      </c>
      <c r="AB102" s="33">
        <f t="shared" si="158"/>
        <v>3.1038</v>
      </c>
      <c r="AC102" s="34">
        <v>0.07</v>
      </c>
      <c r="AD102" s="29">
        <f t="shared" si="159"/>
        <v>172.76</v>
      </c>
      <c r="AE102" s="36">
        <v>0.08</v>
      </c>
      <c r="AF102" s="29">
        <f t="shared" si="160"/>
        <v>197.44</v>
      </c>
      <c r="AG102" s="29">
        <f t="shared" si="161"/>
        <v>370.2</v>
      </c>
      <c r="AH102" s="38">
        <f t="shared" si="162"/>
        <v>0.15</v>
      </c>
      <c r="AI102" s="39">
        <f t="shared" si="163"/>
        <v>465.3382</v>
      </c>
      <c r="AJ102" s="40">
        <f t="shared" si="164"/>
        <v>95.1382</v>
      </c>
      <c r="AK102" s="41">
        <f t="shared" si="165"/>
        <v>0.0385487034</v>
      </c>
      <c r="AL102" s="42">
        <f t="shared" si="166"/>
        <v>0.2000971691</v>
      </c>
      <c r="AM102" s="29">
        <f t="shared" si="167"/>
        <v>2123.919711</v>
      </c>
      <c r="AN102" s="29">
        <f t="shared" si="168"/>
        <v>10</v>
      </c>
      <c r="AO102" s="29">
        <f t="shared" si="169"/>
        <v>74.04</v>
      </c>
    </row>
    <row r="103" ht="28.5" customHeight="1">
      <c r="A103" s="43"/>
      <c r="B103" s="44" t="s">
        <v>149</v>
      </c>
      <c r="C103" s="44"/>
      <c r="D103" s="45"/>
      <c r="E103" s="45"/>
      <c r="F103" s="29">
        <v>320.0</v>
      </c>
      <c r="G103" s="29"/>
      <c r="H103" s="29"/>
      <c r="I103" s="29"/>
      <c r="J103" s="29"/>
      <c r="K103" s="46"/>
      <c r="L103" s="30"/>
      <c r="M103" s="32"/>
      <c r="N103" s="32"/>
      <c r="O103" s="33"/>
      <c r="P103" s="47"/>
      <c r="Q103" s="29"/>
      <c r="R103" s="29"/>
      <c r="S103" s="29"/>
      <c r="T103" s="29"/>
      <c r="U103" s="29"/>
      <c r="V103" s="29"/>
      <c r="W103" s="41"/>
      <c r="X103" s="29"/>
      <c r="Y103" s="29"/>
      <c r="Z103" s="48"/>
      <c r="AA103" s="29"/>
      <c r="AB103" s="33"/>
      <c r="AC103" s="47"/>
      <c r="AD103" s="29"/>
      <c r="AE103" s="41"/>
      <c r="AF103" s="29"/>
      <c r="AG103" s="29"/>
      <c r="AH103" s="38"/>
      <c r="AI103" s="39"/>
      <c r="AJ103" s="29"/>
      <c r="AK103" s="41"/>
      <c r="AL103" s="41"/>
      <c r="AM103" s="29"/>
      <c r="AN103" s="29"/>
      <c r="AO103" s="29"/>
    </row>
    <row r="104" ht="28.5" customHeight="1">
      <c r="A104" s="43"/>
      <c r="B104" s="44" t="s">
        <v>150</v>
      </c>
      <c r="C104" s="44"/>
      <c r="D104" s="45"/>
      <c r="E104" s="45"/>
      <c r="F104" s="29">
        <v>428.0</v>
      </c>
      <c r="G104" s="29"/>
      <c r="H104" s="29"/>
      <c r="I104" s="29"/>
      <c r="J104" s="29"/>
      <c r="K104" s="46"/>
      <c r="L104" s="30"/>
      <c r="M104" s="32"/>
      <c r="N104" s="32"/>
      <c r="O104" s="33"/>
      <c r="P104" s="47"/>
      <c r="Q104" s="29"/>
      <c r="R104" s="29"/>
      <c r="S104" s="29"/>
      <c r="T104" s="29"/>
      <c r="U104" s="29"/>
      <c r="V104" s="29"/>
      <c r="W104" s="41"/>
      <c r="X104" s="29"/>
      <c r="Y104" s="29"/>
      <c r="Z104" s="48"/>
      <c r="AA104" s="29"/>
      <c r="AB104" s="33"/>
      <c r="AC104" s="47"/>
      <c r="AD104" s="29"/>
      <c r="AE104" s="41"/>
      <c r="AF104" s="29"/>
      <c r="AG104" s="29"/>
      <c r="AH104" s="38"/>
      <c r="AI104" s="39"/>
      <c r="AJ104" s="29"/>
      <c r="AK104" s="41"/>
      <c r="AL104" s="41"/>
      <c r="AM104" s="29"/>
      <c r="AN104" s="29"/>
      <c r="AO104" s="29"/>
    </row>
    <row r="105" ht="14.25" customHeight="1">
      <c r="A105" s="17"/>
      <c r="B105" s="18" t="s">
        <v>151</v>
      </c>
      <c r="C105" s="18"/>
      <c r="D105" s="19"/>
      <c r="E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</row>
    <row r="106" ht="28.5" customHeight="1">
      <c r="A106" s="3"/>
      <c r="B106" s="21" t="s">
        <v>152</v>
      </c>
      <c r="C106" s="44" t="s">
        <v>51</v>
      </c>
      <c r="D106" s="23"/>
      <c r="E106" s="24"/>
      <c r="F106" s="29">
        <v>951.0</v>
      </c>
      <c r="G106" s="26">
        <v>2480.0</v>
      </c>
      <c r="H106" s="26">
        <v>293.0</v>
      </c>
      <c r="I106" s="26">
        <v>21.0</v>
      </c>
      <c r="J106" s="49">
        <v>2805.0</v>
      </c>
      <c r="K106" s="28">
        <v>0.45</v>
      </c>
      <c r="L106" s="30">
        <f t="shared" ref="L106:L111" si="170">J106*(1-K106)</f>
        <v>1542.75</v>
      </c>
      <c r="M106" s="31">
        <v>486.41</v>
      </c>
      <c r="N106" s="32">
        <f t="shared" ref="N106:N111" si="171">$J$5</f>
        <v>60</v>
      </c>
      <c r="O106" s="33">
        <f t="shared" ref="O106:O111" si="172">M106+N106</f>
        <v>546.41</v>
      </c>
      <c r="P106" s="34">
        <v>0.47</v>
      </c>
      <c r="Q106" s="29">
        <f t="shared" ref="Q106:Q111" si="173">J106*P106</f>
        <v>1318.35</v>
      </c>
      <c r="R106" s="35">
        <v>72.0</v>
      </c>
      <c r="S106" s="29">
        <f t="shared" ref="S106:S111" si="174">J106*$J$8</f>
        <v>56.1</v>
      </c>
      <c r="T106" s="35">
        <v>25.0</v>
      </c>
      <c r="U106" s="29">
        <f t="shared" ref="U106:U111" si="175">J106*$J$4</f>
        <v>42.075</v>
      </c>
      <c r="V106" s="29">
        <f t="shared" ref="V106:V111" si="176">L106*$J$3</f>
        <v>107.9925</v>
      </c>
      <c r="W106" s="36">
        <v>0.9</v>
      </c>
      <c r="X106" s="35">
        <v>72.0</v>
      </c>
      <c r="Y106" s="29">
        <f t="shared" ref="Y106:Y111" si="177">X106*(1-W106)</f>
        <v>7.2</v>
      </c>
      <c r="Z106" s="37">
        <v>1.1</v>
      </c>
      <c r="AA106" s="29">
        <f t="shared" ref="AA106:AA111" si="178">$J$6*$J$7*Z106</f>
        <v>0</v>
      </c>
      <c r="AB106" s="33">
        <f t="shared" ref="AB106:AB111" si="179">Z106*($J$9+$J$10)</f>
        <v>5.6903</v>
      </c>
      <c r="AC106" s="34">
        <v>0.07</v>
      </c>
      <c r="AD106" s="29">
        <f t="shared" ref="AD106:AD111" si="180">J106*AC106</f>
        <v>196.35</v>
      </c>
      <c r="AE106" s="36">
        <v>0.08</v>
      </c>
      <c r="AF106" s="29">
        <f t="shared" ref="AF106:AF111" si="181">J106*AE106</f>
        <v>224.4</v>
      </c>
      <c r="AG106" s="29">
        <f t="shared" ref="AG106:AG111" si="182">AD106+AF106</f>
        <v>420.75</v>
      </c>
      <c r="AH106" s="38">
        <f t="shared" ref="AH106:AH111" si="183">AG106/J106</f>
        <v>0.15</v>
      </c>
      <c r="AI106" s="39">
        <f t="shared" ref="AI106:AI111" si="184">J106-Q106-R106-S106-T106-U106-V106-Y106-AA106-AB106-O106-AN106-AO106</f>
        <v>530.0322</v>
      </c>
      <c r="AJ106" s="40">
        <f t="shared" ref="AJ106:AJ111" si="185">AI106-AG106</f>
        <v>109.2822</v>
      </c>
      <c r="AK106" s="41">
        <f t="shared" ref="AK106:AK111" si="186">AJ106/J106</f>
        <v>0.0389597861</v>
      </c>
      <c r="AL106" s="42">
        <f t="shared" ref="AL106:AL111" si="187">AJ106/O106</f>
        <v>0.200000366</v>
      </c>
      <c r="AM106" s="29">
        <f t="shared" ref="AM106:AM111" si="188">(R106+T106+Y106+AA106+AB106+O106+AN106)/(1-(P106+$J$4+(1-K106)*$J$3+$J$8+$J$11+AC106+AE106))</f>
        <v>2409.766004</v>
      </c>
      <c r="AN106" s="29">
        <f t="shared" ref="AN106:AN111" si="189">$J$12</f>
        <v>10</v>
      </c>
      <c r="AO106" s="29">
        <f t="shared" ref="AO106:AO111" si="190">J106*$J$11</f>
        <v>84.15</v>
      </c>
    </row>
    <row r="107" ht="28.5" customHeight="1">
      <c r="A107" s="3"/>
      <c r="B107" s="21" t="s">
        <v>153</v>
      </c>
      <c r="C107" s="22" t="s">
        <v>51</v>
      </c>
      <c r="D107" s="23"/>
      <c r="E107" s="24"/>
      <c r="F107" s="29">
        <v>734.0</v>
      </c>
      <c r="G107" s="26">
        <v>2570.0</v>
      </c>
      <c r="H107" s="26">
        <v>121.0</v>
      </c>
      <c r="I107" s="26">
        <v>12.0</v>
      </c>
      <c r="J107" s="49">
        <v>2895.0</v>
      </c>
      <c r="K107" s="28">
        <v>0.45</v>
      </c>
      <c r="L107" s="30">
        <f t="shared" si="170"/>
        <v>1592.25</v>
      </c>
      <c r="M107" s="31">
        <v>507.16</v>
      </c>
      <c r="N107" s="32">
        <f t="shared" si="171"/>
        <v>60</v>
      </c>
      <c r="O107" s="33">
        <f t="shared" si="172"/>
        <v>567.16</v>
      </c>
      <c r="P107" s="34">
        <v>0.47</v>
      </c>
      <c r="Q107" s="29">
        <f t="shared" si="173"/>
        <v>1360.65</v>
      </c>
      <c r="R107" s="35">
        <v>72.0</v>
      </c>
      <c r="S107" s="29">
        <f t="shared" si="174"/>
        <v>57.9</v>
      </c>
      <c r="T107" s="35">
        <v>25.0</v>
      </c>
      <c r="U107" s="29">
        <f t="shared" si="175"/>
        <v>43.425</v>
      </c>
      <c r="V107" s="29">
        <f t="shared" si="176"/>
        <v>111.4575</v>
      </c>
      <c r="W107" s="36">
        <v>0.9</v>
      </c>
      <c r="X107" s="35">
        <v>72.0</v>
      </c>
      <c r="Y107" s="29">
        <f t="shared" si="177"/>
        <v>7.2</v>
      </c>
      <c r="Z107" s="37">
        <v>1.1</v>
      </c>
      <c r="AA107" s="29">
        <f t="shared" si="178"/>
        <v>0</v>
      </c>
      <c r="AB107" s="33">
        <f t="shared" si="179"/>
        <v>5.6903</v>
      </c>
      <c r="AC107" s="34">
        <v>0.07</v>
      </c>
      <c r="AD107" s="29">
        <f t="shared" si="180"/>
        <v>202.65</v>
      </c>
      <c r="AE107" s="36">
        <v>0.08</v>
      </c>
      <c r="AF107" s="29">
        <f t="shared" si="181"/>
        <v>231.6</v>
      </c>
      <c r="AG107" s="29">
        <f t="shared" si="182"/>
        <v>434.25</v>
      </c>
      <c r="AH107" s="38">
        <f t="shared" si="183"/>
        <v>0.15</v>
      </c>
      <c r="AI107" s="39">
        <f t="shared" si="184"/>
        <v>547.6672</v>
      </c>
      <c r="AJ107" s="40">
        <f t="shared" si="185"/>
        <v>113.4172</v>
      </c>
      <c r="AK107" s="41">
        <f t="shared" si="186"/>
        <v>0.03917692573</v>
      </c>
      <c r="AL107" s="42">
        <f t="shared" si="187"/>
        <v>0.1999739051</v>
      </c>
      <c r="AM107" s="29">
        <f t="shared" si="188"/>
        <v>2484.811212</v>
      </c>
      <c r="AN107" s="29">
        <f t="shared" si="189"/>
        <v>10</v>
      </c>
      <c r="AO107" s="29">
        <f t="shared" si="190"/>
        <v>86.85</v>
      </c>
    </row>
    <row r="108" ht="28.5" customHeight="1">
      <c r="A108" s="3"/>
      <c r="B108" s="21" t="s">
        <v>154</v>
      </c>
      <c r="C108" s="22" t="s">
        <v>51</v>
      </c>
      <c r="D108" s="23"/>
      <c r="E108" s="24"/>
      <c r="F108" s="29">
        <v>619.0</v>
      </c>
      <c r="G108" s="26">
        <v>2680.0</v>
      </c>
      <c r="H108" s="26">
        <v>38.0</v>
      </c>
      <c r="I108" s="26">
        <v>9.7</v>
      </c>
      <c r="J108" s="49">
        <v>2850.0</v>
      </c>
      <c r="K108" s="28">
        <v>0.45</v>
      </c>
      <c r="L108" s="30">
        <f t="shared" si="170"/>
        <v>1567.5</v>
      </c>
      <c r="M108" s="31">
        <v>496.86</v>
      </c>
      <c r="N108" s="32">
        <f t="shared" si="171"/>
        <v>60</v>
      </c>
      <c r="O108" s="33">
        <f t="shared" si="172"/>
        <v>556.86</v>
      </c>
      <c r="P108" s="34">
        <v>0.47</v>
      </c>
      <c r="Q108" s="29">
        <f t="shared" si="173"/>
        <v>1339.5</v>
      </c>
      <c r="R108" s="35">
        <v>72.0</v>
      </c>
      <c r="S108" s="29">
        <f t="shared" si="174"/>
        <v>57</v>
      </c>
      <c r="T108" s="35">
        <v>25.0</v>
      </c>
      <c r="U108" s="29">
        <f t="shared" si="175"/>
        <v>42.75</v>
      </c>
      <c r="V108" s="29">
        <f t="shared" si="176"/>
        <v>109.725</v>
      </c>
      <c r="W108" s="36">
        <v>0.9</v>
      </c>
      <c r="X108" s="35">
        <v>72.0</v>
      </c>
      <c r="Y108" s="29">
        <f t="shared" si="177"/>
        <v>7.2</v>
      </c>
      <c r="Z108" s="37">
        <v>1.1</v>
      </c>
      <c r="AA108" s="29">
        <f t="shared" si="178"/>
        <v>0</v>
      </c>
      <c r="AB108" s="33">
        <f t="shared" si="179"/>
        <v>5.6903</v>
      </c>
      <c r="AC108" s="34">
        <v>0.07</v>
      </c>
      <c r="AD108" s="29">
        <f t="shared" si="180"/>
        <v>199.5</v>
      </c>
      <c r="AE108" s="36">
        <v>0.08</v>
      </c>
      <c r="AF108" s="29">
        <f t="shared" si="181"/>
        <v>228</v>
      </c>
      <c r="AG108" s="29">
        <f t="shared" si="182"/>
        <v>427.5</v>
      </c>
      <c r="AH108" s="38">
        <f t="shared" si="183"/>
        <v>0.15</v>
      </c>
      <c r="AI108" s="39">
        <f t="shared" si="184"/>
        <v>538.7747</v>
      </c>
      <c r="AJ108" s="40">
        <f t="shared" si="185"/>
        <v>111.2747</v>
      </c>
      <c r="AK108" s="41">
        <f t="shared" si="186"/>
        <v>0.03904375439</v>
      </c>
      <c r="AL108" s="42">
        <f t="shared" si="187"/>
        <v>0.1998252703</v>
      </c>
      <c r="AM108" s="29">
        <f t="shared" si="188"/>
        <v>2447.559855</v>
      </c>
      <c r="AN108" s="29">
        <f t="shared" si="189"/>
        <v>10</v>
      </c>
      <c r="AO108" s="29">
        <f t="shared" si="190"/>
        <v>85.5</v>
      </c>
    </row>
    <row r="109" ht="28.5" customHeight="1">
      <c r="A109" s="3"/>
      <c r="B109" s="21" t="s">
        <v>155</v>
      </c>
      <c r="C109" s="22" t="s">
        <v>51</v>
      </c>
      <c r="D109" s="23"/>
      <c r="E109" s="24"/>
      <c r="F109" s="29">
        <v>542.0</v>
      </c>
      <c r="G109" s="26">
        <v>2420.0</v>
      </c>
      <c r="H109" s="26">
        <v>409.0</v>
      </c>
      <c r="I109" s="26">
        <v>23.0</v>
      </c>
      <c r="J109" s="49">
        <v>2858.0</v>
      </c>
      <c r="K109" s="28">
        <v>0.45</v>
      </c>
      <c r="L109" s="30">
        <f t="shared" si="170"/>
        <v>1571.9</v>
      </c>
      <c r="M109" s="31">
        <v>498.54</v>
      </c>
      <c r="N109" s="32">
        <f t="shared" si="171"/>
        <v>60</v>
      </c>
      <c r="O109" s="33">
        <f t="shared" si="172"/>
        <v>558.54</v>
      </c>
      <c r="P109" s="34">
        <v>0.47</v>
      </c>
      <c r="Q109" s="29">
        <f t="shared" si="173"/>
        <v>1343.26</v>
      </c>
      <c r="R109" s="35">
        <v>72.0</v>
      </c>
      <c r="S109" s="29">
        <f t="shared" si="174"/>
        <v>57.16</v>
      </c>
      <c r="T109" s="35">
        <v>25.0</v>
      </c>
      <c r="U109" s="29">
        <f t="shared" si="175"/>
        <v>42.87</v>
      </c>
      <c r="V109" s="29">
        <f t="shared" si="176"/>
        <v>110.033</v>
      </c>
      <c r="W109" s="36">
        <v>0.9</v>
      </c>
      <c r="X109" s="35">
        <v>72.0</v>
      </c>
      <c r="Y109" s="29">
        <f t="shared" si="177"/>
        <v>7.2</v>
      </c>
      <c r="Z109" s="37">
        <v>1.1</v>
      </c>
      <c r="AA109" s="29">
        <f t="shared" si="178"/>
        <v>0</v>
      </c>
      <c r="AB109" s="33">
        <f t="shared" si="179"/>
        <v>5.6903</v>
      </c>
      <c r="AC109" s="34">
        <v>0.07</v>
      </c>
      <c r="AD109" s="29">
        <f t="shared" si="180"/>
        <v>200.06</v>
      </c>
      <c r="AE109" s="36">
        <v>0.08</v>
      </c>
      <c r="AF109" s="29">
        <f t="shared" si="181"/>
        <v>228.64</v>
      </c>
      <c r="AG109" s="29">
        <f t="shared" si="182"/>
        <v>428.7</v>
      </c>
      <c r="AH109" s="38">
        <f t="shared" si="183"/>
        <v>0.15</v>
      </c>
      <c r="AI109" s="39">
        <f t="shared" si="184"/>
        <v>540.5067</v>
      </c>
      <c r="AJ109" s="40">
        <f t="shared" si="185"/>
        <v>111.8067</v>
      </c>
      <c r="AK109" s="41">
        <f t="shared" si="186"/>
        <v>0.03912060882</v>
      </c>
      <c r="AL109" s="42">
        <f t="shared" si="187"/>
        <v>0.2001767107</v>
      </c>
      <c r="AM109" s="29">
        <f t="shared" si="188"/>
        <v>2453.635805</v>
      </c>
      <c r="AN109" s="29">
        <f t="shared" si="189"/>
        <v>10</v>
      </c>
      <c r="AO109" s="29">
        <f t="shared" si="190"/>
        <v>85.74</v>
      </c>
    </row>
    <row r="110" ht="28.5" customHeight="1">
      <c r="A110" s="3"/>
      <c r="B110" s="21" t="s">
        <v>156</v>
      </c>
      <c r="C110" s="44" t="s">
        <v>51</v>
      </c>
      <c r="D110" s="23"/>
      <c r="E110" s="24"/>
      <c r="F110" s="29">
        <v>453.0</v>
      </c>
      <c r="G110" s="26">
        <v>2280.0</v>
      </c>
      <c r="H110" s="26">
        <v>19.0</v>
      </c>
      <c r="I110" s="26">
        <v>8.0</v>
      </c>
      <c r="J110" s="49">
        <v>2769.0</v>
      </c>
      <c r="K110" s="28">
        <v>0.45</v>
      </c>
      <c r="L110" s="30">
        <f t="shared" si="170"/>
        <v>1522.95</v>
      </c>
      <c r="M110" s="31">
        <v>478.17</v>
      </c>
      <c r="N110" s="32">
        <f t="shared" si="171"/>
        <v>60</v>
      </c>
      <c r="O110" s="33">
        <f t="shared" si="172"/>
        <v>538.17</v>
      </c>
      <c r="P110" s="34">
        <v>0.47</v>
      </c>
      <c r="Q110" s="29">
        <f t="shared" si="173"/>
        <v>1301.43</v>
      </c>
      <c r="R110" s="35">
        <v>72.0</v>
      </c>
      <c r="S110" s="29">
        <f t="shared" si="174"/>
        <v>55.38</v>
      </c>
      <c r="T110" s="35">
        <v>25.0</v>
      </c>
      <c r="U110" s="29">
        <f t="shared" si="175"/>
        <v>41.535</v>
      </c>
      <c r="V110" s="29">
        <f t="shared" si="176"/>
        <v>106.6065</v>
      </c>
      <c r="W110" s="36">
        <v>0.9</v>
      </c>
      <c r="X110" s="35">
        <v>72.0</v>
      </c>
      <c r="Y110" s="29">
        <f t="shared" si="177"/>
        <v>7.2</v>
      </c>
      <c r="Z110" s="37">
        <v>1.1</v>
      </c>
      <c r="AA110" s="29">
        <f t="shared" si="178"/>
        <v>0</v>
      </c>
      <c r="AB110" s="33">
        <f t="shared" si="179"/>
        <v>5.6903</v>
      </c>
      <c r="AC110" s="34">
        <v>0.07</v>
      </c>
      <c r="AD110" s="29">
        <f t="shared" si="180"/>
        <v>193.83</v>
      </c>
      <c r="AE110" s="36">
        <v>0.08</v>
      </c>
      <c r="AF110" s="29">
        <f t="shared" si="181"/>
        <v>221.52</v>
      </c>
      <c r="AG110" s="29">
        <f t="shared" si="182"/>
        <v>415.35</v>
      </c>
      <c r="AH110" s="38">
        <f t="shared" si="183"/>
        <v>0.15</v>
      </c>
      <c r="AI110" s="39">
        <f t="shared" si="184"/>
        <v>522.9182</v>
      </c>
      <c r="AJ110" s="40">
        <f t="shared" si="185"/>
        <v>107.5682</v>
      </c>
      <c r="AK110" s="41">
        <f t="shared" si="186"/>
        <v>0.0388473095</v>
      </c>
      <c r="AL110" s="42">
        <f t="shared" si="187"/>
        <v>0.1998777338</v>
      </c>
      <c r="AM110" s="29">
        <f t="shared" si="188"/>
        <v>2379.964919</v>
      </c>
      <c r="AN110" s="29">
        <f t="shared" si="189"/>
        <v>10</v>
      </c>
      <c r="AO110" s="29">
        <f t="shared" si="190"/>
        <v>83.07</v>
      </c>
    </row>
    <row r="111" ht="28.5" customHeight="1">
      <c r="A111" s="3"/>
      <c r="B111" s="21" t="s">
        <v>157</v>
      </c>
      <c r="C111" s="22" t="s">
        <v>51</v>
      </c>
      <c r="D111" s="23"/>
      <c r="E111" s="24"/>
      <c r="F111" s="29">
        <v>543.0</v>
      </c>
      <c r="G111" s="26">
        <v>2225.0</v>
      </c>
      <c r="H111" s="26">
        <v>156.0</v>
      </c>
      <c r="I111" s="26">
        <v>23.0</v>
      </c>
      <c r="J111" s="49">
        <v>2769.0</v>
      </c>
      <c r="K111" s="28">
        <v>0.45</v>
      </c>
      <c r="L111" s="30">
        <f t="shared" si="170"/>
        <v>1522.95</v>
      </c>
      <c r="M111" s="31">
        <v>478.05</v>
      </c>
      <c r="N111" s="32">
        <f t="shared" si="171"/>
        <v>60</v>
      </c>
      <c r="O111" s="33">
        <f t="shared" si="172"/>
        <v>538.05</v>
      </c>
      <c r="P111" s="34">
        <v>0.47</v>
      </c>
      <c r="Q111" s="29">
        <f t="shared" si="173"/>
        <v>1301.43</v>
      </c>
      <c r="R111" s="35">
        <v>72.0</v>
      </c>
      <c r="S111" s="29">
        <f t="shared" si="174"/>
        <v>55.38</v>
      </c>
      <c r="T111" s="35">
        <v>25.0</v>
      </c>
      <c r="U111" s="29">
        <f t="shared" si="175"/>
        <v>41.535</v>
      </c>
      <c r="V111" s="29">
        <f t="shared" si="176"/>
        <v>106.6065</v>
      </c>
      <c r="W111" s="36">
        <v>0.9</v>
      </c>
      <c r="X111" s="35">
        <v>72.0</v>
      </c>
      <c r="Y111" s="29">
        <f t="shared" si="177"/>
        <v>7.2</v>
      </c>
      <c r="Z111" s="37">
        <v>1.1</v>
      </c>
      <c r="AA111" s="29">
        <f t="shared" si="178"/>
        <v>0</v>
      </c>
      <c r="AB111" s="33">
        <f t="shared" si="179"/>
        <v>5.6903</v>
      </c>
      <c r="AC111" s="34">
        <v>0.07</v>
      </c>
      <c r="AD111" s="29">
        <f t="shared" si="180"/>
        <v>193.83</v>
      </c>
      <c r="AE111" s="36">
        <v>0.08</v>
      </c>
      <c r="AF111" s="29">
        <f t="shared" si="181"/>
        <v>221.52</v>
      </c>
      <c r="AG111" s="29">
        <f t="shared" si="182"/>
        <v>415.35</v>
      </c>
      <c r="AH111" s="38">
        <f t="shared" si="183"/>
        <v>0.15</v>
      </c>
      <c r="AI111" s="39">
        <f t="shared" si="184"/>
        <v>523.0382</v>
      </c>
      <c r="AJ111" s="40">
        <f t="shared" si="185"/>
        <v>107.6882</v>
      </c>
      <c r="AK111" s="41">
        <f t="shared" si="186"/>
        <v>0.03889064644</v>
      </c>
      <c r="AL111" s="42">
        <f t="shared" si="187"/>
        <v>0.2001453397</v>
      </c>
      <c r="AM111" s="29">
        <f t="shared" si="188"/>
        <v>2379.530922</v>
      </c>
      <c r="AN111" s="29">
        <f t="shared" si="189"/>
        <v>10</v>
      </c>
      <c r="AO111" s="29">
        <f t="shared" si="190"/>
        <v>83.07</v>
      </c>
    </row>
    <row r="112" ht="14.25" customHeight="1">
      <c r="A112" s="17"/>
      <c r="B112" s="18" t="s">
        <v>158</v>
      </c>
      <c r="C112" s="18"/>
      <c r="D112" s="19"/>
      <c r="E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</row>
    <row r="113" ht="14.25" customHeight="1">
      <c r="A113" s="3"/>
      <c r="B113" s="21" t="s">
        <v>159</v>
      </c>
      <c r="C113" s="21"/>
      <c r="D113" s="23"/>
      <c r="E113" s="24"/>
      <c r="F113" s="29">
        <v>7158.0</v>
      </c>
      <c r="G113" s="26">
        <v>2335.0</v>
      </c>
      <c r="H113" s="26">
        <v>4000.0</v>
      </c>
      <c r="I113" s="26">
        <v>3.0</v>
      </c>
      <c r="J113" s="26">
        <f>(1.25*O113+R113+T113+Y113+AA113+AB113+AN113)/(1-P113-$J$8-$J$4-(1-K113)*$J$3-$J$11-AC113-AE113)</f>
        <v>2810.158915</v>
      </c>
      <c r="K113" s="28">
        <v>0.45</v>
      </c>
      <c r="L113" s="30">
        <f>J113*(1-K113)</f>
        <v>1545.587403</v>
      </c>
      <c r="M113" s="31">
        <v>463.19</v>
      </c>
      <c r="N113" s="32">
        <f>$J$5</f>
        <v>60</v>
      </c>
      <c r="O113" s="33">
        <f>M113+N113</f>
        <v>523.19</v>
      </c>
      <c r="P113" s="34">
        <v>0.47</v>
      </c>
      <c r="Q113" s="29">
        <f>J113*P113</f>
        <v>1320.77469</v>
      </c>
      <c r="R113" s="35">
        <v>74.0</v>
      </c>
      <c r="S113" s="29">
        <f>J113*$J$8</f>
        <v>56.2031783</v>
      </c>
      <c r="T113" s="35">
        <v>25.0</v>
      </c>
      <c r="U113" s="29">
        <f>J113*$J$4</f>
        <v>42.15238373</v>
      </c>
      <c r="V113" s="29">
        <f>L113*$J$3</f>
        <v>108.1911182</v>
      </c>
      <c r="W113" s="36">
        <v>0.9</v>
      </c>
      <c r="X113" s="35">
        <v>74.0</v>
      </c>
      <c r="Y113" s="29">
        <f>X113*(1-W113)</f>
        <v>7.4</v>
      </c>
      <c r="Z113" s="37">
        <v>1.28</v>
      </c>
      <c r="AA113" s="29">
        <f>$J$6*$J$7*Z113</f>
        <v>0</v>
      </c>
      <c r="AB113" s="33">
        <f>Z113*($J$9+$J$10)</f>
        <v>6.62144</v>
      </c>
      <c r="AC113" s="34">
        <v>0.07</v>
      </c>
      <c r="AD113" s="29">
        <f>J113*AC113</f>
        <v>196.7111241</v>
      </c>
      <c r="AE113" s="36">
        <v>0.08</v>
      </c>
      <c r="AF113" s="29">
        <f>J113*AE113</f>
        <v>224.8127132</v>
      </c>
      <c r="AG113" s="29">
        <f>AD113+AF113</f>
        <v>421.5238373</v>
      </c>
      <c r="AH113" s="38">
        <f>AG113/J113</f>
        <v>0.15</v>
      </c>
      <c r="AI113" s="39">
        <f>J113-Q113-R113-S113-T113-U113-V113-Y113-AA113-AB113-O113-AN113-AO113</f>
        <v>552.3213373</v>
      </c>
      <c r="AJ113" s="40">
        <f>AI113-AG113</f>
        <v>130.7975</v>
      </c>
      <c r="AK113" s="41">
        <f>AJ113/J113</f>
        <v>0.04654452077</v>
      </c>
      <c r="AL113" s="42">
        <f>AJ113/O113</f>
        <v>0.25</v>
      </c>
      <c r="AM113" s="29">
        <f>(R113+T113+Y113+AA113+AB113+O113+AN113)/(1-(P113+$J$4+(1-K113)*$J$3+$J$8+$J$11+AC113+AE113))</f>
        <v>2337.111899</v>
      </c>
      <c r="AN113" s="29">
        <f>$J$12</f>
        <v>10</v>
      </c>
      <c r="AO113" s="29">
        <f>J113*$J$11</f>
        <v>84.30476745</v>
      </c>
    </row>
    <row r="114" ht="28.5" customHeight="1">
      <c r="A114" s="43"/>
      <c r="B114" s="44" t="s">
        <v>160</v>
      </c>
      <c r="C114" s="44" t="s">
        <v>51</v>
      </c>
      <c r="D114" s="45"/>
      <c r="E114" s="45"/>
      <c r="F114" s="29">
        <v>260.0</v>
      </c>
      <c r="G114" s="29"/>
      <c r="H114" s="29"/>
      <c r="I114" s="29"/>
      <c r="J114" s="29"/>
      <c r="K114" s="46"/>
      <c r="L114" s="30"/>
      <c r="M114" s="32"/>
      <c r="N114" s="32"/>
      <c r="O114" s="33"/>
      <c r="P114" s="47"/>
      <c r="Q114" s="29"/>
      <c r="R114" s="29"/>
      <c r="S114" s="29"/>
      <c r="T114" s="29"/>
      <c r="U114" s="29"/>
      <c r="V114" s="29"/>
      <c r="W114" s="41"/>
      <c r="X114" s="29"/>
      <c r="Y114" s="29"/>
      <c r="Z114" s="48"/>
      <c r="AA114" s="29"/>
      <c r="AB114" s="33"/>
      <c r="AC114" s="47"/>
      <c r="AD114" s="29"/>
      <c r="AE114" s="41"/>
      <c r="AF114" s="29"/>
      <c r="AG114" s="29"/>
      <c r="AH114" s="38"/>
      <c r="AI114" s="39"/>
      <c r="AJ114" s="29"/>
      <c r="AK114" s="41"/>
      <c r="AL114" s="41"/>
      <c r="AM114" s="29"/>
      <c r="AN114" s="29"/>
      <c r="AO114" s="29"/>
    </row>
    <row r="115" ht="28.5" customHeight="1">
      <c r="A115" s="3"/>
      <c r="B115" s="21" t="s">
        <v>161</v>
      </c>
      <c r="C115" s="21"/>
      <c r="D115" s="23"/>
      <c r="E115" s="24"/>
      <c r="F115" s="29">
        <v>1422.0</v>
      </c>
      <c r="G115" s="26"/>
      <c r="H115" s="26"/>
      <c r="I115" s="26"/>
      <c r="J115" s="26">
        <f>(1.25*O115+R115+T115+Y115+AA115+AB115+AN115)/(1-P115-$J$8-$J$4-(1-K115)*$J$3-$J$11-AC115-AE115)</f>
        <v>2995.437251</v>
      </c>
      <c r="K115" s="28">
        <v>0.45</v>
      </c>
      <c r="L115" s="30">
        <f>J115*(1-K115)</f>
        <v>1647.490488</v>
      </c>
      <c r="M115" s="31">
        <v>512.32</v>
      </c>
      <c r="N115" s="32">
        <f>$J$5</f>
        <v>60</v>
      </c>
      <c r="O115" s="33">
        <f>M115+N115</f>
        <v>572.32</v>
      </c>
      <c r="P115" s="34">
        <v>0.47</v>
      </c>
      <c r="Q115" s="29">
        <f>J115*P115</f>
        <v>1407.855508</v>
      </c>
      <c r="R115" s="35">
        <v>67.0</v>
      </c>
      <c r="S115" s="29">
        <f>J115*$J$8</f>
        <v>59.90874503</v>
      </c>
      <c r="T115" s="35">
        <v>25.0</v>
      </c>
      <c r="U115" s="29">
        <f>J115*$J$4</f>
        <v>44.93155877</v>
      </c>
      <c r="V115" s="29">
        <f>L115*$J$3</f>
        <v>115.3243342</v>
      </c>
      <c r="W115" s="36">
        <v>0.9</v>
      </c>
      <c r="X115" s="35">
        <v>67.0</v>
      </c>
      <c r="Y115" s="29">
        <f>X115*(1-W115)</f>
        <v>6.7</v>
      </c>
      <c r="Z115" s="37">
        <v>0.8</v>
      </c>
      <c r="AA115" s="29">
        <f>$J$6*$J$7*Z115</f>
        <v>0</v>
      </c>
      <c r="AB115" s="33">
        <f>Z115*($J$9+$J$10)</f>
        <v>4.1384</v>
      </c>
      <c r="AC115" s="34">
        <v>0.07</v>
      </c>
      <c r="AD115" s="29">
        <f>J115*AC115</f>
        <v>209.6806076</v>
      </c>
      <c r="AE115" s="36">
        <v>0.08</v>
      </c>
      <c r="AF115" s="29">
        <f>J115*AE115</f>
        <v>239.6349801</v>
      </c>
      <c r="AG115" s="29">
        <f>AD115+AF115</f>
        <v>449.3155877</v>
      </c>
      <c r="AH115" s="38">
        <f>AG115/J115</f>
        <v>0.15</v>
      </c>
      <c r="AI115" s="39">
        <f>J115-Q115-R115-S115-T115-U115-V115-Y115-AA115-AB115-O115-AN115-AO115</f>
        <v>592.3955877</v>
      </c>
      <c r="AJ115" s="40">
        <f>AI115-AG115</f>
        <v>143.08</v>
      </c>
      <c r="AK115" s="41">
        <f>AJ115/J115</f>
        <v>0.04776598139</v>
      </c>
      <c r="AL115" s="42">
        <f>AJ115/O115</f>
        <v>0.25</v>
      </c>
      <c r="AM115" s="29">
        <f>(R115+T115+Y115+AA115+AB115+O115+AN115)/(1-(P115+$J$4+(1-K115)*$J$3+$J$8+$J$11+AC115+AE115))</f>
        <v>2477.968897</v>
      </c>
      <c r="AN115" s="29">
        <f>$J$12</f>
        <v>10</v>
      </c>
      <c r="AO115" s="29">
        <f>J115*$J$11</f>
        <v>89.86311754</v>
      </c>
    </row>
    <row r="116" ht="28.5" customHeight="1">
      <c r="A116" s="43"/>
      <c r="B116" s="44" t="s">
        <v>162</v>
      </c>
      <c r="C116" s="44" t="s">
        <v>51</v>
      </c>
      <c r="D116" s="45"/>
      <c r="E116" s="45"/>
      <c r="F116" s="29">
        <v>150.0</v>
      </c>
      <c r="G116" s="29"/>
      <c r="H116" s="29"/>
      <c r="I116" s="29"/>
      <c r="J116" s="29"/>
      <c r="K116" s="46"/>
      <c r="L116" s="30"/>
      <c r="M116" s="32"/>
      <c r="N116" s="32"/>
      <c r="O116" s="33"/>
      <c r="P116" s="47"/>
      <c r="Q116" s="29"/>
      <c r="R116" s="29"/>
      <c r="S116" s="29"/>
      <c r="T116" s="29"/>
      <c r="U116" s="29"/>
      <c r="V116" s="29"/>
      <c r="W116" s="41"/>
      <c r="X116" s="29"/>
      <c r="Y116" s="29"/>
      <c r="Z116" s="48"/>
      <c r="AA116" s="29"/>
      <c r="AB116" s="33"/>
      <c r="AC116" s="47"/>
      <c r="AD116" s="29"/>
      <c r="AE116" s="41"/>
      <c r="AF116" s="29"/>
      <c r="AG116" s="29"/>
      <c r="AH116" s="38"/>
      <c r="AI116" s="39"/>
      <c r="AJ116" s="29"/>
      <c r="AK116" s="41"/>
      <c r="AL116" s="41"/>
      <c r="AM116" s="29"/>
      <c r="AN116" s="29"/>
      <c r="AO116" s="29"/>
    </row>
    <row r="117" ht="28.5" customHeight="1">
      <c r="A117" s="43"/>
      <c r="B117" s="44" t="s">
        <v>163</v>
      </c>
      <c r="C117" s="44" t="s">
        <v>51</v>
      </c>
      <c r="D117" s="45"/>
      <c r="E117" s="45"/>
      <c r="F117" s="29">
        <v>37.0</v>
      </c>
      <c r="G117" s="29"/>
      <c r="H117" s="29"/>
      <c r="I117" s="29"/>
      <c r="J117" s="29"/>
      <c r="K117" s="46"/>
      <c r="L117" s="30"/>
      <c r="M117" s="32"/>
      <c r="N117" s="32"/>
      <c r="O117" s="33"/>
      <c r="P117" s="47"/>
      <c r="Q117" s="29"/>
      <c r="R117" s="29"/>
      <c r="S117" s="29"/>
      <c r="T117" s="29"/>
      <c r="U117" s="29"/>
      <c r="V117" s="29"/>
      <c r="W117" s="41"/>
      <c r="X117" s="29"/>
      <c r="Y117" s="29"/>
      <c r="Z117" s="48"/>
      <c r="AA117" s="29"/>
      <c r="AB117" s="33"/>
      <c r="AC117" s="47"/>
      <c r="AD117" s="29"/>
      <c r="AE117" s="41"/>
      <c r="AF117" s="29"/>
      <c r="AG117" s="29"/>
      <c r="AH117" s="38"/>
      <c r="AI117" s="39"/>
      <c r="AJ117" s="29"/>
      <c r="AK117" s="41"/>
      <c r="AL117" s="41"/>
      <c r="AM117" s="29"/>
      <c r="AN117" s="29"/>
      <c r="AO117" s="29"/>
    </row>
    <row r="118" ht="14.25" customHeight="1">
      <c r="A118" s="3"/>
      <c r="B118" s="21" t="s">
        <v>164</v>
      </c>
      <c r="C118" s="3"/>
      <c r="D118" s="57"/>
      <c r="E118" s="4"/>
      <c r="F118" s="29">
        <v>998.0</v>
      </c>
      <c r="G118" s="26">
        <v>3400.0</v>
      </c>
      <c r="H118" s="26">
        <v>260.0</v>
      </c>
      <c r="I118" s="26">
        <v>2.0</v>
      </c>
      <c r="J118" s="26">
        <f>(1.25*O118+R118+T118+Y118+AA118+AB118+AN118)/(1-P118-$J$8-$J$4-(1-K118)*$J$3-$J$11-AC118-AE118)</f>
        <v>2810.158915</v>
      </c>
      <c r="K118" s="28">
        <v>0.45</v>
      </c>
      <c r="L118" s="30">
        <f>J118*(1-K118)</f>
        <v>1545.587403</v>
      </c>
      <c r="M118" s="31">
        <v>463.19</v>
      </c>
      <c r="N118" s="32">
        <f>$J$5</f>
        <v>60</v>
      </c>
      <c r="O118" s="33">
        <f>M118+N118</f>
        <v>523.19</v>
      </c>
      <c r="P118" s="34">
        <v>0.47</v>
      </c>
      <c r="Q118" s="29">
        <f>J118*P118</f>
        <v>1320.77469</v>
      </c>
      <c r="R118" s="35">
        <v>74.0</v>
      </c>
      <c r="S118" s="29">
        <f>J118*$J$8</f>
        <v>56.2031783</v>
      </c>
      <c r="T118" s="35">
        <v>25.0</v>
      </c>
      <c r="U118" s="29">
        <f>J118*$J$4</f>
        <v>42.15238373</v>
      </c>
      <c r="V118" s="29">
        <f>L118*$J$3</f>
        <v>108.1911182</v>
      </c>
      <c r="W118" s="36">
        <v>0.9</v>
      </c>
      <c r="X118" s="35">
        <v>74.0</v>
      </c>
      <c r="Y118" s="29">
        <f>X118*(1-W118)</f>
        <v>7.4</v>
      </c>
      <c r="Z118" s="37">
        <v>1.28</v>
      </c>
      <c r="AA118" s="29">
        <f>$J$6*$J$7*Z118</f>
        <v>0</v>
      </c>
      <c r="AB118" s="33">
        <f>Z118*($J$9+$J$10)</f>
        <v>6.62144</v>
      </c>
      <c r="AC118" s="34">
        <v>0.07</v>
      </c>
      <c r="AD118" s="29">
        <f>J118*AC118</f>
        <v>196.7111241</v>
      </c>
      <c r="AE118" s="36">
        <v>0.08</v>
      </c>
      <c r="AF118" s="29">
        <f>J118*AE118</f>
        <v>224.8127132</v>
      </c>
      <c r="AG118" s="29">
        <f>AD118+AF118</f>
        <v>421.5238373</v>
      </c>
      <c r="AH118" s="38">
        <f>AG118/J118</f>
        <v>0.15</v>
      </c>
      <c r="AI118" s="39">
        <f>J118-Q118-R118-S118-T118-U118-V118-Y118-AA118-AB118-O118-AN118-AO118</f>
        <v>552.3213373</v>
      </c>
      <c r="AJ118" s="40">
        <f>AI118-AG118</f>
        <v>130.7975</v>
      </c>
      <c r="AK118" s="41">
        <f>AJ118/J118</f>
        <v>0.04654452077</v>
      </c>
      <c r="AL118" s="42">
        <f>AJ118/O118</f>
        <v>0.25</v>
      </c>
      <c r="AM118" s="29">
        <f>(R118+T118+Y118+AA118+AB118+O118+AN118)/(1-(P118+$J$4+(1-K118)*$J$3+$J$8+$J$11+AC118+AE118))</f>
        <v>2337.111899</v>
      </c>
      <c r="AN118" s="29">
        <f>$J$12</f>
        <v>10</v>
      </c>
      <c r="AO118" s="29">
        <f>J118*$J$11</f>
        <v>84.30476745</v>
      </c>
    </row>
    <row r="119" ht="14.25" customHeight="1">
      <c r="A119" s="17"/>
      <c r="B119" s="18" t="s">
        <v>165</v>
      </c>
      <c r="C119" s="18"/>
      <c r="D119" s="19"/>
      <c r="E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</row>
    <row r="120" ht="28.5" customHeight="1">
      <c r="A120" s="43"/>
      <c r="B120" s="44" t="s">
        <v>166</v>
      </c>
      <c r="C120" s="44" t="s">
        <v>51</v>
      </c>
      <c r="D120" s="45"/>
      <c r="E120" s="45"/>
      <c r="F120" s="29">
        <v>30.0</v>
      </c>
      <c r="G120" s="29"/>
      <c r="H120" s="29"/>
      <c r="I120" s="29"/>
      <c r="J120" s="29"/>
      <c r="K120" s="46"/>
      <c r="L120" s="30"/>
      <c r="M120" s="32"/>
      <c r="N120" s="32"/>
      <c r="O120" s="33"/>
      <c r="P120" s="47"/>
      <c r="Q120" s="29"/>
      <c r="R120" s="29"/>
      <c r="S120" s="29"/>
      <c r="T120" s="29"/>
      <c r="U120" s="29"/>
      <c r="V120" s="29"/>
      <c r="W120" s="41"/>
      <c r="X120" s="29"/>
      <c r="Y120" s="29"/>
      <c r="Z120" s="48"/>
      <c r="AA120" s="29"/>
      <c r="AB120" s="33"/>
      <c r="AC120" s="47"/>
      <c r="AD120" s="29"/>
      <c r="AE120" s="41"/>
      <c r="AF120" s="29"/>
      <c r="AG120" s="29"/>
      <c r="AH120" s="38"/>
      <c r="AI120" s="39"/>
      <c r="AJ120" s="29"/>
      <c r="AK120" s="41"/>
      <c r="AL120" s="41"/>
      <c r="AM120" s="29"/>
      <c r="AN120" s="29"/>
      <c r="AO120" s="29"/>
    </row>
    <row r="121" ht="28.5" customHeight="1">
      <c r="A121" s="43"/>
      <c r="B121" s="44" t="s">
        <v>167</v>
      </c>
      <c r="C121" s="44" t="s">
        <v>51</v>
      </c>
      <c r="D121" s="45"/>
      <c r="E121" s="45"/>
      <c r="F121" s="29">
        <v>22.0</v>
      </c>
      <c r="G121" s="29"/>
      <c r="H121" s="29"/>
      <c r="I121" s="29"/>
      <c r="J121" s="29"/>
      <c r="K121" s="46"/>
      <c r="L121" s="30"/>
      <c r="M121" s="32"/>
      <c r="N121" s="32"/>
      <c r="O121" s="33"/>
      <c r="P121" s="47"/>
      <c r="Q121" s="29"/>
      <c r="R121" s="29"/>
      <c r="S121" s="29"/>
      <c r="T121" s="29"/>
      <c r="U121" s="29"/>
      <c r="V121" s="29"/>
      <c r="W121" s="41"/>
      <c r="X121" s="29"/>
      <c r="Y121" s="29"/>
      <c r="Z121" s="48"/>
      <c r="AA121" s="29"/>
      <c r="AB121" s="33"/>
      <c r="AC121" s="47"/>
      <c r="AD121" s="29"/>
      <c r="AE121" s="41"/>
      <c r="AF121" s="29"/>
      <c r="AG121" s="29"/>
      <c r="AH121" s="38"/>
      <c r="AI121" s="39"/>
      <c r="AJ121" s="29"/>
      <c r="AK121" s="41"/>
      <c r="AL121" s="41"/>
      <c r="AM121" s="29"/>
      <c r="AN121" s="29"/>
      <c r="AO121" s="29"/>
    </row>
    <row r="122" ht="14.25" customHeight="1">
      <c r="A122" s="17"/>
      <c r="B122" s="18" t="s">
        <v>168</v>
      </c>
      <c r="C122" s="18"/>
      <c r="D122" s="19"/>
      <c r="E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</row>
    <row r="123" ht="28.5" customHeight="1">
      <c r="A123" s="43"/>
      <c r="B123" s="44" t="s">
        <v>169</v>
      </c>
      <c r="C123" s="44"/>
      <c r="D123" s="45"/>
      <c r="E123" s="45"/>
      <c r="F123" s="29">
        <v>527.0</v>
      </c>
      <c r="G123" s="29"/>
      <c r="H123" s="29"/>
      <c r="I123" s="29"/>
      <c r="J123" s="29"/>
      <c r="K123" s="46"/>
      <c r="L123" s="30"/>
      <c r="M123" s="32"/>
      <c r="N123" s="32"/>
      <c r="O123" s="33"/>
      <c r="P123" s="47"/>
      <c r="Q123" s="29"/>
      <c r="R123" s="29"/>
      <c r="S123" s="29"/>
      <c r="T123" s="29"/>
      <c r="U123" s="29"/>
      <c r="V123" s="29"/>
      <c r="W123" s="41"/>
      <c r="X123" s="29"/>
      <c r="Y123" s="29"/>
      <c r="Z123" s="48"/>
      <c r="AA123" s="29"/>
      <c r="AB123" s="33"/>
      <c r="AC123" s="47"/>
      <c r="AD123" s="29"/>
      <c r="AE123" s="41"/>
      <c r="AF123" s="29"/>
      <c r="AG123" s="29"/>
      <c r="AH123" s="38"/>
      <c r="AI123" s="39"/>
      <c r="AJ123" s="29"/>
      <c r="AK123" s="41"/>
      <c r="AL123" s="41"/>
      <c r="AM123" s="29"/>
      <c r="AN123" s="29"/>
      <c r="AO123" s="29"/>
    </row>
    <row r="124" ht="28.5" customHeight="1">
      <c r="A124" s="43"/>
      <c r="B124" s="44" t="s">
        <v>170</v>
      </c>
      <c r="C124" s="44"/>
      <c r="D124" s="45"/>
      <c r="E124" s="45"/>
      <c r="F124" s="29">
        <v>55.0</v>
      </c>
      <c r="G124" s="29"/>
      <c r="H124" s="29"/>
      <c r="I124" s="29"/>
      <c r="J124" s="29"/>
      <c r="K124" s="46"/>
      <c r="L124" s="30"/>
      <c r="M124" s="32"/>
      <c r="N124" s="32"/>
      <c r="O124" s="33"/>
      <c r="P124" s="47"/>
      <c r="Q124" s="29"/>
      <c r="R124" s="29"/>
      <c r="S124" s="29"/>
      <c r="T124" s="29"/>
      <c r="U124" s="29"/>
      <c r="V124" s="29"/>
      <c r="W124" s="41"/>
      <c r="X124" s="29"/>
      <c r="Y124" s="29"/>
      <c r="Z124" s="48"/>
      <c r="AA124" s="29"/>
      <c r="AB124" s="33"/>
      <c r="AC124" s="47"/>
      <c r="AD124" s="29"/>
      <c r="AE124" s="41"/>
      <c r="AF124" s="29"/>
      <c r="AG124" s="29"/>
      <c r="AH124" s="38"/>
      <c r="AI124" s="39"/>
      <c r="AJ124" s="29"/>
      <c r="AK124" s="41"/>
      <c r="AL124" s="41"/>
      <c r="AM124" s="29"/>
      <c r="AN124" s="29"/>
      <c r="AO124" s="29"/>
    </row>
    <row r="125" ht="14.25" customHeight="1">
      <c r="A125" s="17"/>
      <c r="B125" s="18" t="s">
        <v>171</v>
      </c>
      <c r="C125" s="18"/>
      <c r="D125" s="19"/>
      <c r="E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</row>
    <row r="126" ht="28.5" customHeight="1">
      <c r="A126" s="43"/>
      <c r="B126" s="44" t="s">
        <v>172</v>
      </c>
      <c r="C126" s="44"/>
      <c r="D126" s="45"/>
      <c r="E126" s="45"/>
      <c r="F126" s="29">
        <v>117.0</v>
      </c>
      <c r="G126" s="29"/>
      <c r="H126" s="29"/>
      <c r="I126" s="29"/>
      <c r="J126" s="29"/>
      <c r="K126" s="46"/>
      <c r="L126" s="30"/>
      <c r="M126" s="32"/>
      <c r="N126" s="32"/>
      <c r="O126" s="33"/>
      <c r="P126" s="47"/>
      <c r="Q126" s="29"/>
      <c r="R126" s="29"/>
      <c r="S126" s="29"/>
      <c r="T126" s="29"/>
      <c r="U126" s="29"/>
      <c r="V126" s="29"/>
      <c r="W126" s="41"/>
      <c r="X126" s="29"/>
      <c r="Y126" s="29"/>
      <c r="Z126" s="48"/>
      <c r="AA126" s="29"/>
      <c r="AB126" s="33"/>
      <c r="AC126" s="47"/>
      <c r="AD126" s="29"/>
      <c r="AE126" s="41"/>
      <c r="AF126" s="29"/>
      <c r="AG126" s="29"/>
      <c r="AH126" s="38"/>
      <c r="AI126" s="39"/>
      <c r="AJ126" s="29"/>
      <c r="AK126" s="41"/>
      <c r="AL126" s="41"/>
      <c r="AM126" s="29"/>
      <c r="AN126" s="29"/>
      <c r="AO126" s="29"/>
    </row>
    <row r="127" ht="28.5" customHeight="1">
      <c r="A127" s="43"/>
      <c r="B127" s="44" t="s">
        <v>173</v>
      </c>
      <c r="C127" s="44"/>
      <c r="D127" s="45"/>
      <c r="E127" s="45"/>
      <c r="F127" s="29">
        <v>32.0</v>
      </c>
      <c r="G127" s="29"/>
      <c r="H127" s="29"/>
      <c r="I127" s="29"/>
      <c r="J127" s="29"/>
      <c r="K127" s="46"/>
      <c r="L127" s="30"/>
      <c r="M127" s="32"/>
      <c r="N127" s="32"/>
      <c r="O127" s="33"/>
      <c r="P127" s="47"/>
      <c r="Q127" s="29"/>
      <c r="R127" s="29"/>
      <c r="S127" s="29"/>
      <c r="T127" s="29"/>
      <c r="U127" s="29"/>
      <c r="V127" s="29"/>
      <c r="W127" s="41"/>
      <c r="X127" s="29"/>
      <c r="Y127" s="29"/>
      <c r="Z127" s="48"/>
      <c r="AA127" s="29"/>
      <c r="AB127" s="33"/>
      <c r="AC127" s="47"/>
      <c r="AD127" s="29"/>
      <c r="AE127" s="41"/>
      <c r="AF127" s="29"/>
      <c r="AG127" s="29"/>
      <c r="AH127" s="38"/>
      <c r="AI127" s="39"/>
      <c r="AJ127" s="29"/>
      <c r="AK127" s="41"/>
      <c r="AL127" s="41"/>
      <c r="AM127" s="29"/>
      <c r="AN127" s="29"/>
      <c r="AO127" s="29"/>
    </row>
    <row r="128" ht="14.25" customHeight="1">
      <c r="A128" s="17"/>
      <c r="B128" s="18" t="s">
        <v>174</v>
      </c>
      <c r="C128" s="18"/>
      <c r="D128" s="19"/>
      <c r="E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</row>
    <row r="129" ht="14.25" customHeight="1">
      <c r="A129" s="3"/>
      <c r="B129" s="21" t="s">
        <v>175</v>
      </c>
      <c r="C129" s="21"/>
      <c r="D129" s="23"/>
      <c r="E129" s="24"/>
      <c r="F129" s="29">
        <v>4929.0</v>
      </c>
      <c r="G129" s="26">
        <v>2600.0</v>
      </c>
      <c r="H129" s="26">
        <v>5500.0</v>
      </c>
      <c r="I129" s="26" t="s">
        <v>176</v>
      </c>
      <c r="J129" s="26">
        <f t="shared" ref="J129:J132" si="191">(1.25*O129+R129+T129+Y129+AA129+AB129+AN129)/(1-P129-$J$8-$J$4-(1-K129)*$J$3-$J$11-AC129-AE129)</f>
        <v>3679.30255</v>
      </c>
      <c r="K129" s="28">
        <v>0.45</v>
      </c>
      <c r="L129" s="30">
        <f t="shared" ref="L129:L132" si="192">J129*(1-K129)</f>
        <v>2023.616402</v>
      </c>
      <c r="M129" s="31">
        <v>663.86</v>
      </c>
      <c r="N129" s="32">
        <f t="shared" ref="N129:N132" si="193">$J$5</f>
        <v>60</v>
      </c>
      <c r="O129" s="33">
        <f t="shared" ref="O129:O132" si="194">M129+N129</f>
        <v>723.86</v>
      </c>
      <c r="P129" s="34">
        <v>0.47</v>
      </c>
      <c r="Q129" s="29">
        <f t="shared" ref="Q129:Q132" si="195">J129*P129</f>
        <v>1729.272198</v>
      </c>
      <c r="R129" s="35">
        <v>67.0</v>
      </c>
      <c r="S129" s="29">
        <f t="shared" ref="S129:S132" si="196">J129*$J$8</f>
        <v>73.58605099</v>
      </c>
      <c r="T129" s="35">
        <v>25.0</v>
      </c>
      <c r="U129" s="29">
        <f t="shared" ref="U129:U132" si="197">J129*$J$4</f>
        <v>55.18953825</v>
      </c>
      <c r="V129" s="29">
        <f t="shared" ref="V129:V132" si="198">L129*$J$3</f>
        <v>141.6531482</v>
      </c>
      <c r="W129" s="36">
        <v>0.9</v>
      </c>
      <c r="X129" s="35">
        <v>67.0</v>
      </c>
      <c r="Y129" s="29">
        <f t="shared" ref="Y129:Y132" si="199">X129*(1-W129)</f>
        <v>6.7</v>
      </c>
      <c r="Z129" s="37">
        <v>0.735</v>
      </c>
      <c r="AA129" s="29">
        <f t="shared" ref="AA129:AA132" si="200">$J$6*$J$7*Z129</f>
        <v>0</v>
      </c>
      <c r="AB129" s="33">
        <f t="shared" ref="AB129:AB132" si="201">Z129*($J$9+$J$10)</f>
        <v>3.802155</v>
      </c>
      <c r="AC129" s="34">
        <v>0.07</v>
      </c>
      <c r="AD129" s="29">
        <f t="shared" ref="AD129:AD132" si="202">J129*AC129</f>
        <v>257.5511785</v>
      </c>
      <c r="AE129" s="36">
        <v>0.08</v>
      </c>
      <c r="AF129" s="29">
        <f t="shared" ref="AF129:AF132" si="203">J129*AE129</f>
        <v>294.344204</v>
      </c>
      <c r="AG129" s="29">
        <f t="shared" ref="AG129:AG132" si="204">AD129+AF129</f>
        <v>551.8953825</v>
      </c>
      <c r="AH129" s="38">
        <f t="shared" ref="AH129:AH132" si="205">AG129/J129</f>
        <v>0.15</v>
      </c>
      <c r="AI129" s="39">
        <f t="shared" ref="AI129:AI132" si="206">J129-Q129-R129-S129-T129-U129-V129-Y129-AA129-AB129-O129-AN129-AO129</f>
        <v>732.8603825</v>
      </c>
      <c r="AJ129" s="40">
        <f t="shared" ref="AJ129:AJ132" si="207">AI129-AG129</f>
        <v>180.965</v>
      </c>
      <c r="AK129" s="41">
        <f t="shared" ref="AK129:AK132" si="208">AJ129/J129</f>
        <v>0.04918459343</v>
      </c>
      <c r="AL129" s="42">
        <f t="shared" ref="AL129:AL132" si="209">AJ129/O129</f>
        <v>0.25</v>
      </c>
      <c r="AM129" s="29">
        <f t="shared" ref="AM129:AM132" si="210">(R129+T129+Y129+AA129+AB129+O129+AN129)/(1-(P129+$J$4+(1-K129)*$J$3+$J$8+$J$11+AC129+AE129))</f>
        <v>3024.81792</v>
      </c>
      <c r="AN129" s="29">
        <f t="shared" ref="AN129:AN132" si="211">$J$12</f>
        <v>10</v>
      </c>
      <c r="AO129" s="29">
        <f t="shared" ref="AO129:AO132" si="212">J129*$J$11</f>
        <v>110.3790765</v>
      </c>
    </row>
    <row r="130" ht="28.5" customHeight="1">
      <c r="A130" s="3"/>
      <c r="B130" s="21" t="s">
        <v>177</v>
      </c>
      <c r="C130" s="3"/>
      <c r="D130" s="4"/>
      <c r="E130" s="24"/>
      <c r="F130" s="29">
        <v>9768.0</v>
      </c>
      <c r="G130" s="26">
        <v>2250.0</v>
      </c>
      <c r="H130" s="26">
        <v>3000.0</v>
      </c>
      <c r="I130" s="26">
        <v>13.0</v>
      </c>
      <c r="J130" s="26">
        <f t="shared" si="191"/>
        <v>2939.443544</v>
      </c>
      <c r="K130" s="28">
        <v>0.45</v>
      </c>
      <c r="L130" s="30">
        <f t="shared" si="192"/>
        <v>1616.693949</v>
      </c>
      <c r="M130" s="31">
        <v>512.18</v>
      </c>
      <c r="N130" s="32">
        <f t="shared" si="193"/>
        <v>60</v>
      </c>
      <c r="O130" s="33">
        <f t="shared" si="194"/>
        <v>572.18</v>
      </c>
      <c r="P130" s="34">
        <v>0.47</v>
      </c>
      <c r="Q130" s="29">
        <f t="shared" si="195"/>
        <v>1381.538466</v>
      </c>
      <c r="R130" s="35">
        <v>56.0</v>
      </c>
      <c r="S130" s="29">
        <f t="shared" si="196"/>
        <v>58.78887089</v>
      </c>
      <c r="T130" s="35">
        <v>25.0</v>
      </c>
      <c r="U130" s="29">
        <f t="shared" si="197"/>
        <v>44.09165316</v>
      </c>
      <c r="V130" s="29">
        <f t="shared" si="198"/>
        <v>113.1685765</v>
      </c>
      <c r="W130" s="36">
        <v>0.9</v>
      </c>
      <c r="X130" s="35">
        <v>56.0</v>
      </c>
      <c r="Y130" s="29">
        <f t="shared" si="199"/>
        <v>5.6</v>
      </c>
      <c r="Z130" s="37">
        <v>0.18</v>
      </c>
      <c r="AA130" s="29">
        <f t="shared" si="200"/>
        <v>0</v>
      </c>
      <c r="AB130" s="33">
        <f t="shared" si="201"/>
        <v>0.93114</v>
      </c>
      <c r="AC130" s="34">
        <v>0.07</v>
      </c>
      <c r="AD130" s="29">
        <f t="shared" si="202"/>
        <v>205.7610481</v>
      </c>
      <c r="AE130" s="36">
        <v>0.08</v>
      </c>
      <c r="AF130" s="29">
        <f t="shared" si="203"/>
        <v>235.1554835</v>
      </c>
      <c r="AG130" s="29">
        <f t="shared" si="204"/>
        <v>440.9165316</v>
      </c>
      <c r="AH130" s="38">
        <f t="shared" si="205"/>
        <v>0.15</v>
      </c>
      <c r="AI130" s="39">
        <f t="shared" si="206"/>
        <v>583.9615316</v>
      </c>
      <c r="AJ130" s="40">
        <f t="shared" si="207"/>
        <v>143.045</v>
      </c>
      <c r="AK130" s="41">
        <f t="shared" si="208"/>
        <v>0.04866397257</v>
      </c>
      <c r="AL130" s="42">
        <f t="shared" si="209"/>
        <v>0.25</v>
      </c>
      <c r="AM130" s="29">
        <f t="shared" si="210"/>
        <v>2422.101772</v>
      </c>
      <c r="AN130" s="29">
        <f t="shared" si="211"/>
        <v>10</v>
      </c>
      <c r="AO130" s="29">
        <f t="shared" si="212"/>
        <v>88.18330633</v>
      </c>
    </row>
    <row r="131" ht="28.5" customHeight="1">
      <c r="A131" s="3"/>
      <c r="B131" s="21" t="s">
        <v>178</v>
      </c>
      <c r="C131" s="3"/>
      <c r="D131" s="4"/>
      <c r="E131" s="24" t="s">
        <v>128</v>
      </c>
      <c r="F131" s="29">
        <v>3564.0</v>
      </c>
      <c r="G131" s="26">
        <v>2450.0</v>
      </c>
      <c r="H131" s="26">
        <v>3500.0</v>
      </c>
      <c r="I131" s="26">
        <v>10.0</v>
      </c>
      <c r="J131" s="26">
        <f t="shared" si="191"/>
        <v>3061.087667</v>
      </c>
      <c r="K131" s="28">
        <v>0.45</v>
      </c>
      <c r="L131" s="30">
        <f t="shared" si="192"/>
        <v>1683.598217</v>
      </c>
      <c r="M131" s="31">
        <v>532.1</v>
      </c>
      <c r="N131" s="32">
        <f t="shared" si="193"/>
        <v>60</v>
      </c>
      <c r="O131" s="33">
        <f t="shared" si="194"/>
        <v>592.1</v>
      </c>
      <c r="P131" s="34">
        <v>0.47</v>
      </c>
      <c r="Q131" s="29">
        <f t="shared" si="195"/>
        <v>1438.711204</v>
      </c>
      <c r="R131" s="35">
        <v>63.0</v>
      </c>
      <c r="S131" s="29">
        <f t="shared" si="196"/>
        <v>61.22175335</v>
      </c>
      <c r="T131" s="35">
        <v>25.0</v>
      </c>
      <c r="U131" s="29">
        <f t="shared" si="197"/>
        <v>45.91631501</v>
      </c>
      <c r="V131" s="29">
        <f t="shared" si="198"/>
        <v>117.8518752</v>
      </c>
      <c r="W131" s="36">
        <v>0.9</v>
      </c>
      <c r="X131" s="35">
        <v>63.0</v>
      </c>
      <c r="Y131" s="29">
        <f t="shared" si="199"/>
        <v>6.3</v>
      </c>
      <c r="Z131" s="37">
        <v>0.38</v>
      </c>
      <c r="AA131" s="29">
        <f t="shared" si="200"/>
        <v>0</v>
      </c>
      <c r="AB131" s="33">
        <f t="shared" si="201"/>
        <v>1.96574</v>
      </c>
      <c r="AC131" s="34">
        <v>0.07</v>
      </c>
      <c r="AD131" s="29">
        <f t="shared" si="202"/>
        <v>214.2761367</v>
      </c>
      <c r="AE131" s="36">
        <v>0.08</v>
      </c>
      <c r="AF131" s="29">
        <f t="shared" si="203"/>
        <v>244.8870134</v>
      </c>
      <c r="AG131" s="29">
        <f t="shared" si="204"/>
        <v>459.1631501</v>
      </c>
      <c r="AH131" s="38">
        <f t="shared" si="205"/>
        <v>0.15</v>
      </c>
      <c r="AI131" s="39">
        <f t="shared" si="206"/>
        <v>607.1881501</v>
      </c>
      <c r="AJ131" s="40">
        <f t="shared" si="207"/>
        <v>148.025</v>
      </c>
      <c r="AK131" s="41">
        <f t="shared" si="208"/>
        <v>0.04835699467</v>
      </c>
      <c r="AL131" s="42">
        <f t="shared" si="209"/>
        <v>0.25</v>
      </c>
      <c r="AM131" s="29">
        <f t="shared" si="210"/>
        <v>2525.735045</v>
      </c>
      <c r="AN131" s="29">
        <f t="shared" si="211"/>
        <v>10</v>
      </c>
      <c r="AO131" s="29">
        <f t="shared" si="212"/>
        <v>91.83263002</v>
      </c>
    </row>
    <row r="132" ht="28.5" customHeight="1">
      <c r="A132" s="3"/>
      <c r="B132" s="21" t="s">
        <v>179</v>
      </c>
      <c r="C132" s="3"/>
      <c r="D132" s="4"/>
      <c r="E132" s="24"/>
      <c r="F132" s="29">
        <v>1696.0</v>
      </c>
      <c r="G132" s="26">
        <v>775.0</v>
      </c>
      <c r="H132" s="26" t="s">
        <v>180</v>
      </c>
      <c r="I132" s="26">
        <v>11.0</v>
      </c>
      <c r="J132" s="26">
        <f t="shared" si="191"/>
        <v>1061.48</v>
      </c>
      <c r="K132" s="28">
        <v>0.45</v>
      </c>
      <c r="L132" s="30">
        <f t="shared" si="192"/>
        <v>583.814</v>
      </c>
      <c r="M132" s="31">
        <v>96.94</v>
      </c>
      <c r="N132" s="32">
        <f t="shared" si="193"/>
        <v>60</v>
      </c>
      <c r="O132" s="33">
        <f t="shared" si="194"/>
        <v>156.94</v>
      </c>
      <c r="P132" s="34">
        <v>0.47</v>
      </c>
      <c r="Q132" s="29">
        <f t="shared" si="195"/>
        <v>498.8956</v>
      </c>
      <c r="R132" s="35">
        <v>56.0</v>
      </c>
      <c r="S132" s="29">
        <f t="shared" si="196"/>
        <v>21.2296</v>
      </c>
      <c r="T132" s="35">
        <v>25.0</v>
      </c>
      <c r="U132" s="29">
        <f t="shared" si="197"/>
        <v>15.9222</v>
      </c>
      <c r="V132" s="29">
        <f t="shared" si="198"/>
        <v>40.86698</v>
      </c>
      <c r="W132" s="36">
        <v>0.9</v>
      </c>
      <c r="X132" s="35">
        <v>56.0</v>
      </c>
      <c r="Y132" s="29">
        <f t="shared" si="199"/>
        <v>5.6</v>
      </c>
      <c r="Z132" s="37">
        <v>0.14</v>
      </c>
      <c r="AA132" s="29">
        <f t="shared" si="200"/>
        <v>0</v>
      </c>
      <c r="AB132" s="33">
        <f t="shared" si="201"/>
        <v>0.72422</v>
      </c>
      <c r="AC132" s="34">
        <v>0.07</v>
      </c>
      <c r="AD132" s="29">
        <f t="shared" si="202"/>
        <v>74.3036</v>
      </c>
      <c r="AE132" s="36">
        <v>0.08</v>
      </c>
      <c r="AF132" s="29">
        <f t="shared" si="203"/>
        <v>84.9184</v>
      </c>
      <c r="AG132" s="29">
        <f t="shared" si="204"/>
        <v>159.222</v>
      </c>
      <c r="AH132" s="38">
        <f t="shared" si="205"/>
        <v>0.15</v>
      </c>
      <c r="AI132" s="39">
        <f t="shared" si="206"/>
        <v>198.457</v>
      </c>
      <c r="AJ132" s="40">
        <f t="shared" si="207"/>
        <v>39.235</v>
      </c>
      <c r="AK132" s="41">
        <f t="shared" si="208"/>
        <v>0.03696254286</v>
      </c>
      <c r="AL132" s="42">
        <f t="shared" si="209"/>
        <v>0.25</v>
      </c>
      <c r="AM132" s="29">
        <f t="shared" si="210"/>
        <v>919.5812658</v>
      </c>
      <c r="AN132" s="29">
        <f t="shared" si="211"/>
        <v>10</v>
      </c>
      <c r="AO132" s="29">
        <f t="shared" si="212"/>
        <v>31.8444</v>
      </c>
    </row>
    <row r="133" ht="28.5" customHeight="1">
      <c r="A133" s="43"/>
      <c r="B133" s="44" t="s">
        <v>181</v>
      </c>
      <c r="C133" s="44" t="s">
        <v>51</v>
      </c>
      <c r="D133" s="45"/>
      <c r="E133" s="45"/>
      <c r="F133" s="29">
        <v>99.0</v>
      </c>
      <c r="G133" s="29"/>
      <c r="H133" s="29"/>
      <c r="I133" s="29"/>
      <c r="J133" s="29"/>
      <c r="K133" s="46"/>
      <c r="L133" s="30"/>
      <c r="M133" s="32"/>
      <c r="N133" s="32"/>
      <c r="O133" s="33"/>
      <c r="P133" s="47"/>
      <c r="Q133" s="29"/>
      <c r="R133" s="29"/>
      <c r="S133" s="29"/>
      <c r="T133" s="29"/>
      <c r="U133" s="29"/>
      <c r="V133" s="29"/>
      <c r="W133" s="41"/>
      <c r="X133" s="29"/>
      <c r="Y133" s="29"/>
      <c r="Z133" s="48"/>
      <c r="AA133" s="29"/>
      <c r="AB133" s="33"/>
      <c r="AC133" s="47"/>
      <c r="AD133" s="29"/>
      <c r="AE133" s="41"/>
      <c r="AF133" s="29"/>
      <c r="AG133" s="29"/>
      <c r="AH133" s="38"/>
      <c r="AI133" s="39"/>
      <c r="AJ133" s="29"/>
      <c r="AK133" s="41"/>
      <c r="AL133" s="41"/>
      <c r="AM133" s="29"/>
      <c r="AN133" s="29"/>
      <c r="AO133" s="29"/>
    </row>
    <row r="134" ht="28.5" customHeight="1">
      <c r="A134" s="43"/>
      <c r="B134" s="44" t="s">
        <v>182</v>
      </c>
      <c r="C134" s="44" t="s">
        <v>51</v>
      </c>
      <c r="D134" s="45"/>
      <c r="E134" s="45"/>
      <c r="F134" s="29">
        <v>446.0</v>
      </c>
      <c r="G134" s="29"/>
      <c r="H134" s="29"/>
      <c r="I134" s="29"/>
      <c r="J134" s="29"/>
      <c r="K134" s="46"/>
      <c r="L134" s="30"/>
      <c r="M134" s="32"/>
      <c r="N134" s="32"/>
      <c r="O134" s="33"/>
      <c r="P134" s="47"/>
      <c r="Q134" s="29"/>
      <c r="R134" s="29"/>
      <c r="S134" s="29"/>
      <c r="T134" s="29"/>
      <c r="U134" s="29"/>
      <c r="V134" s="29"/>
      <c r="W134" s="41"/>
      <c r="X134" s="29"/>
      <c r="Y134" s="29"/>
      <c r="Z134" s="48"/>
      <c r="AA134" s="29"/>
      <c r="AB134" s="33"/>
      <c r="AC134" s="47"/>
      <c r="AD134" s="29"/>
      <c r="AE134" s="41"/>
      <c r="AF134" s="29"/>
      <c r="AG134" s="29"/>
      <c r="AH134" s="38"/>
      <c r="AI134" s="39"/>
      <c r="AJ134" s="29"/>
      <c r="AK134" s="41"/>
      <c r="AL134" s="41"/>
      <c r="AM134" s="29"/>
      <c r="AN134" s="29"/>
      <c r="AO134" s="29"/>
    </row>
    <row r="135" ht="28.5" customHeight="1">
      <c r="A135" s="3"/>
      <c r="B135" s="21" t="s">
        <v>183</v>
      </c>
      <c r="C135" s="3"/>
      <c r="D135" s="4"/>
      <c r="E135" s="24"/>
      <c r="F135" s="29">
        <v>1620.0</v>
      </c>
      <c r="G135" s="26">
        <v>3450.0</v>
      </c>
      <c r="H135" s="26" t="s">
        <v>184</v>
      </c>
      <c r="I135" s="26">
        <v>11.0</v>
      </c>
      <c r="J135" s="26">
        <f>(1.25*O135+R135+T135+Y135+AA135+AB135+AN135)/(1-P135-$J$8-$J$4-(1-K135)*$J$3-$J$11-AC135-AE135)</f>
        <v>3882.517468</v>
      </c>
      <c r="K135" s="28">
        <v>0.45</v>
      </c>
      <c r="L135" s="30">
        <f>J135*(1-K135)</f>
        <v>2135.384608</v>
      </c>
      <c r="M135" s="31">
        <v>707.88</v>
      </c>
      <c r="N135" s="32">
        <f>$J$5</f>
        <v>60</v>
      </c>
      <c r="O135" s="33">
        <f>M135+N135</f>
        <v>767.88</v>
      </c>
      <c r="P135" s="34">
        <v>0.47</v>
      </c>
      <c r="Q135" s="29">
        <f>J135*P135</f>
        <v>1824.78321</v>
      </c>
      <c r="R135" s="35">
        <v>67.0</v>
      </c>
      <c r="S135" s="29">
        <f>J135*$J$8</f>
        <v>77.65034937</v>
      </c>
      <c r="T135" s="35">
        <v>25.0</v>
      </c>
      <c r="U135" s="29">
        <f>J135*$J$4</f>
        <v>58.23776203</v>
      </c>
      <c r="V135" s="29">
        <f>L135*$J$3</f>
        <v>149.4769225</v>
      </c>
      <c r="W135" s="36">
        <v>0.9</v>
      </c>
      <c r="X135" s="35">
        <v>67.0</v>
      </c>
      <c r="Y135" s="29">
        <f>X135*(1-W135)</f>
        <v>6.7</v>
      </c>
      <c r="Z135" s="37">
        <v>0.96</v>
      </c>
      <c r="AA135" s="29">
        <f>$J$6*$J$7*Z135</f>
        <v>0</v>
      </c>
      <c r="AB135" s="33">
        <f>Z135*($J$9+$J$10)</f>
        <v>4.96608</v>
      </c>
      <c r="AC135" s="34">
        <v>0.07</v>
      </c>
      <c r="AD135" s="29">
        <f>J135*AC135</f>
        <v>271.7762228</v>
      </c>
      <c r="AE135" s="36">
        <v>0.08</v>
      </c>
      <c r="AF135" s="29">
        <f>J135*AE135</f>
        <v>310.6013975</v>
      </c>
      <c r="AG135" s="29">
        <f>AD135+AF135</f>
        <v>582.3776203</v>
      </c>
      <c r="AH135" s="38">
        <f>AG135/J135</f>
        <v>0.15</v>
      </c>
      <c r="AI135" s="39">
        <f>J135-Q135-R135-S135-T135-U135-V135-Y135-AA135-AB135-O135-AN135-AO135</f>
        <v>774.3476203</v>
      </c>
      <c r="AJ135" s="40">
        <f>AI135-AG135</f>
        <v>191.97</v>
      </c>
      <c r="AK135" s="41">
        <f>AJ135/J135</f>
        <v>0.0494447228</v>
      </c>
      <c r="AL135" s="42">
        <f>AJ135/O135</f>
        <v>0.25</v>
      </c>
      <c r="AM135" s="29">
        <f>(R135+T135+Y135+AA135+AB135+O135+AN135)/(1-(P135+$J$4+(1-K135)*$J$3+$J$8+$J$11+AC135+AE135))</f>
        <v>3188.231754</v>
      </c>
      <c r="AN135" s="29">
        <f>$J$12</f>
        <v>10</v>
      </c>
      <c r="AO135" s="29">
        <f>J135*$J$11</f>
        <v>116.4755241</v>
      </c>
    </row>
    <row r="136" ht="28.5" customHeight="1">
      <c r="A136" s="43"/>
      <c r="B136" s="44" t="s">
        <v>185</v>
      </c>
      <c r="C136" s="44" t="s">
        <v>51</v>
      </c>
      <c r="D136" s="45"/>
      <c r="E136" s="45"/>
      <c r="F136" s="29">
        <v>62.0</v>
      </c>
      <c r="G136" s="29"/>
      <c r="H136" s="29"/>
      <c r="I136" s="29"/>
      <c r="J136" s="29"/>
      <c r="K136" s="46"/>
      <c r="L136" s="30"/>
      <c r="M136" s="32"/>
      <c r="N136" s="32"/>
      <c r="O136" s="33"/>
      <c r="P136" s="47"/>
      <c r="Q136" s="29"/>
      <c r="R136" s="29"/>
      <c r="S136" s="29"/>
      <c r="T136" s="29"/>
      <c r="U136" s="29"/>
      <c r="V136" s="29"/>
      <c r="W136" s="41"/>
      <c r="X136" s="29"/>
      <c r="Y136" s="29"/>
      <c r="Z136" s="48"/>
      <c r="AA136" s="29"/>
      <c r="AB136" s="33"/>
      <c r="AC136" s="47"/>
      <c r="AD136" s="29"/>
      <c r="AE136" s="41"/>
      <c r="AF136" s="29"/>
      <c r="AG136" s="29"/>
      <c r="AH136" s="38"/>
      <c r="AI136" s="39"/>
      <c r="AJ136" s="29"/>
      <c r="AK136" s="41"/>
      <c r="AL136" s="41"/>
      <c r="AM136" s="29"/>
      <c r="AN136" s="29"/>
      <c r="AO136" s="29"/>
    </row>
    <row r="137" ht="28.5" customHeight="1">
      <c r="A137" s="3"/>
      <c r="B137" s="21" t="s">
        <v>186</v>
      </c>
      <c r="C137" s="3"/>
      <c r="D137" s="4"/>
      <c r="E137" s="24"/>
      <c r="F137" s="29">
        <v>1795.0</v>
      </c>
      <c r="G137" s="26">
        <v>2880.0</v>
      </c>
      <c r="H137" s="26" t="s">
        <v>187</v>
      </c>
      <c r="I137" s="26">
        <v>21.0</v>
      </c>
      <c r="J137" s="26">
        <f>(1.25*O137+R137+T137+Y137+AA137+AB137+AN137)/(1-P137-$J$8-$J$4-(1-K137)*$J$3-$J$11-AC137-AE137)</f>
        <v>3189.416311</v>
      </c>
      <c r="K137" s="28">
        <v>0.45</v>
      </c>
      <c r="L137" s="30">
        <f>J137*(1-K137)</f>
        <v>1754.178971</v>
      </c>
      <c r="M137" s="31">
        <v>556.18</v>
      </c>
      <c r="N137" s="32">
        <f>$J$5</f>
        <v>60</v>
      </c>
      <c r="O137" s="33">
        <f>M137+N137</f>
        <v>616.18</v>
      </c>
      <c r="P137" s="34">
        <v>0.47</v>
      </c>
      <c r="Q137" s="29">
        <f>J137*P137</f>
        <v>1499.025666</v>
      </c>
      <c r="R137" s="35">
        <v>67.0</v>
      </c>
      <c r="S137" s="29">
        <f>J137*$J$8</f>
        <v>63.78832622</v>
      </c>
      <c r="T137" s="35">
        <v>25.0</v>
      </c>
      <c r="U137" s="29">
        <f>J137*$J$4</f>
        <v>47.84124467</v>
      </c>
      <c r="V137" s="29">
        <f>L137*$J$3</f>
        <v>122.792528</v>
      </c>
      <c r="W137" s="36">
        <v>0.9</v>
      </c>
      <c r="X137" s="35">
        <v>67.0</v>
      </c>
      <c r="Y137" s="29">
        <f>X137*(1-W137)</f>
        <v>6.7</v>
      </c>
      <c r="Z137" s="37">
        <v>0.57</v>
      </c>
      <c r="AA137" s="29">
        <f>$J$6*$J$7*Z137</f>
        <v>0</v>
      </c>
      <c r="AB137" s="33">
        <f>Z137*($J$9+$J$10)</f>
        <v>2.94861</v>
      </c>
      <c r="AC137" s="34">
        <v>0.07</v>
      </c>
      <c r="AD137" s="29">
        <f>J137*AC137</f>
        <v>223.2591418</v>
      </c>
      <c r="AE137" s="36">
        <v>0.08</v>
      </c>
      <c r="AF137" s="29">
        <f>J137*AE137</f>
        <v>255.1533049</v>
      </c>
      <c r="AG137" s="29">
        <f>AD137+AF137</f>
        <v>478.4124467</v>
      </c>
      <c r="AH137" s="38">
        <f>AG137/J137</f>
        <v>0.15</v>
      </c>
      <c r="AI137" s="39">
        <f>J137-Q137-R137-S137-T137-U137-V137-Y137-AA137-AB137-O137-AN137-AO137</f>
        <v>632.4574467</v>
      </c>
      <c r="AJ137" s="40">
        <f>AI137-AG137</f>
        <v>154.045</v>
      </c>
      <c r="AK137" s="41">
        <f>AJ137/J137</f>
        <v>0.04829880611</v>
      </c>
      <c r="AL137" s="42">
        <f>AJ137/O137</f>
        <v>0.25</v>
      </c>
      <c r="AM137" s="29">
        <f>(R137+T137+Y137+AA137+AB137+O137+AN137)/(1-(P137+$J$4+(1-K137)*$J$3+$J$8+$J$11+AC137+AE137))</f>
        <v>2632.291537</v>
      </c>
      <c r="AN137" s="29">
        <f>$J$12</f>
        <v>10</v>
      </c>
      <c r="AO137" s="29">
        <f>J137*$J$11</f>
        <v>95.68248933</v>
      </c>
    </row>
    <row r="138" ht="28.5" customHeight="1">
      <c r="A138" s="43"/>
      <c r="B138" s="44" t="s">
        <v>188</v>
      </c>
      <c r="C138" s="44" t="s">
        <v>51</v>
      </c>
      <c r="D138" s="45"/>
      <c r="E138" s="45"/>
      <c r="F138" s="29">
        <v>124.0</v>
      </c>
      <c r="G138" s="29"/>
      <c r="H138" s="29"/>
      <c r="I138" s="29"/>
      <c r="J138" s="29"/>
      <c r="K138" s="46"/>
      <c r="L138" s="30"/>
      <c r="M138" s="32"/>
      <c r="N138" s="32"/>
      <c r="O138" s="33"/>
      <c r="P138" s="47"/>
      <c r="Q138" s="29"/>
      <c r="R138" s="29"/>
      <c r="S138" s="29"/>
      <c r="T138" s="29"/>
      <c r="U138" s="29"/>
      <c r="V138" s="29"/>
      <c r="W138" s="41"/>
      <c r="X138" s="29"/>
      <c r="Y138" s="29"/>
      <c r="Z138" s="48"/>
      <c r="AA138" s="29"/>
      <c r="AB138" s="33"/>
      <c r="AC138" s="47"/>
      <c r="AD138" s="29"/>
      <c r="AE138" s="41"/>
      <c r="AF138" s="29"/>
      <c r="AG138" s="29"/>
      <c r="AH138" s="38"/>
      <c r="AI138" s="39"/>
      <c r="AJ138" s="29"/>
      <c r="AK138" s="41"/>
      <c r="AL138" s="41"/>
      <c r="AM138" s="29"/>
      <c r="AN138" s="29"/>
      <c r="AO138" s="29"/>
    </row>
    <row r="139" ht="28.5" customHeight="1">
      <c r="A139" s="43"/>
      <c r="B139" s="44" t="s">
        <v>189</v>
      </c>
      <c r="C139" s="44" t="s">
        <v>51</v>
      </c>
      <c r="D139" s="45"/>
      <c r="E139" s="45"/>
      <c r="F139" s="29">
        <v>194.0</v>
      </c>
      <c r="G139" s="29"/>
      <c r="H139" s="29"/>
      <c r="I139" s="29"/>
      <c r="J139" s="29"/>
      <c r="K139" s="46"/>
      <c r="L139" s="30"/>
      <c r="M139" s="32"/>
      <c r="N139" s="32"/>
      <c r="O139" s="33"/>
      <c r="P139" s="47"/>
      <c r="Q139" s="29"/>
      <c r="R139" s="29"/>
      <c r="S139" s="29"/>
      <c r="T139" s="29"/>
      <c r="U139" s="29"/>
      <c r="V139" s="29"/>
      <c r="W139" s="41"/>
      <c r="X139" s="29"/>
      <c r="Y139" s="29"/>
      <c r="Z139" s="48"/>
      <c r="AA139" s="29"/>
      <c r="AB139" s="33"/>
      <c r="AC139" s="47"/>
      <c r="AD139" s="29"/>
      <c r="AE139" s="41"/>
      <c r="AF139" s="29"/>
      <c r="AG139" s="29"/>
      <c r="AH139" s="38"/>
      <c r="AI139" s="39"/>
      <c r="AJ139" s="29"/>
      <c r="AK139" s="41"/>
      <c r="AL139" s="41"/>
      <c r="AM139" s="29"/>
      <c r="AN139" s="29"/>
      <c r="AO139" s="29"/>
    </row>
    <row r="140" ht="14.25" customHeight="1">
      <c r="A140" s="17"/>
      <c r="B140" s="18" t="s">
        <v>190</v>
      </c>
      <c r="C140" s="18"/>
      <c r="D140" s="19"/>
      <c r="E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</row>
    <row r="141" ht="14.25" customHeight="1">
      <c r="A141" s="3"/>
      <c r="B141" s="21" t="s">
        <v>191</v>
      </c>
      <c r="C141" s="21"/>
      <c r="D141" s="23"/>
      <c r="E141" s="24"/>
      <c r="F141" s="29">
        <v>1071.0</v>
      </c>
      <c r="G141" s="26">
        <v>6000.0</v>
      </c>
      <c r="H141" s="26">
        <v>500.0</v>
      </c>
      <c r="I141" s="26">
        <v>10.0</v>
      </c>
      <c r="J141" s="26">
        <f t="shared" ref="J141:J142" si="213">(1.25*O141+R141+T141+Y141+AA141+AB141+AN141)/(1-P141-$J$8-$J$4-(1-K141)*$J$3-$J$11-AC141-AE141)</f>
        <v>6693.63255</v>
      </c>
      <c r="K141" s="28">
        <v>0.45</v>
      </c>
      <c r="L141" s="30">
        <f t="shared" ref="L141:L142" si="214">J141*(1-K141)</f>
        <v>3681.497902</v>
      </c>
      <c r="M141" s="31">
        <v>1335.95</v>
      </c>
      <c r="N141" s="32">
        <f t="shared" ref="N141:N142" si="215">$J$5</f>
        <v>60</v>
      </c>
      <c r="O141" s="33">
        <f t="shared" ref="O141:O142" si="216">M141+N141</f>
        <v>1395.95</v>
      </c>
      <c r="P141" s="34">
        <v>0.47</v>
      </c>
      <c r="Q141" s="29">
        <f t="shared" ref="Q141:Q142" si="217">J141*P141</f>
        <v>3146.007298</v>
      </c>
      <c r="R141" s="35">
        <v>63.0</v>
      </c>
      <c r="S141" s="29">
        <f t="shared" ref="S141:S142" si="218">J141*$J$8</f>
        <v>133.872651</v>
      </c>
      <c r="T141" s="35">
        <v>25.0</v>
      </c>
      <c r="U141" s="29">
        <f t="shared" ref="U141:U142" si="219">J141*$J$4</f>
        <v>100.4044882</v>
      </c>
      <c r="V141" s="29">
        <f t="shared" ref="V141:V142" si="220">L141*$J$3</f>
        <v>257.7048532</v>
      </c>
      <c r="W141" s="36">
        <v>0.9</v>
      </c>
      <c r="X141" s="35">
        <v>63.0</v>
      </c>
      <c r="Y141" s="29">
        <f t="shared" ref="Y141:Y142" si="221">X141*(1-W141)</f>
        <v>6.3</v>
      </c>
      <c r="Z141" s="37">
        <v>0.3</v>
      </c>
      <c r="AA141" s="29">
        <f t="shared" ref="AA141:AA142" si="222">$J$6*$J$7*Z141</f>
        <v>0</v>
      </c>
      <c r="AB141" s="33">
        <f t="shared" ref="AB141:AB142" si="223">Z141*($J$9+$J$10)</f>
        <v>1.5519</v>
      </c>
      <c r="AC141" s="34">
        <v>0.07</v>
      </c>
      <c r="AD141" s="29">
        <f t="shared" ref="AD141:AD142" si="224">J141*AC141</f>
        <v>468.5542785</v>
      </c>
      <c r="AE141" s="36">
        <v>0.08</v>
      </c>
      <c r="AF141" s="29">
        <f t="shared" ref="AF141:AF142" si="225">J141*AE141</f>
        <v>535.490604</v>
      </c>
      <c r="AG141" s="29">
        <f t="shared" ref="AG141:AG142" si="226">AD141+AF141</f>
        <v>1004.044882</v>
      </c>
      <c r="AH141" s="38">
        <f t="shared" ref="AH141:AH142" si="227">AG141/J141</f>
        <v>0.15</v>
      </c>
      <c r="AI141" s="39">
        <f t="shared" ref="AI141:AI142" si="228">J141-Q141-R141-S141-T141-U141-V141-Y141-AA141-AB141-O141-AN141-AO141</f>
        <v>1353.032382</v>
      </c>
      <c r="AJ141" s="40">
        <f t="shared" ref="AJ141:AJ142" si="229">AI141-AG141</f>
        <v>348.9875</v>
      </c>
      <c r="AK141" s="41">
        <f t="shared" ref="AK141:AK142" si="230">AJ141/J141</f>
        <v>0.05213723601</v>
      </c>
      <c r="AL141" s="42">
        <f t="shared" ref="AL141:AL142" si="231">AJ141/O141</f>
        <v>0.25</v>
      </c>
      <c r="AM141" s="29">
        <f t="shared" ref="AM141:AM142" si="232">(R141+T141+Y141+AA141+AB141+O141+AN141)/(1-(P141+$J$4+(1-K141)*$J$3+$J$8+$J$11+AC141+AE141))</f>
        <v>5431.471609</v>
      </c>
      <c r="AN141" s="29">
        <f t="shared" ref="AN141:AN142" si="233">$J$12</f>
        <v>10</v>
      </c>
      <c r="AO141" s="29">
        <f t="shared" ref="AO141:AO142" si="234">J141*$J$11</f>
        <v>200.8089765</v>
      </c>
    </row>
    <row r="142" ht="14.25" customHeight="1">
      <c r="A142" s="3"/>
      <c r="B142" s="21" t="s">
        <v>192</v>
      </c>
      <c r="C142" s="21"/>
      <c r="D142" s="23"/>
      <c r="E142" s="24"/>
      <c r="F142" s="29">
        <v>543.0</v>
      </c>
      <c r="G142" s="26">
        <v>5900.0</v>
      </c>
      <c r="H142" s="26">
        <v>220.0</v>
      </c>
      <c r="I142" s="26">
        <v>11.0</v>
      </c>
      <c r="J142" s="26">
        <f t="shared" si="213"/>
        <v>5059.382278</v>
      </c>
      <c r="K142" s="28">
        <v>0.45</v>
      </c>
      <c r="L142" s="30">
        <f t="shared" si="214"/>
        <v>2782.660253</v>
      </c>
      <c r="M142" s="31">
        <v>974.04</v>
      </c>
      <c r="N142" s="32">
        <f t="shared" si="215"/>
        <v>60</v>
      </c>
      <c r="O142" s="33">
        <f t="shared" si="216"/>
        <v>1034.04</v>
      </c>
      <c r="P142" s="34">
        <v>0.47</v>
      </c>
      <c r="Q142" s="29">
        <f t="shared" si="217"/>
        <v>2377.909671</v>
      </c>
      <c r="R142" s="35">
        <v>63.0</v>
      </c>
      <c r="S142" s="29">
        <f t="shared" si="218"/>
        <v>101.1876456</v>
      </c>
      <c r="T142" s="35">
        <v>25.0</v>
      </c>
      <c r="U142" s="29">
        <f t="shared" si="219"/>
        <v>75.89073418</v>
      </c>
      <c r="V142" s="29">
        <f t="shared" si="220"/>
        <v>194.7862177</v>
      </c>
      <c r="W142" s="36">
        <v>0.9</v>
      </c>
      <c r="X142" s="35">
        <v>63.0</v>
      </c>
      <c r="Y142" s="29">
        <f t="shared" si="221"/>
        <v>6.3</v>
      </c>
      <c r="Z142" s="37">
        <v>0.4</v>
      </c>
      <c r="AA142" s="29">
        <f t="shared" si="222"/>
        <v>0</v>
      </c>
      <c r="AB142" s="33">
        <f t="shared" si="223"/>
        <v>2.0692</v>
      </c>
      <c r="AC142" s="34">
        <v>0.07</v>
      </c>
      <c r="AD142" s="29">
        <f t="shared" si="224"/>
        <v>354.1567595</v>
      </c>
      <c r="AE142" s="36">
        <v>0.08</v>
      </c>
      <c r="AF142" s="29">
        <f t="shared" si="225"/>
        <v>404.7505823</v>
      </c>
      <c r="AG142" s="29">
        <f t="shared" si="226"/>
        <v>758.9073418</v>
      </c>
      <c r="AH142" s="38">
        <f t="shared" si="227"/>
        <v>0.15</v>
      </c>
      <c r="AI142" s="39">
        <f t="shared" si="228"/>
        <v>1017.417342</v>
      </c>
      <c r="AJ142" s="40">
        <f t="shared" si="229"/>
        <v>258.51</v>
      </c>
      <c r="AK142" s="41">
        <f t="shared" si="230"/>
        <v>0.05109517047</v>
      </c>
      <c r="AL142" s="42">
        <f t="shared" si="231"/>
        <v>0.25</v>
      </c>
      <c r="AM142" s="29">
        <f t="shared" si="232"/>
        <v>4124.44557</v>
      </c>
      <c r="AN142" s="29">
        <f t="shared" si="233"/>
        <v>10</v>
      </c>
      <c r="AO142" s="29">
        <f t="shared" si="234"/>
        <v>151.7814684</v>
      </c>
    </row>
    <row r="143" ht="14.25" customHeight="1">
      <c r="A143" s="43"/>
      <c r="B143" s="44" t="s">
        <v>193</v>
      </c>
      <c r="C143" s="44"/>
      <c r="D143" s="45"/>
      <c r="E143" s="45"/>
      <c r="G143" s="29"/>
      <c r="H143" s="29"/>
      <c r="I143" s="29"/>
      <c r="J143" s="29"/>
      <c r="K143" s="46"/>
      <c r="L143" s="30"/>
      <c r="M143" s="32"/>
      <c r="N143" s="32"/>
      <c r="O143" s="33"/>
      <c r="P143" s="47"/>
      <c r="Q143" s="29"/>
      <c r="R143" s="29"/>
      <c r="S143" s="29"/>
      <c r="T143" s="29"/>
      <c r="U143" s="29"/>
      <c r="V143" s="29"/>
      <c r="W143" s="41"/>
      <c r="X143" s="29"/>
      <c r="Y143" s="29"/>
      <c r="Z143" s="48"/>
      <c r="AA143" s="29"/>
      <c r="AB143" s="33"/>
      <c r="AC143" s="47"/>
      <c r="AD143" s="29"/>
      <c r="AE143" s="41"/>
      <c r="AF143" s="29"/>
      <c r="AG143" s="29"/>
      <c r="AH143" s="38"/>
      <c r="AI143" s="39"/>
      <c r="AJ143" s="29"/>
      <c r="AK143" s="41"/>
      <c r="AL143" s="41"/>
      <c r="AM143" s="29"/>
      <c r="AN143" s="29"/>
      <c r="AO143" s="29"/>
    </row>
    <row r="144" ht="14.25" customHeight="1">
      <c r="A144" s="17"/>
      <c r="B144" s="18" t="s">
        <v>194</v>
      </c>
      <c r="C144" s="18"/>
      <c r="D144" s="19"/>
      <c r="E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</row>
    <row r="145" ht="14.25" customHeight="1">
      <c r="A145" s="61"/>
      <c r="B145" s="62" t="s">
        <v>195</v>
      </c>
      <c r="C145" s="62"/>
      <c r="D145" s="63">
        <v>600.0</v>
      </c>
      <c r="E145" s="64"/>
      <c r="F145" s="29">
        <v>0.0</v>
      </c>
      <c r="G145" s="26">
        <v>2650.0</v>
      </c>
      <c r="H145" s="26">
        <v>20.0</v>
      </c>
      <c r="I145" s="26">
        <v>2.0</v>
      </c>
      <c r="J145" s="26">
        <f t="shared" ref="J145:J152" si="235">(1.25*O145+R145+T145+Y145+AA145+AB145+AN145)/(1-P145-$J$8-$J$4-(1-K145)*$J$3-$J$11-AC145-AE145)</f>
        <v>2773.133599</v>
      </c>
      <c r="K145" s="28">
        <v>0.45</v>
      </c>
      <c r="L145" s="30">
        <f t="shared" ref="L145:L152" si="236">J145*(1-K145)</f>
        <v>1525.223479</v>
      </c>
      <c r="M145" s="31">
        <v>455.0</v>
      </c>
      <c r="N145" s="32">
        <f t="shared" ref="N145:N152" si="237">$J$5</f>
        <v>60</v>
      </c>
      <c r="O145" s="33">
        <f t="shared" ref="O145:O152" si="238">M145+N145</f>
        <v>515</v>
      </c>
      <c r="P145" s="34">
        <v>0.47</v>
      </c>
      <c r="Q145" s="29">
        <f t="shared" ref="Q145:Q152" si="239">J145*P145</f>
        <v>1303.372791</v>
      </c>
      <c r="R145" s="35">
        <v>74.0</v>
      </c>
      <c r="S145" s="29">
        <f t="shared" ref="S145:S152" si="240">J145*$J$8</f>
        <v>55.46267197</v>
      </c>
      <c r="T145" s="35">
        <v>25.0</v>
      </c>
      <c r="U145" s="29">
        <f t="shared" ref="U145:U152" si="241">J145*$J$4</f>
        <v>41.59700398</v>
      </c>
      <c r="V145" s="29">
        <f t="shared" ref="V145:V152" si="242">L145*$J$3</f>
        <v>106.7656435</v>
      </c>
      <c r="W145" s="36">
        <v>0.9</v>
      </c>
      <c r="X145" s="35">
        <v>74.0</v>
      </c>
      <c r="Y145" s="29">
        <f t="shared" ref="Y145:Y152" si="243">X145*(1-W145)</f>
        <v>7.4</v>
      </c>
      <c r="Z145" s="37">
        <v>1.28</v>
      </c>
      <c r="AA145" s="29">
        <f t="shared" ref="AA145:AA152" si="244">$J$6*$J$7*Z145</f>
        <v>0</v>
      </c>
      <c r="AB145" s="33">
        <f t="shared" ref="AB145:AB152" si="245">Z145*($J$9+$J$10)</f>
        <v>6.62144</v>
      </c>
      <c r="AC145" s="34">
        <v>0.07</v>
      </c>
      <c r="AD145" s="29">
        <f t="shared" ref="AD145:AD152" si="246">J145*AC145</f>
        <v>194.1193519</v>
      </c>
      <c r="AE145" s="36">
        <v>0.08</v>
      </c>
      <c r="AF145" s="29">
        <f t="shared" ref="AF145:AF152" si="247">J145*AE145</f>
        <v>221.8506879</v>
      </c>
      <c r="AG145" s="29">
        <f t="shared" ref="AG145:AG152" si="248">AD145+AF145</f>
        <v>415.9700398</v>
      </c>
      <c r="AH145" s="38">
        <f t="shared" ref="AH145:AH152" si="249">AG145/J145</f>
        <v>0.15</v>
      </c>
      <c r="AI145" s="39">
        <f t="shared" ref="AI145:AI152" si="250">J145-Q145-R145-S145-T145-U145-V145-Y145-AA145-AB145-O145-AN145-AO145</f>
        <v>544.7200398</v>
      </c>
      <c r="AJ145" s="40">
        <f t="shared" ref="AJ145:AJ152" si="251">AI145-AG145</f>
        <v>128.75</v>
      </c>
      <c r="AK145" s="41">
        <f t="shared" ref="AK145:AK152" si="252">AJ145/J145</f>
        <v>0.04642762255</v>
      </c>
      <c r="AL145" s="42">
        <f t="shared" ref="AL145:AL152" si="253">AJ145/O145</f>
        <v>0.25</v>
      </c>
      <c r="AM145" s="29">
        <f t="shared" ref="AM145:AM152" si="254">(R145+T145+Y145+AA145+AB145+O145+AN145)/(1-(P145+$J$4+(1-K145)*$J$3+$J$8+$J$11+AC145+AE145))</f>
        <v>2307.491646</v>
      </c>
      <c r="AN145" s="29">
        <f t="shared" ref="AN145:AN152" si="255">$J$12</f>
        <v>10</v>
      </c>
      <c r="AO145" s="29">
        <f t="shared" ref="AO145:AO152" si="256">J145*$J$11</f>
        <v>83.19400796</v>
      </c>
    </row>
    <row r="146" ht="14.25" customHeight="1">
      <c r="A146" s="61"/>
      <c r="B146" s="62" t="s">
        <v>196</v>
      </c>
      <c r="C146" s="62"/>
      <c r="D146" s="63">
        <v>320.0</v>
      </c>
      <c r="E146" s="4"/>
      <c r="F146" s="29">
        <v>0.0</v>
      </c>
      <c r="G146" s="26">
        <v>4880.0</v>
      </c>
      <c r="H146" s="26">
        <v>220.0</v>
      </c>
      <c r="I146" s="26">
        <v>10.0</v>
      </c>
      <c r="J146" s="26">
        <f t="shared" si="235"/>
        <v>3702.962749</v>
      </c>
      <c r="K146" s="28">
        <v>0.45</v>
      </c>
      <c r="L146" s="30">
        <f t="shared" si="236"/>
        <v>2036.629512</v>
      </c>
      <c r="M146" s="31">
        <v>674.0</v>
      </c>
      <c r="N146" s="32">
        <f t="shared" si="237"/>
        <v>60</v>
      </c>
      <c r="O146" s="33">
        <f t="shared" si="238"/>
        <v>734</v>
      </c>
      <c r="P146" s="34">
        <v>0.47</v>
      </c>
      <c r="Q146" s="29">
        <f t="shared" si="239"/>
        <v>1740.392492</v>
      </c>
      <c r="R146" s="35">
        <v>63.0</v>
      </c>
      <c r="S146" s="29">
        <f t="shared" si="240"/>
        <v>74.05925497</v>
      </c>
      <c r="T146" s="35">
        <v>25.0</v>
      </c>
      <c r="U146" s="29">
        <f t="shared" si="241"/>
        <v>55.54444123</v>
      </c>
      <c r="V146" s="29">
        <f t="shared" si="242"/>
        <v>142.5640658</v>
      </c>
      <c r="W146" s="36">
        <v>0.9</v>
      </c>
      <c r="X146" s="35">
        <v>63.0</v>
      </c>
      <c r="Y146" s="29">
        <f t="shared" si="243"/>
        <v>6.3</v>
      </c>
      <c r="Z146" s="37">
        <v>0.4</v>
      </c>
      <c r="AA146" s="29">
        <f t="shared" si="244"/>
        <v>0</v>
      </c>
      <c r="AB146" s="33">
        <f t="shared" si="245"/>
        <v>2.0692</v>
      </c>
      <c r="AC146" s="34">
        <v>0.07</v>
      </c>
      <c r="AD146" s="29">
        <f t="shared" si="246"/>
        <v>259.2073924</v>
      </c>
      <c r="AE146" s="36">
        <v>0.08</v>
      </c>
      <c r="AF146" s="29">
        <f t="shared" si="247"/>
        <v>296.2370199</v>
      </c>
      <c r="AG146" s="29">
        <f t="shared" si="248"/>
        <v>555.4444123</v>
      </c>
      <c r="AH146" s="38">
        <f t="shared" si="249"/>
        <v>0.15</v>
      </c>
      <c r="AI146" s="39">
        <f t="shared" si="250"/>
        <v>738.9444123</v>
      </c>
      <c r="AJ146" s="40">
        <f t="shared" si="251"/>
        <v>183.5</v>
      </c>
      <c r="AK146" s="41">
        <f t="shared" si="252"/>
        <v>0.04955491385</v>
      </c>
      <c r="AL146" s="42">
        <f t="shared" si="253"/>
        <v>0.25</v>
      </c>
      <c r="AM146" s="29">
        <f t="shared" si="254"/>
        <v>3039.309946</v>
      </c>
      <c r="AN146" s="29">
        <f t="shared" si="255"/>
        <v>10</v>
      </c>
      <c r="AO146" s="29">
        <f t="shared" si="256"/>
        <v>111.0888825</v>
      </c>
    </row>
    <row r="147" ht="14.25" customHeight="1">
      <c r="A147" s="61"/>
      <c r="B147" s="62" t="s">
        <v>197</v>
      </c>
      <c r="C147" s="62"/>
      <c r="D147" s="63">
        <v>400.0</v>
      </c>
      <c r="E147" s="65"/>
      <c r="F147" s="29">
        <v>0.0</v>
      </c>
      <c r="G147" s="26">
        <v>5000.0</v>
      </c>
      <c r="H147" s="26">
        <v>60.0</v>
      </c>
      <c r="I147" s="26">
        <v>10.0</v>
      </c>
      <c r="J147" s="26">
        <f t="shared" si="235"/>
        <v>4421.769259</v>
      </c>
      <c r="K147" s="28">
        <v>0.45</v>
      </c>
      <c r="L147" s="30">
        <f t="shared" si="236"/>
        <v>2431.973092</v>
      </c>
      <c r="M147" s="31">
        <v>833.0</v>
      </c>
      <c r="N147" s="32">
        <f t="shared" si="237"/>
        <v>60</v>
      </c>
      <c r="O147" s="33">
        <f t="shared" si="238"/>
        <v>893</v>
      </c>
      <c r="P147" s="34">
        <v>0.47</v>
      </c>
      <c r="Q147" s="29">
        <f t="shared" si="239"/>
        <v>2078.231552</v>
      </c>
      <c r="R147" s="35">
        <v>63.0</v>
      </c>
      <c r="S147" s="29">
        <f t="shared" si="240"/>
        <v>88.43538517</v>
      </c>
      <c r="T147" s="35">
        <v>25.0</v>
      </c>
      <c r="U147" s="29">
        <f t="shared" si="241"/>
        <v>66.32653888</v>
      </c>
      <c r="V147" s="29">
        <f t="shared" si="242"/>
        <v>170.2381165</v>
      </c>
      <c r="W147" s="36">
        <v>0.9</v>
      </c>
      <c r="X147" s="35">
        <v>63.0</v>
      </c>
      <c r="Y147" s="29">
        <f t="shared" si="243"/>
        <v>6.3</v>
      </c>
      <c r="Z147" s="37">
        <v>0.4</v>
      </c>
      <c r="AA147" s="29">
        <f t="shared" si="244"/>
        <v>0</v>
      </c>
      <c r="AB147" s="33">
        <f t="shared" si="245"/>
        <v>2.0692</v>
      </c>
      <c r="AC147" s="34">
        <v>0.07</v>
      </c>
      <c r="AD147" s="29">
        <f t="shared" si="246"/>
        <v>309.5238481</v>
      </c>
      <c r="AE147" s="36">
        <v>0.08</v>
      </c>
      <c r="AF147" s="29">
        <f t="shared" si="247"/>
        <v>353.7415407</v>
      </c>
      <c r="AG147" s="29">
        <f t="shared" si="248"/>
        <v>663.2653888</v>
      </c>
      <c r="AH147" s="38">
        <f t="shared" si="249"/>
        <v>0.15</v>
      </c>
      <c r="AI147" s="39">
        <f t="shared" si="250"/>
        <v>886.5153888</v>
      </c>
      <c r="AJ147" s="40">
        <f t="shared" si="251"/>
        <v>223.25</v>
      </c>
      <c r="AK147" s="41">
        <f t="shared" si="252"/>
        <v>0.05048883986</v>
      </c>
      <c r="AL147" s="42">
        <f t="shared" si="253"/>
        <v>0.25</v>
      </c>
      <c r="AM147" s="29">
        <f t="shared" si="254"/>
        <v>3614.355154</v>
      </c>
      <c r="AN147" s="29">
        <f t="shared" si="255"/>
        <v>10</v>
      </c>
      <c r="AO147" s="29">
        <f t="shared" si="256"/>
        <v>132.6530778</v>
      </c>
    </row>
    <row r="148" ht="14.25" customHeight="1">
      <c r="A148" s="61"/>
      <c r="B148" s="62" t="s">
        <v>198</v>
      </c>
      <c r="C148" s="62"/>
      <c r="D148" s="63">
        <v>300.0</v>
      </c>
      <c r="E148" s="4"/>
      <c r="F148" s="29">
        <v>0.0</v>
      </c>
      <c r="G148" s="26">
        <v>5150.0</v>
      </c>
      <c r="H148" s="26">
        <v>65.0</v>
      </c>
      <c r="I148" s="26">
        <v>5.0</v>
      </c>
      <c r="J148" s="26">
        <f t="shared" si="235"/>
        <v>4078.188788</v>
      </c>
      <c r="K148" s="28">
        <v>0.45</v>
      </c>
      <c r="L148" s="30">
        <f t="shared" si="236"/>
        <v>2243.003834</v>
      </c>
      <c r="M148" s="31">
        <v>757.0</v>
      </c>
      <c r="N148" s="32">
        <f t="shared" si="237"/>
        <v>60</v>
      </c>
      <c r="O148" s="33">
        <f t="shared" si="238"/>
        <v>817</v>
      </c>
      <c r="P148" s="34">
        <v>0.47</v>
      </c>
      <c r="Q148" s="29">
        <f t="shared" si="239"/>
        <v>1916.748731</v>
      </c>
      <c r="R148" s="35">
        <v>63.0</v>
      </c>
      <c r="S148" s="29">
        <f t="shared" si="240"/>
        <v>81.56377577</v>
      </c>
      <c r="T148" s="35">
        <v>25.0</v>
      </c>
      <c r="U148" s="29">
        <f t="shared" si="241"/>
        <v>61.17283183</v>
      </c>
      <c r="V148" s="29">
        <f t="shared" si="242"/>
        <v>157.0102684</v>
      </c>
      <c r="W148" s="36">
        <v>0.9</v>
      </c>
      <c r="X148" s="35">
        <v>63.0</v>
      </c>
      <c r="Y148" s="29">
        <f t="shared" si="243"/>
        <v>6.3</v>
      </c>
      <c r="Z148" s="37">
        <v>0.4</v>
      </c>
      <c r="AA148" s="29">
        <f t="shared" si="244"/>
        <v>0</v>
      </c>
      <c r="AB148" s="33">
        <f t="shared" si="245"/>
        <v>2.0692</v>
      </c>
      <c r="AC148" s="34">
        <v>0.07</v>
      </c>
      <c r="AD148" s="29">
        <f t="shared" si="246"/>
        <v>285.4732152</v>
      </c>
      <c r="AE148" s="36">
        <v>0.08</v>
      </c>
      <c r="AF148" s="29">
        <f t="shared" si="247"/>
        <v>326.2551031</v>
      </c>
      <c r="AG148" s="29">
        <f t="shared" si="248"/>
        <v>611.7283183</v>
      </c>
      <c r="AH148" s="38">
        <f t="shared" si="249"/>
        <v>0.15</v>
      </c>
      <c r="AI148" s="39">
        <f t="shared" si="250"/>
        <v>815.9783183</v>
      </c>
      <c r="AJ148" s="40">
        <f t="shared" si="251"/>
        <v>204.25</v>
      </c>
      <c r="AK148" s="41">
        <f t="shared" si="252"/>
        <v>0.0500835078</v>
      </c>
      <c r="AL148" s="42">
        <f t="shared" si="253"/>
        <v>0.25</v>
      </c>
      <c r="AM148" s="29">
        <f t="shared" si="254"/>
        <v>3339.490778</v>
      </c>
      <c r="AN148" s="29">
        <f t="shared" si="255"/>
        <v>10</v>
      </c>
      <c r="AO148" s="29">
        <f t="shared" si="256"/>
        <v>122.3456637</v>
      </c>
    </row>
    <row r="149" ht="14.25" customHeight="1">
      <c r="A149" s="61"/>
      <c r="B149" s="62" t="s">
        <v>199</v>
      </c>
      <c r="C149" s="62"/>
      <c r="D149" s="63">
        <v>240.0</v>
      </c>
      <c r="E149" s="4"/>
      <c r="F149" s="29">
        <v>0.0</v>
      </c>
      <c r="G149" s="26">
        <v>6900.0</v>
      </c>
      <c r="H149" s="26">
        <v>25.0</v>
      </c>
      <c r="I149" s="26">
        <v>0.0</v>
      </c>
      <c r="J149" s="26">
        <f t="shared" si="235"/>
        <v>4824.120072</v>
      </c>
      <c r="K149" s="28">
        <v>0.45</v>
      </c>
      <c r="L149" s="30">
        <f t="shared" si="236"/>
        <v>2653.26604</v>
      </c>
      <c r="M149" s="31">
        <v>922.0</v>
      </c>
      <c r="N149" s="32">
        <f t="shared" si="237"/>
        <v>60</v>
      </c>
      <c r="O149" s="33">
        <f t="shared" si="238"/>
        <v>982</v>
      </c>
      <c r="P149" s="34">
        <v>0.47</v>
      </c>
      <c r="Q149" s="29">
        <f t="shared" si="239"/>
        <v>2267.336434</v>
      </c>
      <c r="R149" s="35">
        <v>63.0</v>
      </c>
      <c r="S149" s="29">
        <f t="shared" si="240"/>
        <v>96.48240145</v>
      </c>
      <c r="T149" s="35">
        <v>25.0</v>
      </c>
      <c r="U149" s="29">
        <f t="shared" si="241"/>
        <v>72.36180108</v>
      </c>
      <c r="V149" s="29">
        <f t="shared" si="242"/>
        <v>185.7286228</v>
      </c>
      <c r="W149" s="36">
        <v>0.9</v>
      </c>
      <c r="X149" s="35">
        <v>63.0</v>
      </c>
      <c r="Y149" s="29">
        <f t="shared" si="243"/>
        <v>6.3</v>
      </c>
      <c r="Z149" s="37">
        <v>0.4</v>
      </c>
      <c r="AA149" s="29">
        <f t="shared" si="244"/>
        <v>0</v>
      </c>
      <c r="AB149" s="33">
        <f t="shared" si="245"/>
        <v>2.0692</v>
      </c>
      <c r="AC149" s="34">
        <v>0.07</v>
      </c>
      <c r="AD149" s="29">
        <f t="shared" si="246"/>
        <v>337.6884051</v>
      </c>
      <c r="AE149" s="36">
        <v>0.08</v>
      </c>
      <c r="AF149" s="29">
        <f t="shared" si="247"/>
        <v>385.9296058</v>
      </c>
      <c r="AG149" s="29">
        <f t="shared" si="248"/>
        <v>723.6180108</v>
      </c>
      <c r="AH149" s="38">
        <f t="shared" si="249"/>
        <v>0.15</v>
      </c>
      <c r="AI149" s="39">
        <f t="shared" si="250"/>
        <v>969.1180108</v>
      </c>
      <c r="AJ149" s="40">
        <f t="shared" si="251"/>
        <v>245.5</v>
      </c>
      <c r="AK149" s="41">
        <f t="shared" si="252"/>
        <v>0.05089010976</v>
      </c>
      <c r="AL149" s="42">
        <f t="shared" si="253"/>
        <v>0.25</v>
      </c>
      <c r="AM149" s="29">
        <f t="shared" si="254"/>
        <v>3936.235805</v>
      </c>
      <c r="AN149" s="29">
        <f t="shared" si="255"/>
        <v>10</v>
      </c>
      <c r="AO149" s="29">
        <f t="shared" si="256"/>
        <v>144.7236022</v>
      </c>
    </row>
    <row r="150" ht="14.25" customHeight="1">
      <c r="A150" s="61"/>
      <c r="B150" s="62" t="s">
        <v>200</v>
      </c>
      <c r="C150" s="62"/>
      <c r="D150" s="63">
        <v>160.0</v>
      </c>
      <c r="E150" s="4"/>
      <c r="F150" s="29">
        <v>0.0</v>
      </c>
      <c r="G150" s="26">
        <v>5270.0</v>
      </c>
      <c r="H150" s="26">
        <v>200.0</v>
      </c>
      <c r="I150" s="26">
        <v>17.0</v>
      </c>
      <c r="J150" s="26">
        <f t="shared" si="235"/>
        <v>5262.637251</v>
      </c>
      <c r="K150" s="28">
        <v>0.45</v>
      </c>
      <c r="L150" s="30">
        <f t="shared" si="236"/>
        <v>2894.450488</v>
      </c>
      <c r="M150" s="31">
        <v>1019.0</v>
      </c>
      <c r="N150" s="32">
        <f t="shared" si="237"/>
        <v>60</v>
      </c>
      <c r="O150" s="33">
        <f t="shared" si="238"/>
        <v>1079</v>
      </c>
      <c r="P150" s="34">
        <v>0.47</v>
      </c>
      <c r="Q150" s="29">
        <f t="shared" si="239"/>
        <v>2473.439508</v>
      </c>
      <c r="R150" s="35">
        <v>63.0</v>
      </c>
      <c r="S150" s="29">
        <f t="shared" si="240"/>
        <v>105.252745</v>
      </c>
      <c r="T150" s="35">
        <v>25.0</v>
      </c>
      <c r="U150" s="29">
        <f t="shared" si="241"/>
        <v>78.93955877</v>
      </c>
      <c r="V150" s="29">
        <f t="shared" si="242"/>
        <v>202.6115342</v>
      </c>
      <c r="W150" s="36">
        <v>0.9</v>
      </c>
      <c r="X150" s="35">
        <v>63.0</v>
      </c>
      <c r="Y150" s="29">
        <f t="shared" si="243"/>
        <v>6.3</v>
      </c>
      <c r="Z150" s="37">
        <v>0.4</v>
      </c>
      <c r="AA150" s="29">
        <f t="shared" si="244"/>
        <v>0</v>
      </c>
      <c r="AB150" s="33">
        <f t="shared" si="245"/>
        <v>2.0692</v>
      </c>
      <c r="AC150" s="34">
        <v>0.07</v>
      </c>
      <c r="AD150" s="29">
        <f t="shared" si="246"/>
        <v>368.3846076</v>
      </c>
      <c r="AE150" s="36">
        <v>0.08</v>
      </c>
      <c r="AF150" s="29">
        <f t="shared" si="247"/>
        <v>421.0109801</v>
      </c>
      <c r="AG150" s="29">
        <f t="shared" si="248"/>
        <v>789.3955877</v>
      </c>
      <c r="AH150" s="38">
        <f t="shared" si="249"/>
        <v>0.15</v>
      </c>
      <c r="AI150" s="39">
        <f t="shared" si="250"/>
        <v>1059.145588</v>
      </c>
      <c r="AJ150" s="40">
        <f t="shared" si="251"/>
        <v>269.75</v>
      </c>
      <c r="AK150" s="41">
        <f t="shared" si="252"/>
        <v>0.05125757051</v>
      </c>
      <c r="AL150" s="42">
        <f t="shared" si="253"/>
        <v>0.25</v>
      </c>
      <c r="AM150" s="29">
        <f t="shared" si="254"/>
        <v>4287.049548</v>
      </c>
      <c r="AN150" s="29">
        <f t="shared" si="255"/>
        <v>10</v>
      </c>
      <c r="AO150" s="29">
        <f t="shared" si="256"/>
        <v>157.8791175</v>
      </c>
    </row>
    <row r="151" ht="14.25" customHeight="1">
      <c r="A151" s="61"/>
      <c r="B151" s="62" t="s">
        <v>201</v>
      </c>
      <c r="C151" s="62"/>
      <c r="D151" s="63">
        <v>200.0</v>
      </c>
      <c r="E151" s="4"/>
      <c r="F151" s="29">
        <v>0.0</v>
      </c>
      <c r="G151" s="26">
        <v>3450.0</v>
      </c>
      <c r="H151" s="26">
        <v>100.0</v>
      </c>
      <c r="I151" s="26">
        <v>10.0</v>
      </c>
      <c r="J151" s="26">
        <f t="shared" si="235"/>
        <v>3684.879566</v>
      </c>
      <c r="K151" s="28">
        <v>0.45</v>
      </c>
      <c r="L151" s="30">
        <f t="shared" si="236"/>
        <v>2026.683761</v>
      </c>
      <c r="M151" s="31">
        <v>670.0</v>
      </c>
      <c r="N151" s="32">
        <f t="shared" si="237"/>
        <v>60</v>
      </c>
      <c r="O151" s="33">
        <f t="shared" si="238"/>
        <v>730</v>
      </c>
      <c r="P151" s="34">
        <v>0.47</v>
      </c>
      <c r="Q151" s="29">
        <f t="shared" si="239"/>
        <v>1731.893396</v>
      </c>
      <c r="R151" s="35">
        <v>63.0</v>
      </c>
      <c r="S151" s="29">
        <f t="shared" si="240"/>
        <v>73.69759132</v>
      </c>
      <c r="T151" s="35">
        <v>25.0</v>
      </c>
      <c r="U151" s="29">
        <f t="shared" si="241"/>
        <v>55.27319349</v>
      </c>
      <c r="V151" s="29">
        <f t="shared" si="242"/>
        <v>141.8678633</v>
      </c>
      <c r="W151" s="36">
        <v>0.9</v>
      </c>
      <c r="X151" s="35">
        <v>63.0</v>
      </c>
      <c r="Y151" s="29">
        <f t="shared" si="243"/>
        <v>6.3</v>
      </c>
      <c r="Z151" s="37">
        <v>0.4</v>
      </c>
      <c r="AA151" s="29">
        <f t="shared" si="244"/>
        <v>0</v>
      </c>
      <c r="AB151" s="33">
        <f t="shared" si="245"/>
        <v>2.0692</v>
      </c>
      <c r="AC151" s="34">
        <v>0.07</v>
      </c>
      <c r="AD151" s="29">
        <f t="shared" si="246"/>
        <v>257.9415696</v>
      </c>
      <c r="AE151" s="36">
        <v>0.08</v>
      </c>
      <c r="AF151" s="29">
        <f t="shared" si="247"/>
        <v>294.7903653</v>
      </c>
      <c r="AG151" s="29">
        <f t="shared" si="248"/>
        <v>552.7319349</v>
      </c>
      <c r="AH151" s="38">
        <f t="shared" si="249"/>
        <v>0.15</v>
      </c>
      <c r="AI151" s="39">
        <f t="shared" si="250"/>
        <v>735.2319349</v>
      </c>
      <c r="AJ151" s="40">
        <f t="shared" si="251"/>
        <v>182.5</v>
      </c>
      <c r="AK151" s="41">
        <f t="shared" si="252"/>
        <v>0.04952672041</v>
      </c>
      <c r="AL151" s="42">
        <f t="shared" si="253"/>
        <v>0.25</v>
      </c>
      <c r="AM151" s="29">
        <f t="shared" si="254"/>
        <v>3024.8434</v>
      </c>
      <c r="AN151" s="29">
        <f t="shared" si="255"/>
        <v>10</v>
      </c>
      <c r="AO151" s="29">
        <f t="shared" si="256"/>
        <v>110.546387</v>
      </c>
    </row>
    <row r="152" ht="14.25" customHeight="1">
      <c r="A152" s="61"/>
      <c r="B152" s="62" t="s">
        <v>203</v>
      </c>
      <c r="C152" s="62"/>
      <c r="D152" s="63">
        <v>1530.0</v>
      </c>
      <c r="E152" s="4"/>
      <c r="F152" s="29">
        <v>0.0</v>
      </c>
      <c r="G152" s="26">
        <v>3350.0</v>
      </c>
      <c r="H152" s="26">
        <v>400.0</v>
      </c>
      <c r="I152" s="26">
        <v>13.0</v>
      </c>
      <c r="J152" s="26">
        <f t="shared" si="235"/>
        <v>2495.910307</v>
      </c>
      <c r="K152" s="28">
        <v>0.45</v>
      </c>
      <c r="L152" s="30">
        <f t="shared" si="236"/>
        <v>1372.750669</v>
      </c>
      <c r="M152" s="31">
        <v>407.0</v>
      </c>
      <c r="N152" s="32">
        <f t="shared" si="237"/>
        <v>60</v>
      </c>
      <c r="O152" s="33">
        <f t="shared" si="238"/>
        <v>467</v>
      </c>
      <c r="P152" s="34">
        <v>0.47</v>
      </c>
      <c r="Q152" s="29">
        <f t="shared" si="239"/>
        <v>1173.077844</v>
      </c>
      <c r="R152" s="35">
        <v>63.0</v>
      </c>
      <c r="S152" s="29">
        <f t="shared" si="240"/>
        <v>49.91820615</v>
      </c>
      <c r="T152" s="35">
        <v>25.0</v>
      </c>
      <c r="U152" s="29">
        <f t="shared" si="241"/>
        <v>37.43865461</v>
      </c>
      <c r="V152" s="29">
        <f t="shared" si="242"/>
        <v>96.09254684</v>
      </c>
      <c r="W152" s="36">
        <v>0.9</v>
      </c>
      <c r="X152" s="35">
        <v>63.0</v>
      </c>
      <c r="Y152" s="29">
        <f t="shared" si="243"/>
        <v>6.3</v>
      </c>
      <c r="Z152" s="37">
        <v>0.4</v>
      </c>
      <c r="AA152" s="29">
        <f t="shared" si="244"/>
        <v>0</v>
      </c>
      <c r="AB152" s="33">
        <f t="shared" si="245"/>
        <v>2.0692</v>
      </c>
      <c r="AC152" s="34">
        <v>0.07</v>
      </c>
      <c r="AD152" s="29">
        <f t="shared" si="246"/>
        <v>174.7137215</v>
      </c>
      <c r="AE152" s="36">
        <v>0.08</v>
      </c>
      <c r="AF152" s="29">
        <f t="shared" si="247"/>
        <v>199.6728246</v>
      </c>
      <c r="AG152" s="29">
        <f t="shared" si="248"/>
        <v>374.3865461</v>
      </c>
      <c r="AH152" s="38">
        <f t="shared" si="249"/>
        <v>0.15</v>
      </c>
      <c r="AI152" s="39">
        <f t="shared" si="250"/>
        <v>491.1365461</v>
      </c>
      <c r="AJ152" s="40">
        <f t="shared" si="251"/>
        <v>116.75</v>
      </c>
      <c r="AK152" s="41">
        <f t="shared" si="252"/>
        <v>0.04677652064</v>
      </c>
      <c r="AL152" s="42">
        <f t="shared" si="253"/>
        <v>0.25</v>
      </c>
      <c r="AM152" s="29">
        <f t="shared" si="254"/>
        <v>2073.667993</v>
      </c>
      <c r="AN152" s="29">
        <f t="shared" si="255"/>
        <v>10</v>
      </c>
      <c r="AO152" s="29">
        <f t="shared" si="256"/>
        <v>74.87730922</v>
      </c>
    </row>
    <row r="153" ht="14.25" customHeight="1">
      <c r="C153" s="4"/>
    </row>
    <row r="154" ht="14.25" customHeight="1">
      <c r="C154" s="4"/>
    </row>
    <row r="155" ht="14.25" customHeight="1">
      <c r="C155" s="4"/>
    </row>
    <row r="156" ht="14.25" customHeight="1">
      <c r="C156" s="4"/>
    </row>
    <row r="157" ht="14.25" customHeight="1">
      <c r="C157" s="4"/>
    </row>
    <row r="158" ht="14.25" customHeight="1">
      <c r="C158" s="4"/>
    </row>
    <row r="159" ht="14.25" customHeight="1">
      <c r="C159" s="4"/>
    </row>
    <row r="160" ht="14.25" customHeight="1">
      <c r="C160" s="4"/>
    </row>
    <row r="161" ht="14.25" customHeight="1">
      <c r="C161" s="4"/>
    </row>
    <row r="162" ht="14.25" customHeight="1">
      <c r="C162" s="4"/>
    </row>
    <row r="163" ht="14.25" customHeight="1">
      <c r="C163" s="4"/>
    </row>
    <row r="164" ht="14.25" customHeight="1">
      <c r="C164" s="4"/>
    </row>
    <row r="165" ht="14.25" customHeight="1">
      <c r="C165" s="4"/>
    </row>
    <row r="166" ht="14.25" customHeight="1">
      <c r="C166" s="4"/>
    </row>
    <row r="167" ht="14.25" customHeight="1">
      <c r="C167" s="4"/>
    </row>
    <row r="168" ht="14.25" customHeight="1">
      <c r="C168" s="4"/>
    </row>
    <row r="169" ht="14.25" customHeight="1">
      <c r="C169" s="4"/>
    </row>
    <row r="170" ht="14.25" customHeight="1">
      <c r="C170" s="4"/>
    </row>
    <row r="171" ht="14.25" customHeight="1">
      <c r="C171" s="4"/>
    </row>
    <row r="172" ht="14.25" customHeight="1">
      <c r="C172" s="4"/>
    </row>
    <row r="173" ht="14.25" customHeight="1">
      <c r="C173" s="4"/>
    </row>
    <row r="174" ht="14.25" customHeight="1">
      <c r="C174" s="4"/>
    </row>
    <row r="175" ht="14.25" customHeight="1">
      <c r="C175" s="4"/>
    </row>
    <row r="176" ht="14.25" customHeight="1">
      <c r="C176" s="4"/>
    </row>
    <row r="177" ht="14.25" customHeight="1">
      <c r="C177" s="4"/>
    </row>
    <row r="178" ht="14.25" customHeight="1">
      <c r="C178" s="4"/>
    </row>
    <row r="179" ht="14.25" customHeight="1">
      <c r="C179" s="4"/>
    </row>
    <row r="180" ht="14.25" customHeight="1">
      <c r="C180" s="4"/>
    </row>
    <row r="181" ht="14.25" customHeight="1">
      <c r="C181" s="4"/>
    </row>
    <row r="182" ht="14.25" customHeight="1">
      <c r="C182" s="4"/>
    </row>
    <row r="183" ht="14.25" customHeight="1">
      <c r="C183" s="4"/>
    </row>
    <row r="184" ht="14.25" customHeight="1">
      <c r="C184" s="4"/>
    </row>
    <row r="185" ht="14.25" customHeight="1">
      <c r="C185" s="4"/>
    </row>
    <row r="186" ht="14.25" customHeight="1">
      <c r="C186" s="4"/>
    </row>
    <row r="187" ht="14.25" customHeight="1">
      <c r="C187" s="4"/>
    </row>
    <row r="188" ht="14.25" customHeight="1">
      <c r="C188" s="4"/>
    </row>
    <row r="189" ht="14.25" customHeight="1">
      <c r="C189" s="4"/>
    </row>
    <row r="190" ht="14.25" customHeight="1">
      <c r="C190" s="4"/>
    </row>
    <row r="191" ht="14.25" customHeight="1">
      <c r="C191" s="4"/>
    </row>
    <row r="192" ht="14.25" customHeight="1">
      <c r="C192" s="4"/>
    </row>
    <row r="193" ht="14.25" customHeight="1">
      <c r="C193" s="4"/>
    </row>
    <row r="194" ht="14.25" customHeight="1">
      <c r="C194" s="4"/>
    </row>
    <row r="195" ht="14.25" customHeight="1">
      <c r="C195" s="4"/>
    </row>
    <row r="196" ht="14.25" customHeight="1">
      <c r="C196" s="4"/>
    </row>
    <row r="197" ht="14.25" customHeight="1">
      <c r="C197" s="4"/>
    </row>
    <row r="198" ht="14.25" customHeight="1">
      <c r="C198" s="4"/>
    </row>
    <row r="199" ht="14.25" customHeight="1">
      <c r="C199" s="4"/>
    </row>
    <row r="200" ht="14.25" customHeight="1">
      <c r="C200" s="4"/>
    </row>
    <row r="201" ht="14.25" customHeight="1">
      <c r="C201" s="4"/>
    </row>
    <row r="202" ht="14.25" customHeight="1">
      <c r="C202" s="4"/>
    </row>
    <row r="203" ht="14.25" customHeight="1">
      <c r="C203" s="4"/>
    </row>
    <row r="204" ht="14.25" customHeight="1">
      <c r="C204" s="4"/>
    </row>
    <row r="205" ht="14.25" customHeight="1">
      <c r="C205" s="4"/>
    </row>
    <row r="206" ht="14.25" customHeight="1">
      <c r="C206" s="4"/>
    </row>
    <row r="207" ht="14.25" customHeight="1">
      <c r="C207" s="4"/>
    </row>
    <row r="208" ht="14.25" customHeight="1">
      <c r="C208" s="4"/>
    </row>
    <row r="209" ht="14.25" customHeight="1">
      <c r="C209" s="4"/>
    </row>
    <row r="210" ht="14.25" customHeight="1">
      <c r="C210" s="4"/>
    </row>
    <row r="211" ht="14.25" customHeight="1">
      <c r="C211" s="4"/>
    </row>
    <row r="212" ht="14.25" customHeight="1">
      <c r="C212" s="4"/>
    </row>
    <row r="213" ht="14.25" customHeight="1">
      <c r="C213" s="4"/>
    </row>
    <row r="214" ht="14.25" customHeight="1">
      <c r="C214" s="4"/>
    </row>
    <row r="215" ht="14.25" customHeight="1">
      <c r="C215" s="4"/>
    </row>
    <row r="216" ht="14.25" customHeight="1">
      <c r="C216" s="4"/>
    </row>
    <row r="217" ht="14.25" customHeight="1">
      <c r="C217" s="4"/>
    </row>
    <row r="218" ht="14.25" customHeight="1">
      <c r="C218" s="4"/>
    </row>
    <row r="219" ht="14.25" customHeight="1">
      <c r="C219" s="4"/>
    </row>
    <row r="220" ht="14.25" customHeight="1">
      <c r="C220" s="4"/>
    </row>
    <row r="221" ht="14.25" customHeight="1">
      <c r="C221" s="4"/>
    </row>
    <row r="222" ht="14.25" customHeight="1">
      <c r="C222" s="4"/>
    </row>
    <row r="223" ht="14.25" customHeight="1">
      <c r="C223" s="4"/>
    </row>
    <row r="224" ht="14.25" customHeight="1">
      <c r="C224" s="4"/>
    </row>
    <row r="225" ht="14.25" customHeight="1">
      <c r="C225" s="4"/>
    </row>
    <row r="226" ht="14.25" customHeight="1">
      <c r="C226" s="4"/>
    </row>
    <row r="227" ht="14.25" customHeight="1">
      <c r="C227" s="4"/>
    </row>
    <row r="228" ht="14.25" customHeight="1">
      <c r="C228" s="4"/>
    </row>
    <row r="229" ht="14.25" customHeight="1">
      <c r="C229" s="4"/>
    </row>
    <row r="230" ht="14.25" customHeight="1">
      <c r="C230" s="4"/>
    </row>
    <row r="231" ht="14.25" customHeight="1">
      <c r="C231" s="4"/>
    </row>
    <row r="232" ht="14.25" customHeight="1">
      <c r="C232" s="4"/>
    </row>
    <row r="233" ht="14.25" customHeight="1">
      <c r="C233" s="4"/>
    </row>
    <row r="234" ht="14.25" customHeight="1">
      <c r="C234" s="4"/>
    </row>
    <row r="235" ht="14.25" customHeight="1">
      <c r="C235" s="4"/>
    </row>
    <row r="236" ht="14.25" customHeight="1">
      <c r="C236" s="4"/>
    </row>
    <row r="237" ht="14.25" customHeight="1">
      <c r="C237" s="4"/>
    </row>
    <row r="238" ht="14.25" customHeight="1">
      <c r="C238" s="4"/>
    </row>
    <row r="239" ht="14.25" customHeight="1">
      <c r="C239" s="4"/>
    </row>
    <row r="240" ht="14.25" customHeight="1">
      <c r="C240" s="4"/>
    </row>
    <row r="241" ht="14.25" customHeight="1">
      <c r="C241" s="4"/>
    </row>
    <row r="242" ht="14.25" customHeight="1">
      <c r="C242" s="4"/>
    </row>
    <row r="243" ht="14.25" customHeight="1">
      <c r="C243" s="4"/>
    </row>
    <row r="244" ht="14.25" customHeight="1">
      <c r="C244" s="4"/>
    </row>
    <row r="245" ht="14.25" customHeight="1">
      <c r="C245" s="4"/>
    </row>
    <row r="246" ht="14.25" customHeight="1">
      <c r="C246" s="4"/>
    </row>
    <row r="247" ht="14.25" customHeight="1">
      <c r="C247" s="4"/>
    </row>
    <row r="248" ht="14.25" customHeight="1">
      <c r="C248" s="4"/>
    </row>
    <row r="249" ht="14.25" customHeight="1">
      <c r="C249" s="4"/>
    </row>
    <row r="250" ht="14.25" customHeight="1">
      <c r="C250" s="4"/>
    </row>
    <row r="251" ht="14.25" customHeight="1">
      <c r="C251" s="4"/>
    </row>
    <row r="252" ht="14.25" customHeight="1">
      <c r="C252" s="4"/>
    </row>
    <row r="253" ht="14.25" customHeight="1">
      <c r="C253" s="4"/>
    </row>
    <row r="254" ht="14.25" customHeight="1">
      <c r="C254" s="4"/>
    </row>
    <row r="255" ht="14.25" customHeight="1">
      <c r="C255" s="4"/>
    </row>
    <row r="256" ht="14.25" customHeight="1">
      <c r="C256" s="4"/>
    </row>
    <row r="257" ht="14.25" customHeight="1">
      <c r="C257" s="4"/>
    </row>
    <row r="258" ht="14.25" customHeight="1">
      <c r="C258" s="4"/>
    </row>
    <row r="259" ht="14.25" customHeight="1">
      <c r="C259" s="4"/>
    </row>
    <row r="260" ht="14.25" customHeight="1">
      <c r="C260" s="4"/>
    </row>
    <row r="261" ht="14.25" customHeight="1">
      <c r="C261" s="4"/>
    </row>
    <row r="262" ht="14.25" customHeight="1">
      <c r="C262" s="4"/>
    </row>
    <row r="263" ht="14.25" customHeight="1">
      <c r="C263" s="4"/>
    </row>
    <row r="264" ht="14.25" customHeight="1">
      <c r="C264" s="4"/>
    </row>
    <row r="265" ht="14.25" customHeight="1">
      <c r="C265" s="4"/>
    </row>
    <row r="266" ht="14.25" customHeight="1">
      <c r="C266" s="4"/>
    </row>
    <row r="267" ht="14.25" customHeight="1">
      <c r="C267" s="4"/>
    </row>
    <row r="268" ht="14.25" customHeight="1">
      <c r="C268" s="4"/>
    </row>
    <row r="269" ht="14.25" customHeight="1">
      <c r="C269" s="4"/>
    </row>
    <row r="270" ht="14.25" customHeight="1">
      <c r="C270" s="4"/>
    </row>
    <row r="271" ht="14.25" customHeight="1">
      <c r="C271" s="4"/>
    </row>
    <row r="272" ht="14.25" customHeight="1">
      <c r="C272" s="4"/>
    </row>
    <row r="273" ht="14.25" customHeight="1">
      <c r="C273" s="4"/>
    </row>
    <row r="274" ht="14.25" customHeight="1">
      <c r="C274" s="4"/>
    </row>
    <row r="275" ht="14.25" customHeight="1">
      <c r="C275" s="4"/>
    </row>
    <row r="276" ht="14.25" customHeight="1">
      <c r="C276" s="4"/>
    </row>
    <row r="277" ht="14.25" customHeight="1">
      <c r="C277" s="4"/>
    </row>
    <row r="278" ht="14.25" customHeight="1">
      <c r="C278" s="4"/>
    </row>
    <row r="279" ht="14.25" customHeight="1">
      <c r="C279" s="4"/>
    </row>
    <row r="280" ht="14.25" customHeight="1">
      <c r="C280" s="4"/>
    </row>
    <row r="281" ht="14.25" customHeight="1">
      <c r="C281" s="4"/>
    </row>
    <row r="282" ht="14.25" customHeight="1">
      <c r="C282" s="4"/>
    </row>
    <row r="283" ht="14.25" customHeight="1">
      <c r="C283" s="4"/>
    </row>
    <row r="284" ht="14.25" customHeight="1">
      <c r="C284" s="4"/>
    </row>
    <row r="285" ht="14.25" customHeight="1">
      <c r="C285" s="4"/>
    </row>
    <row r="286" ht="14.25" customHeight="1">
      <c r="C286" s="4"/>
    </row>
    <row r="287" ht="14.25" customHeight="1">
      <c r="C287" s="4"/>
    </row>
    <row r="288" ht="14.25" customHeight="1">
      <c r="C288" s="4"/>
    </row>
    <row r="289" ht="14.25" customHeight="1">
      <c r="C289" s="4"/>
    </row>
    <row r="290" ht="14.25" customHeight="1">
      <c r="C290" s="4"/>
    </row>
    <row r="291" ht="14.25" customHeight="1">
      <c r="C291" s="4"/>
    </row>
    <row r="292" ht="14.25" customHeight="1">
      <c r="C292" s="4"/>
    </row>
    <row r="293" ht="14.25" customHeight="1">
      <c r="C293" s="4"/>
    </row>
    <row r="294" ht="14.25" customHeight="1">
      <c r="C294" s="4"/>
    </row>
    <row r="295" ht="14.25" customHeight="1">
      <c r="C295" s="4"/>
    </row>
    <row r="296" ht="14.25" customHeight="1">
      <c r="C296" s="4"/>
    </row>
    <row r="297" ht="14.25" customHeight="1">
      <c r="C297" s="4"/>
    </row>
    <row r="298" ht="14.25" customHeight="1">
      <c r="C298" s="4"/>
    </row>
    <row r="299" ht="14.25" customHeight="1">
      <c r="C299" s="4"/>
    </row>
    <row r="300" ht="14.25" customHeight="1">
      <c r="C300" s="4"/>
    </row>
    <row r="301" ht="14.25" customHeight="1">
      <c r="C301" s="4"/>
    </row>
    <row r="302" ht="14.25" customHeight="1">
      <c r="C302" s="4"/>
    </row>
    <row r="303" ht="14.25" customHeight="1">
      <c r="C303" s="4"/>
    </row>
    <row r="304" ht="14.25" customHeight="1">
      <c r="C304" s="4"/>
    </row>
    <row r="305" ht="14.25" customHeight="1">
      <c r="C305" s="4"/>
    </row>
    <row r="306" ht="14.25" customHeight="1">
      <c r="C306" s="4"/>
    </row>
    <row r="307" ht="14.25" customHeight="1">
      <c r="C307" s="4"/>
    </row>
    <row r="308" ht="14.25" customHeight="1">
      <c r="C308" s="4"/>
    </row>
    <row r="309" ht="14.25" customHeight="1">
      <c r="C309" s="4"/>
    </row>
    <row r="310" ht="14.25" customHeight="1">
      <c r="C310" s="4"/>
    </row>
    <row r="311" ht="14.25" customHeight="1">
      <c r="C311" s="4"/>
    </row>
    <row r="312" ht="14.25" customHeight="1">
      <c r="C312" s="4"/>
    </row>
    <row r="313" ht="14.25" customHeight="1">
      <c r="C313" s="4"/>
    </row>
    <row r="314" ht="14.25" customHeight="1">
      <c r="C314" s="4"/>
    </row>
    <row r="315" ht="14.25" customHeight="1">
      <c r="C315" s="4"/>
    </row>
    <row r="316" ht="14.25" customHeight="1">
      <c r="C316" s="4"/>
    </row>
    <row r="317" ht="14.25" customHeight="1">
      <c r="C317" s="4"/>
    </row>
    <row r="318" ht="14.25" customHeight="1">
      <c r="C318" s="4"/>
    </row>
    <row r="319" ht="14.25" customHeight="1">
      <c r="C319" s="4"/>
    </row>
    <row r="320" ht="14.25" customHeight="1">
      <c r="C320" s="4"/>
    </row>
    <row r="321" ht="14.25" customHeight="1">
      <c r="C321" s="4"/>
    </row>
    <row r="322" ht="14.25" customHeight="1">
      <c r="C322" s="4"/>
    </row>
    <row r="323" ht="14.25" customHeight="1">
      <c r="C323" s="4"/>
    </row>
    <row r="324" ht="14.25" customHeight="1">
      <c r="C324" s="4"/>
    </row>
    <row r="325" ht="14.25" customHeight="1">
      <c r="C325" s="4"/>
    </row>
    <row r="326" ht="14.25" customHeight="1">
      <c r="C326" s="4"/>
    </row>
    <row r="327" ht="14.25" customHeight="1">
      <c r="C327" s="4"/>
    </row>
    <row r="328" ht="14.25" customHeight="1">
      <c r="C328" s="4"/>
    </row>
    <row r="329" ht="14.25" customHeight="1">
      <c r="C329" s="4"/>
    </row>
    <row r="330" ht="14.25" customHeight="1">
      <c r="C330" s="4"/>
    </row>
    <row r="331" ht="14.25" customHeight="1">
      <c r="C331" s="4"/>
    </row>
    <row r="332" ht="14.25" customHeight="1">
      <c r="C332" s="4"/>
    </row>
    <row r="333" ht="14.25" customHeight="1">
      <c r="C333" s="4"/>
    </row>
    <row r="334" ht="14.25" customHeight="1">
      <c r="C334" s="4"/>
    </row>
    <row r="335" ht="14.25" customHeight="1">
      <c r="C335" s="4"/>
    </row>
    <row r="336" ht="14.25" customHeight="1">
      <c r="C336" s="4"/>
    </row>
    <row r="337" ht="14.25" customHeight="1">
      <c r="C337" s="4"/>
    </row>
    <row r="338" ht="14.25" customHeight="1">
      <c r="C338" s="4"/>
    </row>
    <row r="339" ht="14.25" customHeight="1">
      <c r="C339" s="4"/>
    </row>
    <row r="340" ht="14.25" customHeight="1">
      <c r="C340" s="4"/>
    </row>
    <row r="341" ht="14.25" customHeight="1">
      <c r="C341" s="4"/>
    </row>
    <row r="342" ht="14.25" customHeight="1">
      <c r="C342" s="4"/>
    </row>
    <row r="343" ht="14.25" customHeight="1">
      <c r="C343" s="4"/>
    </row>
    <row r="344" ht="14.25" customHeight="1">
      <c r="C344" s="4"/>
    </row>
    <row r="345" ht="14.25" customHeight="1">
      <c r="C345" s="4"/>
    </row>
    <row r="346" ht="14.25" customHeight="1">
      <c r="C346" s="4"/>
    </row>
    <row r="347" ht="14.25" customHeight="1">
      <c r="C347" s="4"/>
    </row>
    <row r="348" ht="14.25" customHeight="1">
      <c r="C348" s="4"/>
    </row>
    <row r="349" ht="14.25" customHeight="1">
      <c r="C349" s="4"/>
    </row>
    <row r="350" ht="14.25" customHeight="1">
      <c r="C350" s="4"/>
    </row>
    <row r="351" ht="14.25" customHeight="1">
      <c r="C351" s="4"/>
    </row>
    <row r="352" ht="14.25" customHeight="1">
      <c r="C352" s="4"/>
    </row>
    <row r="353" ht="14.25" customHeight="1">
      <c r="C353" s="4"/>
    </row>
    <row r="354" ht="14.25" customHeight="1">
      <c r="C354" s="4"/>
    </row>
    <row r="355" ht="14.25" customHeight="1">
      <c r="C355" s="4"/>
    </row>
    <row r="356" ht="14.25" customHeight="1">
      <c r="C356" s="4"/>
    </row>
    <row r="357" ht="14.25" customHeight="1">
      <c r="C357" s="4"/>
    </row>
    <row r="358" ht="14.25" customHeight="1">
      <c r="C358" s="4"/>
    </row>
    <row r="359" ht="14.25" customHeight="1">
      <c r="C359" s="4"/>
    </row>
    <row r="360" ht="14.25" customHeight="1">
      <c r="C360" s="4"/>
    </row>
    <row r="361" ht="14.25" customHeight="1">
      <c r="C361" s="4"/>
    </row>
    <row r="362" ht="14.25" customHeight="1">
      <c r="C362" s="4"/>
    </row>
    <row r="363" ht="14.25" customHeight="1">
      <c r="C363" s="4"/>
    </row>
    <row r="364" ht="14.25" customHeight="1">
      <c r="C364" s="4"/>
    </row>
    <row r="365" ht="14.25" customHeight="1">
      <c r="C365" s="4"/>
    </row>
    <row r="366" ht="14.25" customHeight="1">
      <c r="C366" s="4"/>
    </row>
    <row r="367" ht="14.25" customHeight="1">
      <c r="C367" s="4"/>
    </row>
    <row r="368" ht="14.25" customHeight="1">
      <c r="C368" s="4"/>
    </row>
    <row r="369" ht="14.25" customHeight="1">
      <c r="C369" s="4"/>
    </row>
    <row r="370" ht="14.25" customHeight="1">
      <c r="C370" s="4"/>
    </row>
    <row r="371" ht="14.25" customHeight="1">
      <c r="C371" s="4"/>
    </row>
    <row r="372" ht="14.25" customHeight="1">
      <c r="C372" s="4"/>
    </row>
    <row r="373" ht="14.25" customHeight="1">
      <c r="C373" s="4"/>
    </row>
    <row r="374" ht="14.25" customHeight="1">
      <c r="C374" s="4"/>
    </row>
    <row r="375" ht="14.25" customHeight="1">
      <c r="C375" s="4"/>
    </row>
    <row r="376" ht="14.25" customHeight="1">
      <c r="C376" s="4"/>
    </row>
    <row r="377" ht="14.25" customHeight="1">
      <c r="C377" s="4"/>
    </row>
    <row r="378" ht="14.25" customHeight="1">
      <c r="C378" s="4"/>
    </row>
    <row r="379" ht="14.25" customHeight="1">
      <c r="C379" s="4"/>
    </row>
    <row r="380" ht="14.25" customHeight="1">
      <c r="C380" s="4"/>
    </row>
    <row r="381" ht="14.25" customHeight="1">
      <c r="C381" s="4"/>
    </row>
    <row r="382" ht="14.25" customHeight="1">
      <c r="C382" s="4"/>
    </row>
    <row r="383" ht="14.25" customHeight="1">
      <c r="C383" s="4"/>
    </row>
    <row r="384" ht="14.25" customHeight="1">
      <c r="C384" s="4"/>
    </row>
    <row r="385" ht="14.25" customHeight="1">
      <c r="C385" s="4"/>
    </row>
    <row r="386" ht="14.25" customHeight="1">
      <c r="C386" s="4"/>
    </row>
    <row r="387" ht="14.25" customHeight="1">
      <c r="C387" s="4"/>
    </row>
    <row r="388" ht="14.25" customHeight="1">
      <c r="C388" s="4"/>
    </row>
    <row r="389" ht="14.25" customHeight="1">
      <c r="C389" s="4"/>
    </row>
    <row r="390" ht="14.25" customHeight="1">
      <c r="C390" s="4"/>
    </row>
    <row r="391" ht="14.25" customHeight="1">
      <c r="C391" s="4"/>
    </row>
    <row r="392" ht="14.25" customHeight="1">
      <c r="C392" s="4"/>
    </row>
    <row r="393" ht="14.25" customHeight="1">
      <c r="C393" s="4"/>
    </row>
    <row r="394" ht="14.25" customHeight="1">
      <c r="C394" s="4"/>
    </row>
    <row r="395" ht="14.25" customHeight="1">
      <c r="C395" s="4"/>
    </row>
    <row r="396" ht="14.25" customHeight="1">
      <c r="C396" s="4"/>
    </row>
    <row r="397" ht="14.25" customHeight="1">
      <c r="C397" s="4"/>
    </row>
    <row r="398" ht="14.25" customHeight="1">
      <c r="C398" s="4"/>
    </row>
    <row r="399" ht="14.25" customHeight="1">
      <c r="C399" s="4"/>
    </row>
    <row r="400" ht="14.25" customHeight="1">
      <c r="C400" s="4"/>
    </row>
    <row r="401" ht="14.25" customHeight="1">
      <c r="C401" s="4"/>
    </row>
    <row r="402" ht="14.25" customHeight="1">
      <c r="C402" s="4"/>
    </row>
    <row r="403" ht="14.25" customHeight="1">
      <c r="C403" s="4"/>
    </row>
    <row r="404" ht="14.25" customHeight="1">
      <c r="C404" s="4"/>
    </row>
    <row r="405" ht="14.25" customHeight="1">
      <c r="C405" s="4"/>
    </row>
    <row r="406" ht="14.25" customHeight="1">
      <c r="C406" s="4"/>
    </row>
    <row r="407" ht="14.25" customHeight="1">
      <c r="C407" s="4"/>
    </row>
    <row r="408" ht="14.25" customHeight="1">
      <c r="C408" s="4"/>
    </row>
    <row r="409" ht="14.25" customHeight="1">
      <c r="C409" s="4"/>
    </row>
    <row r="410" ht="14.25" customHeight="1">
      <c r="C410" s="4"/>
    </row>
    <row r="411" ht="14.25" customHeight="1">
      <c r="C411" s="4"/>
    </row>
    <row r="412" ht="14.25" customHeight="1">
      <c r="C412" s="4"/>
    </row>
    <row r="413" ht="14.25" customHeight="1">
      <c r="C413" s="4"/>
    </row>
    <row r="414" ht="14.25" customHeight="1">
      <c r="C414" s="4"/>
    </row>
    <row r="415" ht="14.25" customHeight="1">
      <c r="C415" s="4"/>
    </row>
    <row r="416" ht="14.25" customHeight="1">
      <c r="C416" s="4"/>
    </row>
    <row r="417" ht="14.25" customHeight="1">
      <c r="C417" s="4"/>
    </row>
    <row r="418" ht="14.25" customHeight="1">
      <c r="C418" s="4"/>
    </row>
    <row r="419" ht="14.25" customHeight="1">
      <c r="C419" s="4"/>
    </row>
    <row r="420" ht="14.25" customHeight="1">
      <c r="C420" s="4"/>
    </row>
    <row r="421" ht="14.25" customHeight="1">
      <c r="C421" s="4"/>
    </row>
    <row r="422" ht="14.25" customHeight="1">
      <c r="C422" s="4"/>
    </row>
    <row r="423" ht="14.25" customHeight="1">
      <c r="C423" s="4"/>
    </row>
    <row r="424" ht="14.25" customHeight="1">
      <c r="C424" s="4"/>
    </row>
    <row r="425" ht="14.25" customHeight="1">
      <c r="C425" s="4"/>
    </row>
    <row r="426" ht="14.25" customHeight="1">
      <c r="C426" s="4"/>
    </row>
    <row r="427" ht="14.25" customHeight="1">
      <c r="C427" s="4"/>
    </row>
    <row r="428" ht="14.25" customHeight="1">
      <c r="C428" s="4"/>
    </row>
    <row r="429" ht="14.25" customHeight="1">
      <c r="C429" s="4"/>
    </row>
    <row r="430" ht="14.25" customHeight="1">
      <c r="C430" s="4"/>
    </row>
    <row r="431" ht="14.25" customHeight="1">
      <c r="C431" s="4"/>
    </row>
    <row r="432" ht="14.25" customHeight="1">
      <c r="C432" s="4"/>
    </row>
    <row r="433" ht="14.25" customHeight="1">
      <c r="C433" s="4"/>
    </row>
    <row r="434" ht="14.25" customHeight="1">
      <c r="C434" s="4"/>
    </row>
    <row r="435" ht="14.25" customHeight="1">
      <c r="C435" s="4"/>
    </row>
    <row r="436" ht="14.25" customHeight="1">
      <c r="C436" s="4"/>
    </row>
    <row r="437" ht="14.25" customHeight="1">
      <c r="C437" s="4"/>
    </row>
    <row r="438" ht="14.25" customHeight="1">
      <c r="C438" s="4"/>
    </row>
    <row r="439" ht="14.25" customHeight="1">
      <c r="C439" s="4"/>
    </row>
    <row r="440" ht="14.25" customHeight="1">
      <c r="C440" s="4"/>
    </row>
    <row r="441" ht="14.25" customHeight="1">
      <c r="C441" s="4"/>
    </row>
    <row r="442" ht="14.25" customHeight="1">
      <c r="C442" s="4"/>
    </row>
    <row r="443" ht="14.25" customHeight="1">
      <c r="C443" s="4"/>
    </row>
    <row r="444" ht="14.25" customHeight="1">
      <c r="C444" s="4"/>
    </row>
    <row r="445" ht="14.25" customHeight="1">
      <c r="C445" s="4"/>
    </row>
    <row r="446" ht="14.25" customHeight="1">
      <c r="C446" s="4"/>
    </row>
    <row r="447" ht="14.25" customHeight="1">
      <c r="C447" s="4"/>
    </row>
    <row r="448" ht="14.25" customHeight="1">
      <c r="C448" s="4"/>
    </row>
    <row r="449" ht="14.25" customHeight="1">
      <c r="C449" s="4"/>
    </row>
    <row r="450" ht="14.25" customHeight="1">
      <c r="C450" s="4"/>
    </row>
    <row r="451" ht="14.25" customHeight="1">
      <c r="C451" s="4"/>
    </row>
    <row r="452" ht="14.25" customHeight="1">
      <c r="C452" s="4"/>
    </row>
    <row r="453" ht="14.25" customHeight="1">
      <c r="C453" s="4"/>
    </row>
    <row r="454" ht="14.25" customHeight="1">
      <c r="C454" s="4"/>
    </row>
    <row r="455" ht="14.25" customHeight="1">
      <c r="C455" s="4"/>
    </row>
    <row r="456" ht="14.25" customHeight="1">
      <c r="C456" s="4"/>
    </row>
    <row r="457" ht="14.25" customHeight="1">
      <c r="C457" s="4"/>
    </row>
    <row r="458" ht="14.25" customHeight="1">
      <c r="C458" s="4"/>
    </row>
    <row r="459" ht="14.25" customHeight="1">
      <c r="C459" s="4"/>
    </row>
    <row r="460" ht="14.25" customHeight="1">
      <c r="C460" s="4"/>
    </row>
    <row r="461" ht="14.25" customHeight="1">
      <c r="C461" s="4"/>
    </row>
    <row r="462" ht="14.25" customHeight="1">
      <c r="C462" s="4"/>
    </row>
    <row r="463" ht="14.25" customHeight="1">
      <c r="C463" s="4"/>
    </row>
    <row r="464" ht="14.25" customHeight="1">
      <c r="C464" s="4"/>
    </row>
    <row r="465" ht="14.25" customHeight="1">
      <c r="C465" s="4"/>
    </row>
    <row r="466" ht="14.25" customHeight="1">
      <c r="C466" s="4"/>
    </row>
    <row r="467" ht="14.25" customHeight="1">
      <c r="C467" s="4"/>
    </row>
    <row r="468" ht="14.25" customHeight="1">
      <c r="C468" s="4"/>
    </row>
    <row r="469" ht="14.25" customHeight="1">
      <c r="C469" s="4"/>
    </row>
    <row r="470" ht="14.25" customHeight="1">
      <c r="C470" s="4"/>
    </row>
    <row r="471" ht="14.25" customHeight="1">
      <c r="C471" s="4"/>
    </row>
    <row r="472" ht="14.25" customHeight="1">
      <c r="C472" s="4"/>
    </row>
    <row r="473" ht="14.25" customHeight="1">
      <c r="C473" s="4"/>
    </row>
    <row r="474" ht="14.25" customHeight="1">
      <c r="C474" s="4"/>
    </row>
    <row r="475" ht="14.25" customHeight="1">
      <c r="C475" s="4"/>
    </row>
    <row r="476" ht="14.25" customHeight="1">
      <c r="C476" s="4"/>
    </row>
    <row r="477" ht="14.25" customHeight="1">
      <c r="C477" s="4"/>
    </row>
    <row r="478" ht="14.25" customHeight="1">
      <c r="C478" s="4"/>
    </row>
    <row r="479" ht="14.25" customHeight="1">
      <c r="C479" s="4"/>
    </row>
    <row r="480" ht="14.25" customHeight="1">
      <c r="C480" s="4"/>
    </row>
    <row r="481" ht="14.25" customHeight="1">
      <c r="C481" s="4"/>
    </row>
    <row r="482" ht="14.25" customHeight="1">
      <c r="C482" s="4"/>
    </row>
    <row r="483" ht="14.25" customHeight="1">
      <c r="C483" s="4"/>
    </row>
    <row r="484" ht="14.25" customHeight="1">
      <c r="C484" s="4"/>
    </row>
    <row r="485" ht="14.25" customHeight="1">
      <c r="C485" s="4"/>
    </row>
    <row r="486" ht="14.25" customHeight="1">
      <c r="C486" s="4"/>
    </row>
    <row r="487" ht="14.25" customHeight="1">
      <c r="C487" s="4"/>
    </row>
    <row r="488" ht="14.25" customHeight="1">
      <c r="C488" s="4"/>
    </row>
    <row r="489" ht="14.25" customHeight="1">
      <c r="C489" s="4"/>
    </row>
    <row r="490" ht="14.25" customHeight="1">
      <c r="C490" s="4"/>
    </row>
    <row r="491" ht="14.25" customHeight="1">
      <c r="C491" s="4"/>
    </row>
    <row r="492" ht="14.25" customHeight="1">
      <c r="C492" s="4"/>
    </row>
    <row r="493" ht="14.25" customHeight="1">
      <c r="C493" s="4"/>
    </row>
    <row r="494" ht="14.25" customHeight="1">
      <c r="C494" s="4"/>
    </row>
    <row r="495" ht="14.25" customHeight="1">
      <c r="C495" s="4"/>
    </row>
    <row r="496" ht="14.25" customHeight="1">
      <c r="C496" s="4"/>
    </row>
    <row r="497" ht="14.25" customHeight="1">
      <c r="C497" s="4"/>
    </row>
    <row r="498" ht="14.25" customHeight="1">
      <c r="C498" s="4"/>
    </row>
    <row r="499" ht="14.25" customHeight="1">
      <c r="C499" s="4"/>
    </row>
    <row r="500" ht="14.25" customHeight="1">
      <c r="C500" s="4"/>
    </row>
    <row r="501" ht="14.25" customHeight="1">
      <c r="C501" s="4"/>
    </row>
    <row r="502" ht="14.25" customHeight="1">
      <c r="C502" s="4"/>
    </row>
    <row r="503" ht="14.25" customHeight="1">
      <c r="C503" s="4"/>
    </row>
    <row r="504" ht="14.25" customHeight="1">
      <c r="C504" s="4"/>
    </row>
    <row r="505" ht="14.25" customHeight="1">
      <c r="C505" s="4"/>
    </row>
    <row r="506" ht="14.25" customHeight="1">
      <c r="C506" s="4"/>
    </row>
    <row r="507" ht="14.25" customHeight="1">
      <c r="C507" s="4"/>
    </row>
    <row r="508" ht="14.25" customHeight="1">
      <c r="C508" s="4"/>
    </row>
    <row r="509" ht="14.25" customHeight="1">
      <c r="C509" s="4"/>
    </row>
    <row r="510" ht="14.25" customHeight="1">
      <c r="C510" s="4"/>
    </row>
    <row r="511" ht="14.25" customHeight="1">
      <c r="C511" s="4"/>
    </row>
    <row r="512" ht="14.25" customHeight="1">
      <c r="C512" s="4"/>
    </row>
    <row r="513" ht="14.25" customHeight="1">
      <c r="C513" s="4"/>
    </row>
    <row r="514" ht="14.25" customHeight="1">
      <c r="C514" s="4"/>
    </row>
    <row r="515" ht="14.25" customHeight="1">
      <c r="C515" s="4"/>
    </row>
    <row r="516" ht="14.25" customHeight="1">
      <c r="C516" s="4"/>
    </row>
    <row r="517" ht="14.25" customHeight="1">
      <c r="C517" s="4"/>
    </row>
    <row r="518" ht="14.25" customHeight="1">
      <c r="C518" s="4"/>
    </row>
    <row r="519" ht="14.25" customHeight="1">
      <c r="C519" s="4"/>
    </row>
    <row r="520" ht="14.25" customHeight="1">
      <c r="C520" s="4"/>
    </row>
    <row r="521" ht="14.25" customHeight="1">
      <c r="C521" s="4"/>
    </row>
    <row r="522" ht="14.25" customHeight="1">
      <c r="C522" s="4"/>
    </row>
    <row r="523" ht="14.25" customHeight="1">
      <c r="C523" s="4"/>
    </row>
    <row r="524" ht="14.25" customHeight="1">
      <c r="C524" s="4"/>
    </row>
    <row r="525" ht="14.25" customHeight="1">
      <c r="C525" s="4"/>
    </row>
    <row r="526" ht="14.25" customHeight="1">
      <c r="C526" s="4"/>
    </row>
    <row r="527" ht="14.25" customHeight="1">
      <c r="C527" s="4"/>
    </row>
    <row r="528" ht="14.25" customHeight="1">
      <c r="C528" s="4"/>
    </row>
    <row r="529" ht="14.25" customHeight="1">
      <c r="C529" s="4"/>
    </row>
    <row r="530" ht="14.25" customHeight="1">
      <c r="C530" s="4"/>
    </row>
    <row r="531" ht="14.25" customHeight="1">
      <c r="C531" s="4"/>
    </row>
    <row r="532" ht="14.25" customHeight="1">
      <c r="C532" s="4"/>
    </row>
    <row r="533" ht="14.25" customHeight="1">
      <c r="C533" s="4"/>
    </row>
    <row r="534" ht="14.25" customHeight="1">
      <c r="C534" s="4"/>
    </row>
    <row r="535" ht="14.25" customHeight="1">
      <c r="C535" s="4"/>
    </row>
    <row r="536" ht="14.25" customHeight="1">
      <c r="C536" s="4"/>
    </row>
    <row r="537" ht="14.25" customHeight="1">
      <c r="C537" s="4"/>
    </row>
    <row r="538" ht="14.25" customHeight="1">
      <c r="C538" s="4"/>
    </row>
    <row r="539" ht="14.25" customHeight="1">
      <c r="C539" s="4"/>
    </row>
    <row r="540" ht="14.25" customHeight="1">
      <c r="C540" s="4"/>
    </row>
    <row r="541" ht="14.25" customHeight="1">
      <c r="C541" s="4"/>
    </row>
    <row r="542" ht="14.25" customHeight="1">
      <c r="C542" s="4"/>
    </row>
    <row r="543" ht="14.25" customHeight="1">
      <c r="C543" s="4"/>
    </row>
    <row r="544" ht="14.25" customHeight="1">
      <c r="C544" s="4"/>
    </row>
    <row r="545" ht="14.25" customHeight="1">
      <c r="C545" s="4"/>
    </row>
    <row r="546" ht="14.25" customHeight="1">
      <c r="C546" s="4"/>
    </row>
    <row r="547" ht="14.25" customHeight="1">
      <c r="C547" s="4"/>
    </row>
    <row r="548" ht="14.25" customHeight="1">
      <c r="C548" s="4"/>
    </row>
    <row r="549" ht="14.25" customHeight="1">
      <c r="C549" s="4"/>
    </row>
    <row r="550" ht="14.25" customHeight="1">
      <c r="C550" s="4"/>
    </row>
    <row r="551" ht="14.25" customHeight="1">
      <c r="C551" s="4"/>
    </row>
    <row r="552" ht="14.25" customHeight="1">
      <c r="C552" s="4"/>
    </row>
    <row r="553" ht="14.25" customHeight="1">
      <c r="C553" s="4"/>
    </row>
    <row r="554" ht="14.25" customHeight="1">
      <c r="C554" s="4"/>
    </row>
    <row r="555" ht="14.25" customHeight="1">
      <c r="C555" s="4"/>
    </row>
    <row r="556" ht="14.25" customHeight="1">
      <c r="C556" s="4"/>
    </row>
    <row r="557" ht="14.25" customHeight="1">
      <c r="C557" s="4"/>
    </row>
    <row r="558" ht="14.25" customHeight="1">
      <c r="C558" s="4"/>
    </row>
    <row r="559" ht="14.25" customHeight="1">
      <c r="C559" s="4"/>
    </row>
    <row r="560" ht="14.25" customHeight="1">
      <c r="C560" s="4"/>
    </row>
    <row r="561" ht="14.25" customHeight="1">
      <c r="C561" s="4"/>
    </row>
    <row r="562" ht="14.25" customHeight="1">
      <c r="C562" s="4"/>
    </row>
    <row r="563" ht="14.25" customHeight="1">
      <c r="C563" s="4"/>
    </row>
    <row r="564" ht="14.25" customHeight="1">
      <c r="C564" s="4"/>
    </row>
    <row r="565" ht="14.25" customHeight="1">
      <c r="C565" s="4"/>
    </row>
    <row r="566" ht="14.25" customHeight="1">
      <c r="C566" s="4"/>
    </row>
    <row r="567" ht="14.25" customHeight="1">
      <c r="C567" s="4"/>
    </row>
    <row r="568" ht="14.25" customHeight="1">
      <c r="C568" s="4"/>
    </row>
    <row r="569" ht="14.25" customHeight="1">
      <c r="C569" s="4"/>
    </row>
    <row r="570" ht="14.25" customHeight="1">
      <c r="C570" s="4"/>
    </row>
    <row r="571" ht="14.25" customHeight="1">
      <c r="C571" s="4"/>
    </row>
    <row r="572" ht="14.25" customHeight="1">
      <c r="C572" s="4"/>
    </row>
    <row r="573" ht="14.25" customHeight="1">
      <c r="C573" s="4"/>
    </row>
    <row r="574" ht="14.25" customHeight="1">
      <c r="C574" s="4"/>
    </row>
    <row r="575" ht="14.25" customHeight="1">
      <c r="C575" s="4"/>
    </row>
    <row r="576" ht="14.25" customHeight="1">
      <c r="C576" s="4"/>
    </row>
    <row r="577" ht="14.25" customHeight="1">
      <c r="C577" s="4"/>
    </row>
    <row r="578" ht="14.25" customHeight="1">
      <c r="C578" s="4"/>
    </row>
    <row r="579" ht="14.25" customHeight="1">
      <c r="C579" s="4"/>
    </row>
    <row r="580" ht="14.25" customHeight="1">
      <c r="C580" s="4"/>
    </row>
    <row r="581" ht="14.25" customHeight="1">
      <c r="C581" s="4"/>
    </row>
    <row r="582" ht="14.25" customHeight="1">
      <c r="C582" s="4"/>
    </row>
    <row r="583" ht="14.25" customHeight="1">
      <c r="C583" s="4"/>
    </row>
    <row r="584" ht="14.25" customHeight="1">
      <c r="C584" s="4"/>
    </row>
    <row r="585" ht="14.25" customHeight="1">
      <c r="C585" s="4"/>
    </row>
    <row r="586" ht="14.25" customHeight="1">
      <c r="C586" s="4"/>
    </row>
    <row r="587" ht="14.25" customHeight="1">
      <c r="C587" s="4"/>
    </row>
    <row r="588" ht="14.25" customHeight="1">
      <c r="C588" s="4"/>
    </row>
    <row r="589" ht="14.25" customHeight="1">
      <c r="C589" s="4"/>
    </row>
    <row r="590" ht="14.25" customHeight="1">
      <c r="C590" s="4"/>
    </row>
    <row r="591" ht="14.25" customHeight="1">
      <c r="C591" s="4"/>
    </row>
    <row r="592" ht="14.25" customHeight="1">
      <c r="C592" s="4"/>
    </row>
    <row r="593" ht="14.25" customHeight="1">
      <c r="C593" s="4"/>
    </row>
    <row r="594" ht="14.25" customHeight="1">
      <c r="C594" s="4"/>
    </row>
    <row r="595" ht="14.25" customHeight="1">
      <c r="C595" s="4"/>
    </row>
    <row r="596" ht="14.25" customHeight="1">
      <c r="C596" s="4"/>
    </row>
    <row r="597" ht="14.25" customHeight="1">
      <c r="C597" s="4"/>
    </row>
    <row r="598" ht="14.25" customHeight="1">
      <c r="C598" s="4"/>
    </row>
    <row r="599" ht="14.25" customHeight="1">
      <c r="C599" s="4"/>
    </row>
    <row r="600" ht="14.25" customHeight="1">
      <c r="C600" s="4"/>
    </row>
    <row r="601" ht="14.25" customHeight="1">
      <c r="C601" s="4"/>
    </row>
    <row r="602" ht="14.25" customHeight="1">
      <c r="C602" s="4"/>
    </row>
    <row r="603" ht="14.25" customHeight="1">
      <c r="C603" s="4"/>
    </row>
    <row r="604" ht="14.25" customHeight="1">
      <c r="C604" s="4"/>
    </row>
    <row r="605" ht="14.25" customHeight="1">
      <c r="C605" s="4"/>
    </row>
    <row r="606" ht="14.25" customHeight="1">
      <c r="C606" s="4"/>
    </row>
    <row r="607" ht="14.25" customHeight="1">
      <c r="C607" s="4"/>
    </row>
    <row r="608" ht="14.25" customHeight="1">
      <c r="C608" s="4"/>
    </row>
    <row r="609" ht="14.25" customHeight="1">
      <c r="C609" s="4"/>
    </row>
    <row r="610" ht="14.25" customHeight="1">
      <c r="C610" s="4"/>
    </row>
    <row r="611" ht="14.25" customHeight="1">
      <c r="C611" s="4"/>
    </row>
    <row r="612" ht="14.25" customHeight="1">
      <c r="C612" s="4"/>
    </row>
    <row r="613" ht="14.25" customHeight="1">
      <c r="C613" s="4"/>
    </row>
    <row r="614" ht="14.25" customHeight="1">
      <c r="C614" s="4"/>
    </row>
    <row r="615" ht="14.25" customHeight="1">
      <c r="C615" s="4"/>
    </row>
    <row r="616" ht="14.25" customHeight="1">
      <c r="C616" s="4"/>
    </row>
    <row r="617" ht="14.25" customHeight="1">
      <c r="C617" s="4"/>
    </row>
    <row r="618" ht="14.25" customHeight="1">
      <c r="C618" s="4"/>
    </row>
    <row r="619" ht="14.25" customHeight="1">
      <c r="C619" s="4"/>
    </row>
    <row r="620" ht="14.25" customHeight="1">
      <c r="C620" s="4"/>
    </row>
    <row r="621" ht="14.25" customHeight="1">
      <c r="C621" s="4"/>
    </row>
    <row r="622" ht="14.25" customHeight="1">
      <c r="C622" s="4"/>
    </row>
    <row r="623" ht="14.25" customHeight="1">
      <c r="C623" s="4"/>
    </row>
    <row r="624" ht="14.25" customHeight="1">
      <c r="C624" s="4"/>
    </row>
    <row r="625" ht="14.25" customHeight="1">
      <c r="C625" s="4"/>
    </row>
    <row r="626" ht="14.25" customHeight="1">
      <c r="C626" s="4"/>
    </row>
    <row r="627" ht="14.25" customHeight="1">
      <c r="C627" s="4"/>
    </row>
    <row r="628" ht="14.25" customHeight="1">
      <c r="C628" s="4"/>
    </row>
    <row r="629" ht="14.25" customHeight="1">
      <c r="C629" s="4"/>
    </row>
    <row r="630" ht="14.25" customHeight="1">
      <c r="C630" s="4"/>
    </row>
    <row r="631" ht="14.25" customHeight="1">
      <c r="C631" s="4"/>
    </row>
    <row r="632" ht="14.25" customHeight="1">
      <c r="C632" s="4"/>
    </row>
    <row r="633" ht="14.25" customHeight="1">
      <c r="C633" s="4"/>
    </row>
    <row r="634" ht="14.25" customHeight="1">
      <c r="C634" s="4"/>
    </row>
    <row r="635" ht="14.25" customHeight="1">
      <c r="C635" s="4"/>
    </row>
    <row r="636" ht="14.25" customHeight="1">
      <c r="C636" s="4"/>
    </row>
    <row r="637" ht="14.25" customHeight="1">
      <c r="C637" s="4"/>
    </row>
    <row r="638" ht="14.25" customHeight="1">
      <c r="C638" s="4"/>
    </row>
    <row r="639" ht="14.25" customHeight="1">
      <c r="C639" s="4"/>
    </row>
    <row r="640" ht="14.25" customHeight="1">
      <c r="C640" s="4"/>
    </row>
    <row r="641" ht="14.25" customHeight="1">
      <c r="C641" s="4"/>
    </row>
    <row r="642" ht="14.25" customHeight="1">
      <c r="C642" s="4"/>
    </row>
    <row r="643" ht="14.25" customHeight="1">
      <c r="C643" s="4"/>
    </row>
    <row r="644" ht="14.25" customHeight="1">
      <c r="C644" s="4"/>
    </row>
    <row r="645" ht="14.25" customHeight="1">
      <c r="C645" s="4"/>
    </row>
    <row r="646" ht="14.25" customHeight="1">
      <c r="C646" s="4"/>
    </row>
    <row r="647" ht="14.25" customHeight="1">
      <c r="C647" s="4"/>
    </row>
    <row r="648" ht="14.25" customHeight="1">
      <c r="C648" s="4"/>
    </row>
    <row r="649" ht="14.25" customHeight="1">
      <c r="C649" s="4"/>
    </row>
    <row r="650" ht="14.25" customHeight="1">
      <c r="C650" s="4"/>
    </row>
    <row r="651" ht="14.25" customHeight="1">
      <c r="C651" s="4"/>
    </row>
    <row r="652" ht="14.25" customHeight="1">
      <c r="C652" s="4"/>
    </row>
    <row r="653" ht="14.25" customHeight="1">
      <c r="C653" s="4"/>
    </row>
    <row r="654" ht="14.25" customHeight="1">
      <c r="C654" s="4"/>
    </row>
    <row r="655" ht="14.25" customHeight="1">
      <c r="C655" s="4"/>
    </row>
    <row r="656" ht="14.25" customHeight="1">
      <c r="C656" s="4"/>
    </row>
    <row r="657" ht="14.25" customHeight="1">
      <c r="C657" s="4"/>
    </row>
    <row r="658" ht="14.25" customHeight="1">
      <c r="C658" s="4"/>
    </row>
    <row r="659" ht="14.25" customHeight="1">
      <c r="C659" s="4"/>
    </row>
    <row r="660" ht="14.25" customHeight="1">
      <c r="C660" s="4"/>
    </row>
    <row r="661" ht="14.25" customHeight="1">
      <c r="C661" s="4"/>
    </row>
    <row r="662" ht="14.25" customHeight="1">
      <c r="C662" s="4"/>
    </row>
    <row r="663" ht="14.25" customHeight="1">
      <c r="C663" s="4"/>
    </row>
    <row r="664" ht="14.25" customHeight="1">
      <c r="C664" s="4"/>
    </row>
    <row r="665" ht="14.25" customHeight="1">
      <c r="C665" s="4"/>
    </row>
    <row r="666" ht="14.25" customHeight="1">
      <c r="C666" s="4"/>
    </row>
    <row r="667" ht="14.25" customHeight="1">
      <c r="C667" s="4"/>
    </row>
    <row r="668" ht="14.25" customHeight="1">
      <c r="C668" s="4"/>
    </row>
    <row r="669" ht="14.25" customHeight="1">
      <c r="C669" s="4"/>
    </row>
    <row r="670" ht="14.25" customHeight="1">
      <c r="C670" s="4"/>
    </row>
    <row r="671" ht="14.25" customHeight="1">
      <c r="C671" s="4"/>
    </row>
    <row r="672" ht="14.25" customHeight="1">
      <c r="C672" s="4"/>
    </row>
    <row r="673" ht="14.25" customHeight="1">
      <c r="C673" s="4"/>
    </row>
    <row r="674" ht="14.25" customHeight="1">
      <c r="C674" s="4"/>
    </row>
    <row r="675" ht="14.25" customHeight="1">
      <c r="C675" s="4"/>
    </row>
    <row r="676" ht="14.25" customHeight="1">
      <c r="C676" s="4"/>
    </row>
    <row r="677" ht="14.25" customHeight="1">
      <c r="C677" s="4"/>
    </row>
    <row r="678" ht="14.25" customHeight="1">
      <c r="C678" s="4"/>
    </row>
    <row r="679" ht="14.25" customHeight="1">
      <c r="C679" s="4"/>
    </row>
    <row r="680" ht="14.25" customHeight="1">
      <c r="C680" s="4"/>
    </row>
    <row r="681" ht="14.25" customHeight="1">
      <c r="C681" s="4"/>
    </row>
    <row r="682" ht="14.25" customHeight="1">
      <c r="C682" s="4"/>
    </row>
    <row r="683" ht="14.25" customHeight="1">
      <c r="C683" s="4"/>
    </row>
    <row r="684" ht="14.25" customHeight="1">
      <c r="C684" s="4"/>
    </row>
    <row r="685" ht="14.25" customHeight="1">
      <c r="C685" s="4"/>
    </row>
    <row r="686" ht="14.25" customHeight="1">
      <c r="C686" s="4"/>
    </row>
    <row r="687" ht="14.25" customHeight="1">
      <c r="C687" s="4"/>
    </row>
    <row r="688" ht="14.25" customHeight="1">
      <c r="C688" s="4"/>
    </row>
    <row r="689" ht="14.25" customHeight="1">
      <c r="C689" s="4"/>
    </row>
    <row r="690" ht="14.25" customHeight="1">
      <c r="C690" s="4"/>
    </row>
    <row r="691" ht="14.25" customHeight="1">
      <c r="C691" s="4"/>
    </row>
    <row r="692" ht="14.25" customHeight="1">
      <c r="C692" s="4"/>
    </row>
    <row r="693" ht="14.25" customHeight="1">
      <c r="C693" s="4"/>
    </row>
    <row r="694" ht="14.25" customHeight="1">
      <c r="C694" s="4"/>
    </row>
    <row r="695" ht="14.25" customHeight="1">
      <c r="C695" s="4"/>
    </row>
    <row r="696" ht="14.25" customHeight="1">
      <c r="C696" s="4"/>
    </row>
    <row r="697" ht="14.25" customHeight="1">
      <c r="C697" s="4"/>
    </row>
    <row r="698" ht="14.25" customHeight="1">
      <c r="C698" s="4"/>
    </row>
    <row r="699" ht="14.25" customHeight="1">
      <c r="C699" s="4"/>
    </row>
    <row r="700" ht="14.25" customHeight="1">
      <c r="C700" s="4"/>
    </row>
    <row r="701" ht="14.25" customHeight="1">
      <c r="C701" s="4"/>
    </row>
    <row r="702" ht="14.25" customHeight="1">
      <c r="C702" s="4"/>
    </row>
    <row r="703" ht="14.25" customHeight="1">
      <c r="C703" s="4"/>
    </row>
    <row r="704" ht="14.25" customHeight="1">
      <c r="C704" s="4"/>
    </row>
    <row r="705" ht="14.25" customHeight="1">
      <c r="C705" s="4"/>
    </row>
    <row r="706" ht="14.25" customHeight="1">
      <c r="C706" s="4"/>
    </row>
    <row r="707" ht="14.25" customHeight="1">
      <c r="C707" s="4"/>
    </row>
    <row r="708" ht="14.25" customHeight="1">
      <c r="C708" s="4"/>
    </row>
    <row r="709" ht="14.25" customHeight="1">
      <c r="C709" s="4"/>
    </row>
    <row r="710" ht="14.25" customHeight="1">
      <c r="C710" s="4"/>
    </row>
    <row r="711" ht="14.25" customHeight="1">
      <c r="C711" s="4"/>
    </row>
    <row r="712" ht="14.25" customHeight="1">
      <c r="C712" s="4"/>
    </row>
    <row r="713" ht="14.25" customHeight="1">
      <c r="C713" s="4"/>
    </row>
    <row r="714" ht="14.25" customHeight="1">
      <c r="C714" s="4"/>
    </row>
    <row r="715" ht="14.25" customHeight="1">
      <c r="C715" s="4"/>
    </row>
    <row r="716" ht="14.25" customHeight="1">
      <c r="C716" s="4"/>
    </row>
    <row r="717" ht="14.25" customHeight="1">
      <c r="C717" s="4"/>
    </row>
    <row r="718" ht="14.25" customHeight="1">
      <c r="C718" s="4"/>
    </row>
    <row r="719" ht="14.25" customHeight="1">
      <c r="C719" s="4"/>
    </row>
    <row r="720" ht="14.25" customHeight="1">
      <c r="C720" s="4"/>
    </row>
    <row r="721" ht="14.25" customHeight="1">
      <c r="C721" s="4"/>
    </row>
    <row r="722" ht="14.25" customHeight="1">
      <c r="C722" s="4"/>
    </row>
    <row r="723" ht="14.25" customHeight="1">
      <c r="C723" s="4"/>
    </row>
    <row r="724" ht="14.25" customHeight="1">
      <c r="C724" s="4"/>
    </row>
    <row r="725" ht="14.25" customHeight="1">
      <c r="C725" s="4"/>
    </row>
    <row r="726" ht="14.25" customHeight="1">
      <c r="C726" s="4"/>
    </row>
    <row r="727" ht="14.25" customHeight="1">
      <c r="C727" s="4"/>
    </row>
    <row r="728" ht="14.25" customHeight="1">
      <c r="C728" s="4"/>
    </row>
    <row r="729" ht="14.25" customHeight="1">
      <c r="C729" s="4"/>
    </row>
    <row r="730" ht="14.25" customHeight="1">
      <c r="C730" s="4"/>
    </row>
    <row r="731" ht="14.25" customHeight="1">
      <c r="C731" s="4"/>
    </row>
    <row r="732" ht="14.25" customHeight="1">
      <c r="C732" s="4"/>
    </row>
    <row r="733" ht="14.25" customHeight="1">
      <c r="C733" s="4"/>
    </row>
    <row r="734" ht="14.25" customHeight="1">
      <c r="C734" s="4"/>
    </row>
    <row r="735" ht="14.25" customHeight="1">
      <c r="C735" s="4"/>
    </row>
    <row r="736" ht="14.25" customHeight="1">
      <c r="C736" s="4"/>
    </row>
    <row r="737" ht="14.25" customHeight="1">
      <c r="C737" s="4"/>
    </row>
    <row r="738" ht="14.25" customHeight="1">
      <c r="C738" s="4"/>
    </row>
    <row r="739" ht="14.25" customHeight="1">
      <c r="C739" s="4"/>
    </row>
    <row r="740" ht="14.25" customHeight="1">
      <c r="C740" s="4"/>
    </row>
    <row r="741" ht="14.25" customHeight="1">
      <c r="C741" s="4"/>
    </row>
    <row r="742" ht="14.25" customHeight="1">
      <c r="C742" s="4"/>
    </row>
    <row r="743" ht="14.25" customHeight="1">
      <c r="C743" s="4"/>
    </row>
    <row r="744" ht="14.25" customHeight="1">
      <c r="C744" s="4"/>
    </row>
    <row r="745" ht="14.25" customHeight="1">
      <c r="C745" s="4"/>
    </row>
    <row r="746" ht="14.25" customHeight="1">
      <c r="C746" s="4"/>
    </row>
    <row r="747" ht="14.25" customHeight="1">
      <c r="C747" s="4"/>
    </row>
    <row r="748" ht="14.25" customHeight="1">
      <c r="C748" s="4"/>
    </row>
    <row r="749" ht="14.25" customHeight="1">
      <c r="C749" s="4"/>
    </row>
    <row r="750" ht="14.25" customHeight="1">
      <c r="C750" s="4"/>
    </row>
    <row r="751" ht="14.25" customHeight="1">
      <c r="C751" s="4"/>
    </row>
    <row r="752" ht="14.25" customHeight="1">
      <c r="C752" s="4"/>
    </row>
    <row r="753" ht="14.25" customHeight="1">
      <c r="C753" s="4"/>
    </row>
    <row r="754" ht="14.25" customHeight="1">
      <c r="C754" s="4"/>
    </row>
    <row r="755" ht="14.25" customHeight="1">
      <c r="C755" s="4"/>
    </row>
    <row r="756" ht="14.25" customHeight="1">
      <c r="C756" s="4"/>
    </row>
    <row r="757" ht="14.25" customHeight="1">
      <c r="C757" s="4"/>
    </row>
    <row r="758" ht="14.25" customHeight="1">
      <c r="C758" s="4"/>
    </row>
    <row r="759" ht="14.25" customHeight="1">
      <c r="C759" s="4"/>
    </row>
    <row r="760" ht="14.25" customHeight="1">
      <c r="C760" s="4"/>
    </row>
    <row r="761" ht="14.25" customHeight="1">
      <c r="C761" s="4"/>
    </row>
    <row r="762" ht="14.25" customHeight="1">
      <c r="C762" s="4"/>
    </row>
    <row r="763" ht="14.25" customHeight="1">
      <c r="C763" s="4"/>
    </row>
    <row r="764" ht="14.25" customHeight="1">
      <c r="C764" s="4"/>
    </row>
    <row r="765" ht="14.25" customHeight="1">
      <c r="C765" s="4"/>
    </row>
    <row r="766" ht="14.25" customHeight="1">
      <c r="C766" s="4"/>
    </row>
    <row r="767" ht="14.25" customHeight="1">
      <c r="C767" s="4"/>
    </row>
    <row r="768" ht="14.25" customHeight="1">
      <c r="C768" s="4"/>
    </row>
    <row r="769" ht="14.25" customHeight="1">
      <c r="C769" s="4"/>
    </row>
    <row r="770" ht="14.25" customHeight="1">
      <c r="C770" s="4"/>
    </row>
    <row r="771" ht="14.25" customHeight="1">
      <c r="C771" s="4"/>
    </row>
    <row r="772" ht="14.25" customHeight="1">
      <c r="C772" s="4"/>
    </row>
    <row r="773" ht="14.25" customHeight="1">
      <c r="C773" s="4"/>
    </row>
    <row r="774" ht="14.25" customHeight="1">
      <c r="C774" s="4"/>
    </row>
    <row r="775" ht="14.25" customHeight="1">
      <c r="C775" s="4"/>
    </row>
    <row r="776" ht="14.25" customHeight="1">
      <c r="C776" s="4"/>
    </row>
    <row r="777" ht="14.25" customHeight="1">
      <c r="C777" s="4"/>
    </row>
    <row r="778" ht="14.25" customHeight="1">
      <c r="C778" s="4"/>
    </row>
    <row r="779" ht="14.25" customHeight="1">
      <c r="C779" s="4"/>
    </row>
    <row r="780" ht="14.25" customHeight="1">
      <c r="C780" s="4"/>
    </row>
    <row r="781" ht="14.25" customHeight="1">
      <c r="C781" s="4"/>
    </row>
    <row r="782" ht="14.25" customHeight="1">
      <c r="C782" s="4"/>
    </row>
    <row r="783" ht="14.25" customHeight="1">
      <c r="C783" s="4"/>
    </row>
    <row r="784" ht="14.25" customHeight="1">
      <c r="C784" s="4"/>
    </row>
    <row r="785" ht="14.25" customHeight="1">
      <c r="C785" s="4"/>
    </row>
    <row r="786" ht="14.25" customHeight="1">
      <c r="C786" s="4"/>
    </row>
    <row r="787" ht="14.25" customHeight="1">
      <c r="C787" s="4"/>
    </row>
    <row r="788" ht="14.25" customHeight="1">
      <c r="C788" s="4"/>
    </row>
    <row r="789" ht="14.25" customHeight="1">
      <c r="C789" s="4"/>
    </row>
    <row r="790" ht="14.25" customHeight="1">
      <c r="C790" s="4"/>
    </row>
    <row r="791" ht="14.25" customHeight="1">
      <c r="C791" s="4"/>
    </row>
    <row r="792" ht="14.25" customHeight="1">
      <c r="C792" s="4"/>
    </row>
    <row r="793" ht="14.25" customHeight="1">
      <c r="C793" s="4"/>
    </row>
    <row r="794" ht="14.25" customHeight="1">
      <c r="C794" s="4"/>
    </row>
    <row r="795" ht="14.25" customHeight="1">
      <c r="C795" s="4"/>
    </row>
    <row r="796" ht="14.25" customHeight="1">
      <c r="C796" s="4"/>
    </row>
    <row r="797" ht="14.25" customHeight="1">
      <c r="C797" s="4"/>
    </row>
    <row r="798" ht="14.25" customHeight="1">
      <c r="C798" s="4"/>
    </row>
    <row r="799" ht="14.25" customHeight="1">
      <c r="C799" s="4"/>
    </row>
    <row r="800" ht="14.25" customHeight="1">
      <c r="C800" s="4"/>
    </row>
    <row r="801" ht="14.25" customHeight="1">
      <c r="C801" s="4"/>
    </row>
    <row r="802" ht="14.25" customHeight="1">
      <c r="C802" s="4"/>
    </row>
    <row r="803" ht="14.25" customHeight="1">
      <c r="C803" s="4"/>
    </row>
    <row r="804" ht="14.25" customHeight="1">
      <c r="C804" s="4"/>
    </row>
    <row r="805" ht="14.25" customHeight="1">
      <c r="C805" s="4"/>
    </row>
    <row r="806" ht="14.25" customHeight="1">
      <c r="C806" s="4"/>
    </row>
    <row r="807" ht="14.25" customHeight="1">
      <c r="C807" s="4"/>
    </row>
    <row r="808" ht="14.25" customHeight="1">
      <c r="C808" s="4"/>
    </row>
    <row r="809" ht="14.25" customHeight="1">
      <c r="C809" s="4"/>
    </row>
    <row r="810" ht="14.25" customHeight="1">
      <c r="C810" s="4"/>
    </row>
    <row r="811" ht="14.25" customHeight="1">
      <c r="C811" s="4"/>
    </row>
    <row r="812" ht="14.25" customHeight="1">
      <c r="C812" s="4"/>
    </row>
    <row r="813" ht="14.25" customHeight="1">
      <c r="C813" s="4"/>
    </row>
    <row r="814" ht="14.25" customHeight="1">
      <c r="C814" s="4"/>
    </row>
    <row r="815" ht="14.25" customHeight="1">
      <c r="C815" s="4"/>
    </row>
    <row r="816" ht="14.25" customHeight="1">
      <c r="C816" s="4"/>
    </row>
    <row r="817" ht="14.25" customHeight="1">
      <c r="C817" s="4"/>
    </row>
    <row r="818" ht="14.25" customHeight="1">
      <c r="C818" s="4"/>
    </row>
    <row r="819" ht="14.25" customHeight="1">
      <c r="C819" s="4"/>
    </row>
    <row r="820" ht="14.25" customHeight="1">
      <c r="C820" s="4"/>
    </row>
    <row r="821" ht="14.25" customHeight="1">
      <c r="C821" s="4"/>
    </row>
    <row r="822" ht="14.25" customHeight="1">
      <c r="C822" s="4"/>
    </row>
    <row r="823" ht="14.25" customHeight="1">
      <c r="C823" s="4"/>
    </row>
    <row r="824" ht="14.25" customHeight="1">
      <c r="C824" s="4"/>
    </row>
    <row r="825" ht="14.25" customHeight="1">
      <c r="C825" s="4"/>
    </row>
    <row r="826" ht="14.25" customHeight="1">
      <c r="C826" s="4"/>
    </row>
    <row r="827" ht="14.25" customHeight="1">
      <c r="C827" s="4"/>
    </row>
    <row r="828" ht="14.25" customHeight="1">
      <c r="C828" s="4"/>
    </row>
    <row r="829" ht="14.25" customHeight="1">
      <c r="C829" s="4"/>
    </row>
    <row r="830" ht="14.25" customHeight="1">
      <c r="C830" s="4"/>
    </row>
    <row r="831" ht="14.25" customHeight="1">
      <c r="C831" s="4"/>
    </row>
    <row r="832" ht="14.25" customHeight="1">
      <c r="C832" s="4"/>
    </row>
    <row r="833" ht="14.25" customHeight="1">
      <c r="C833" s="4"/>
    </row>
    <row r="834" ht="14.25" customHeight="1">
      <c r="C834" s="4"/>
    </row>
    <row r="835" ht="14.25" customHeight="1">
      <c r="C835" s="4"/>
    </row>
    <row r="836" ht="14.25" customHeight="1">
      <c r="C836" s="4"/>
    </row>
    <row r="837" ht="14.25" customHeight="1">
      <c r="C837" s="4"/>
    </row>
    <row r="838" ht="14.25" customHeight="1">
      <c r="C838" s="4"/>
    </row>
    <row r="839" ht="14.25" customHeight="1">
      <c r="C839" s="4"/>
    </row>
    <row r="840" ht="14.25" customHeight="1">
      <c r="C840" s="4"/>
    </row>
    <row r="841" ht="14.25" customHeight="1">
      <c r="C841" s="4"/>
    </row>
    <row r="842" ht="14.25" customHeight="1">
      <c r="C842" s="4"/>
    </row>
    <row r="843" ht="14.25" customHeight="1">
      <c r="C843" s="4"/>
    </row>
    <row r="844" ht="14.25" customHeight="1">
      <c r="C844" s="4"/>
    </row>
    <row r="845" ht="14.25" customHeight="1">
      <c r="C845" s="4"/>
    </row>
    <row r="846" ht="14.25" customHeight="1">
      <c r="C846" s="4"/>
    </row>
    <row r="847" ht="14.25" customHeight="1">
      <c r="C847" s="4"/>
    </row>
    <row r="848" ht="14.25" customHeight="1">
      <c r="C848" s="4"/>
    </row>
    <row r="849" ht="14.25" customHeight="1">
      <c r="C849" s="4"/>
    </row>
    <row r="850" ht="14.25" customHeight="1">
      <c r="C850" s="4"/>
    </row>
    <row r="851" ht="14.25" customHeight="1">
      <c r="C851" s="4"/>
    </row>
    <row r="852" ht="14.25" customHeight="1">
      <c r="C852" s="4"/>
    </row>
    <row r="853" ht="14.25" customHeight="1">
      <c r="C853" s="4"/>
    </row>
    <row r="854" ht="14.25" customHeight="1">
      <c r="C854" s="4"/>
    </row>
    <row r="855" ht="14.25" customHeight="1">
      <c r="C855" s="4"/>
    </row>
    <row r="856" ht="14.25" customHeight="1">
      <c r="C856" s="4"/>
    </row>
    <row r="857" ht="14.25" customHeight="1">
      <c r="C857" s="4"/>
    </row>
    <row r="858" ht="14.25" customHeight="1">
      <c r="C858" s="4"/>
    </row>
    <row r="859" ht="14.25" customHeight="1">
      <c r="C859" s="4"/>
    </row>
    <row r="860" ht="14.25" customHeight="1">
      <c r="C860" s="4"/>
    </row>
    <row r="861" ht="14.25" customHeight="1">
      <c r="C861" s="4"/>
    </row>
    <row r="862" ht="14.25" customHeight="1">
      <c r="C862" s="4"/>
    </row>
    <row r="863" ht="14.25" customHeight="1">
      <c r="C863" s="4"/>
    </row>
    <row r="864" ht="14.25" customHeight="1">
      <c r="C864" s="4"/>
    </row>
    <row r="865" ht="14.25" customHeight="1">
      <c r="C865" s="4"/>
    </row>
    <row r="866" ht="14.25" customHeight="1">
      <c r="C866" s="4"/>
    </row>
    <row r="867" ht="14.25" customHeight="1">
      <c r="C867" s="4"/>
    </row>
    <row r="868" ht="14.25" customHeight="1">
      <c r="C868" s="4"/>
    </row>
    <row r="869" ht="14.25" customHeight="1">
      <c r="C869" s="4"/>
    </row>
    <row r="870" ht="14.25" customHeight="1">
      <c r="C870" s="4"/>
    </row>
    <row r="871" ht="14.25" customHeight="1">
      <c r="C871" s="4"/>
    </row>
    <row r="872" ht="14.25" customHeight="1">
      <c r="C872" s="4"/>
    </row>
    <row r="873" ht="14.25" customHeight="1">
      <c r="C873" s="4"/>
    </row>
    <row r="874" ht="14.25" customHeight="1">
      <c r="C874" s="4"/>
    </row>
    <row r="875" ht="14.25" customHeight="1">
      <c r="C875" s="4"/>
    </row>
    <row r="876" ht="14.25" customHeight="1">
      <c r="C876" s="4"/>
    </row>
    <row r="877" ht="14.25" customHeight="1">
      <c r="C877" s="4"/>
    </row>
    <row r="878" ht="14.25" customHeight="1">
      <c r="C878" s="4"/>
    </row>
    <row r="879" ht="14.25" customHeight="1">
      <c r="C879" s="4"/>
    </row>
    <row r="880" ht="14.25" customHeight="1">
      <c r="C880" s="4"/>
    </row>
    <row r="881" ht="14.25" customHeight="1">
      <c r="C881" s="4"/>
    </row>
    <row r="882" ht="14.25" customHeight="1">
      <c r="C882" s="4"/>
    </row>
    <row r="883" ht="14.25" customHeight="1">
      <c r="C883" s="4"/>
    </row>
    <row r="884" ht="14.25" customHeight="1">
      <c r="C884" s="4"/>
    </row>
    <row r="885" ht="14.25" customHeight="1">
      <c r="C885" s="4"/>
    </row>
    <row r="886" ht="14.25" customHeight="1">
      <c r="C886" s="4"/>
    </row>
    <row r="887" ht="14.25" customHeight="1">
      <c r="C887" s="4"/>
    </row>
    <row r="888" ht="14.25" customHeight="1">
      <c r="C888" s="4"/>
    </row>
    <row r="889" ht="14.25" customHeight="1">
      <c r="C889" s="4"/>
    </row>
    <row r="890" ht="14.25" customHeight="1">
      <c r="C890" s="4"/>
    </row>
    <row r="891" ht="14.25" customHeight="1">
      <c r="C891" s="4"/>
    </row>
    <row r="892" ht="14.25" customHeight="1">
      <c r="C892" s="4"/>
    </row>
    <row r="893" ht="14.25" customHeight="1">
      <c r="C893" s="4"/>
    </row>
    <row r="894" ht="14.25" customHeight="1">
      <c r="C894" s="4"/>
    </row>
    <row r="895" ht="14.25" customHeight="1">
      <c r="C895" s="4"/>
    </row>
    <row r="896" ht="14.25" customHeight="1">
      <c r="C896" s="4"/>
    </row>
    <row r="897" ht="14.25" customHeight="1">
      <c r="C897" s="4"/>
    </row>
    <row r="898" ht="14.25" customHeight="1">
      <c r="C898" s="4"/>
    </row>
    <row r="899" ht="14.25" customHeight="1">
      <c r="C899" s="4"/>
    </row>
    <row r="900" ht="14.25" customHeight="1">
      <c r="C900" s="4"/>
    </row>
    <row r="901" ht="14.25" customHeight="1">
      <c r="C901" s="4"/>
    </row>
    <row r="902" ht="14.25" customHeight="1">
      <c r="C902" s="4"/>
    </row>
    <row r="903" ht="14.25" customHeight="1">
      <c r="C903" s="4"/>
    </row>
    <row r="904" ht="14.25" customHeight="1">
      <c r="C904" s="4"/>
    </row>
    <row r="905" ht="14.25" customHeight="1">
      <c r="C905" s="4"/>
    </row>
    <row r="906" ht="14.25" customHeight="1">
      <c r="C906" s="4"/>
    </row>
    <row r="907" ht="14.25" customHeight="1">
      <c r="C907" s="4"/>
    </row>
    <row r="908" ht="14.25" customHeight="1">
      <c r="C908" s="4"/>
    </row>
    <row r="909" ht="14.25" customHeight="1">
      <c r="C909" s="4"/>
    </row>
    <row r="910" ht="14.25" customHeight="1">
      <c r="C910" s="4"/>
    </row>
    <row r="911" ht="14.25" customHeight="1">
      <c r="C911" s="4"/>
    </row>
    <row r="912" ht="14.25" customHeight="1">
      <c r="C912" s="4"/>
    </row>
    <row r="913" ht="14.25" customHeight="1">
      <c r="C913" s="4"/>
    </row>
    <row r="914" ht="14.25" customHeight="1">
      <c r="C914" s="4"/>
    </row>
    <row r="915" ht="14.25" customHeight="1">
      <c r="C915" s="4"/>
    </row>
    <row r="916" ht="14.25" customHeight="1">
      <c r="C916" s="4"/>
    </row>
    <row r="917" ht="14.25" customHeight="1">
      <c r="C917" s="4"/>
    </row>
    <row r="918" ht="14.25" customHeight="1">
      <c r="C918" s="4"/>
    </row>
    <row r="919" ht="14.25" customHeight="1">
      <c r="C919" s="4"/>
    </row>
    <row r="920" ht="14.25" customHeight="1">
      <c r="C920" s="4"/>
    </row>
    <row r="921" ht="14.25" customHeight="1">
      <c r="C921" s="4"/>
    </row>
    <row r="922" ht="14.25" customHeight="1">
      <c r="C922" s="4"/>
    </row>
    <row r="923" ht="14.25" customHeight="1">
      <c r="C923" s="4"/>
    </row>
    <row r="924" ht="14.25" customHeight="1">
      <c r="C924" s="4"/>
    </row>
    <row r="925" ht="14.25" customHeight="1">
      <c r="C925" s="4"/>
    </row>
    <row r="926" ht="14.25" customHeight="1">
      <c r="C926" s="4"/>
    </row>
    <row r="927" ht="14.25" customHeight="1">
      <c r="C927" s="4"/>
    </row>
    <row r="928" ht="14.25" customHeight="1">
      <c r="C928" s="4"/>
    </row>
    <row r="929" ht="14.25" customHeight="1">
      <c r="C929" s="4"/>
    </row>
    <row r="930" ht="14.25" customHeight="1">
      <c r="C930" s="4"/>
    </row>
    <row r="931" ht="14.25" customHeight="1">
      <c r="C931" s="4"/>
    </row>
    <row r="932" ht="14.25" customHeight="1">
      <c r="C932" s="4"/>
    </row>
    <row r="933" ht="14.25" customHeight="1">
      <c r="C933" s="4"/>
    </row>
    <row r="934" ht="14.25" customHeight="1">
      <c r="C934" s="4"/>
    </row>
    <row r="935" ht="14.25" customHeight="1">
      <c r="C935" s="4"/>
    </row>
    <row r="936" ht="14.25" customHeight="1">
      <c r="C936" s="4"/>
    </row>
    <row r="937" ht="14.25" customHeight="1">
      <c r="C937" s="4"/>
    </row>
    <row r="938" ht="14.25" customHeight="1">
      <c r="C938" s="4"/>
    </row>
    <row r="939" ht="14.25" customHeight="1">
      <c r="C939" s="4"/>
    </row>
    <row r="940" ht="14.25" customHeight="1">
      <c r="C940" s="4"/>
    </row>
    <row r="941" ht="14.25" customHeight="1">
      <c r="C941" s="4"/>
    </row>
    <row r="942" ht="14.25" customHeight="1">
      <c r="C942" s="4"/>
    </row>
    <row r="943" ht="14.25" customHeight="1">
      <c r="C943" s="4"/>
    </row>
    <row r="944" ht="14.25" customHeight="1">
      <c r="C944" s="4"/>
    </row>
    <row r="945" ht="14.25" customHeight="1">
      <c r="C945" s="4"/>
    </row>
    <row r="946" ht="14.25" customHeight="1">
      <c r="C946" s="4"/>
    </row>
    <row r="947" ht="14.25" customHeight="1">
      <c r="C947" s="4"/>
    </row>
    <row r="948" ht="14.25" customHeight="1">
      <c r="C948" s="4"/>
    </row>
    <row r="949" ht="14.25" customHeight="1">
      <c r="C949" s="4"/>
    </row>
    <row r="950" ht="14.25" customHeight="1">
      <c r="C950" s="4"/>
    </row>
    <row r="951" ht="14.25" customHeight="1">
      <c r="C951" s="4"/>
    </row>
    <row r="952" ht="14.25" customHeight="1">
      <c r="C952" s="4"/>
    </row>
    <row r="953" ht="14.25" customHeight="1">
      <c r="C953" s="4"/>
    </row>
    <row r="954" ht="14.25" customHeight="1">
      <c r="C954" s="4"/>
    </row>
    <row r="955" ht="14.25" customHeight="1">
      <c r="C955" s="4"/>
    </row>
    <row r="956" ht="14.25" customHeight="1">
      <c r="C956" s="4"/>
    </row>
    <row r="957" ht="14.25" customHeight="1">
      <c r="C957" s="4"/>
    </row>
    <row r="958" ht="14.25" customHeight="1">
      <c r="C958" s="4"/>
    </row>
    <row r="959" ht="14.25" customHeight="1">
      <c r="C959" s="4"/>
    </row>
    <row r="960" ht="14.25" customHeight="1">
      <c r="C960" s="4"/>
    </row>
    <row r="961" ht="14.25" customHeight="1">
      <c r="C961" s="4"/>
    </row>
    <row r="962" ht="14.25" customHeight="1">
      <c r="C962" s="4"/>
    </row>
    <row r="963" ht="14.25" customHeight="1">
      <c r="C963" s="4"/>
    </row>
    <row r="964" ht="14.25" customHeight="1">
      <c r="C964" s="4"/>
    </row>
    <row r="965" ht="14.25" customHeight="1">
      <c r="C965" s="4"/>
    </row>
    <row r="966" ht="14.25" customHeight="1">
      <c r="C966" s="4"/>
    </row>
    <row r="967" ht="14.25" customHeight="1">
      <c r="C967" s="4"/>
    </row>
    <row r="968" ht="14.25" customHeight="1">
      <c r="C968" s="4"/>
    </row>
    <row r="969" ht="14.25" customHeight="1">
      <c r="C969" s="4"/>
    </row>
    <row r="970" ht="14.25" customHeight="1">
      <c r="C970" s="4"/>
    </row>
    <row r="971" ht="14.25" customHeight="1">
      <c r="C971" s="4"/>
    </row>
    <row r="972" ht="14.25" customHeight="1">
      <c r="C972" s="4"/>
    </row>
    <row r="973" ht="14.25" customHeight="1">
      <c r="C973" s="4"/>
    </row>
    <row r="974" ht="14.25" customHeight="1">
      <c r="C974" s="4"/>
    </row>
    <row r="975" ht="14.25" customHeight="1">
      <c r="C975" s="4"/>
    </row>
    <row r="976" ht="14.25" customHeight="1">
      <c r="C976" s="4"/>
    </row>
    <row r="977" ht="14.25" customHeight="1">
      <c r="C977" s="4"/>
    </row>
    <row r="978" ht="14.25" customHeight="1">
      <c r="C978" s="4"/>
    </row>
    <row r="979" ht="14.25" customHeight="1">
      <c r="C979" s="4"/>
    </row>
    <row r="980" ht="14.25" customHeight="1">
      <c r="C980" s="4"/>
    </row>
    <row r="981" ht="14.25" customHeight="1">
      <c r="C981" s="4"/>
    </row>
    <row r="982" ht="14.25" customHeight="1">
      <c r="C982" s="4"/>
    </row>
    <row r="983" ht="14.25" customHeight="1">
      <c r="C983" s="4"/>
    </row>
    <row r="984" ht="14.25" customHeight="1">
      <c r="C984" s="4"/>
    </row>
    <row r="985" ht="14.25" customHeight="1">
      <c r="C985" s="4"/>
    </row>
    <row r="986" ht="14.25" customHeight="1">
      <c r="C986" s="4"/>
    </row>
    <row r="987" ht="14.25" customHeight="1">
      <c r="C987" s="4"/>
    </row>
    <row r="988" ht="14.25" customHeight="1">
      <c r="C988" s="4"/>
    </row>
    <row r="989" ht="14.25" customHeight="1">
      <c r="C989" s="4"/>
    </row>
    <row r="990" ht="14.25" customHeight="1">
      <c r="C990" s="4"/>
    </row>
    <row r="991" ht="14.25" customHeight="1">
      <c r="C991" s="4"/>
    </row>
    <row r="992" ht="14.25" customHeight="1">
      <c r="C992" s="4"/>
    </row>
    <row r="993" ht="14.25" customHeight="1">
      <c r="C993" s="4"/>
    </row>
    <row r="994" ht="14.25" customHeight="1">
      <c r="C994" s="4"/>
    </row>
    <row r="995" ht="14.25" customHeight="1">
      <c r="C995" s="4"/>
    </row>
    <row r="996" ht="14.25" customHeight="1">
      <c r="C996" s="4"/>
    </row>
    <row r="997" ht="14.25" customHeight="1">
      <c r="C997" s="4"/>
    </row>
    <row r="998" ht="14.25" customHeight="1">
      <c r="C998" s="4"/>
    </row>
    <row r="999" ht="14.25" customHeight="1">
      <c r="C999" s="4"/>
    </row>
    <row r="1000" ht="14.25" customHeight="1">
      <c r="C1000" s="4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2026-08-05T12:06:27Z</dcterms:created>
  <dc:creator>openpyxl</dc:creator>
</cp:coreProperties>
</file>
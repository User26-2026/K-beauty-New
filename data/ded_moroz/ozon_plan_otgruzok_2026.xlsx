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лендарь" sheetId="1" state="visible" r:id="rId3"/>
    <sheet name="Ассортимент" sheetId="2" state="visible" r:id="rId4"/>
    <sheet name="Транш 1 (05–15.10)" sheetId="3" state="visible" r:id="rId5"/>
    <sheet name="Транш 2 (28.10–08.11)" sheetId="4" state="visible" r:id="rId6"/>
    <sheet name="Транш 3 (18–25.11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<sst xmlns="http://schemas.openxmlformats.org/spreadsheetml/2006/main" count="162" uniqueCount="96">
  <si>
    <t xml:space="preserve">Срок</t>
  </si>
  <si>
    <t xml:space="preserve">Шаг</t>
  </si>
  <si>
    <t xml:space="preserve">Что конкретно</t>
  </si>
  <si>
    <t xml:space="preserve">Объём</t>
  </si>
  <si>
    <t xml:space="preserve">до 20.09</t>
  </si>
  <si>
    <t xml:space="preserve">Документы</t>
  </si>
  <si>
    <t xml:space="preserve">Проверить отказные письма / декларации ТР ТС на новые SKU: размеры 45/50/65/85 см и снегурочек. Без них карточки не пройдут модерацию.</t>
  </si>
  <si>
    <t xml:space="preserve">до 30.09</t>
  </si>
  <si>
    <t xml:space="preserve">Карточки</t>
  </si>
  <si>
    <t xml:space="preserve">Создать 3 склейки по размерам (№11, №3, №5) + 6 одиночных + 3 снегурочки + 4 карточки-набора. Итого ~28 карточек вместо 9 в 2025.</t>
  </si>
  <si>
    <t xml:space="preserve">Наборы</t>
  </si>
  <si>
    <t xml:space="preserve">Завести SKU-комплекты: «Дед Мороз + Снегурочка», «2 фигурки разных размеров», «Набор 3 шт для витрины». Это главный рычаг объёма.</t>
  </si>
  <si>
    <t xml:space="preserve">до 05.10</t>
  </si>
  <si>
    <t xml:space="preserve">Контент</t>
  </si>
  <si>
    <t xml:space="preserve">Фото на белом + в интерьере + инфографика с размером в см рядом с человеком/ёлкой. Rich-контент на все склейки. Ключ «под ёлку», «в полный рост», «большой».</t>
  </si>
  <si>
    <t xml:space="preserve">05–15.10</t>
  </si>
  <si>
    <t xml:space="preserve">ТРАНШ 1 — FBO</t>
  </si>
  <si>
    <t xml:space="preserve">Разгонный завоз в 5 кластеров. Цель не продажи, а первые отзывы и старт ранжирования до сезона.</t>
  </si>
  <si>
    <t xml:space="preserve">2 500 шт</t>
  </si>
  <si>
    <t xml:space="preserve">с 10.10</t>
  </si>
  <si>
    <t xml:space="preserve">Отзывы</t>
  </si>
  <si>
    <t xml:space="preserve">Включить «Отзывы за баллы» на все новые карточки. Цель — 30+ отзывов на склейку к 15.11.</t>
  </si>
  <si>
    <t xml:space="preserve">с 20.10</t>
  </si>
  <si>
    <t xml:space="preserve">Реклама</t>
  </si>
  <si>
    <t xml:space="preserve">Трафареты на склейки №11, №3, №5. ДРР потолок 12% в октябре, 18% в декабре.</t>
  </si>
  <si>
    <t xml:space="preserve">28.10–08.11</t>
  </si>
  <si>
    <t xml:space="preserve">ТРАНШ 2 — FBO</t>
  </si>
  <si>
    <t xml:space="preserve">Основной завоз во все 22 кластера. Слоты бронировать до 15.10 — в ноябре приёмка перегружена.</t>
  </si>
  <si>
    <t xml:space="preserve">8 000 шт</t>
  </si>
  <si>
    <t xml:space="preserve">18–25.11</t>
  </si>
  <si>
    <t xml:space="preserve">ТРАНШ 3 — FBO</t>
  </si>
  <si>
    <t xml:space="preserve">Добор по факту вымывания. Не по плану, а по остаткам на 15.11: куда ушло быстрее — туда больше.</t>
  </si>
  <si>
    <t xml:space="preserve">4 000 шт</t>
  </si>
  <si>
    <t xml:space="preserve">с 25.11</t>
  </si>
  <si>
    <t xml:space="preserve">FBS</t>
  </si>
  <si>
    <t xml:space="preserve">Включить отгрузку со своего склада для всего, что сверх FBO. Резерв — 1 500 шт + весь остаток.</t>
  </si>
  <si>
    <t xml:space="preserve">1 500+ шт</t>
  </si>
  <si>
    <t xml:space="preserve">01/08/15.12</t>
  </si>
  <si>
    <t xml:space="preserve">Контроль</t>
  </si>
  <si>
    <t xml:space="preserve">Три точки замера остатков. К 14.12 должна уйти половина сезона. Отстаёт кластер — режем цену там, опережает — докидываем FBS.</t>
  </si>
  <si>
    <t xml:space="preserve">до 20.12</t>
  </si>
  <si>
    <t xml:space="preserve">Последняя поставка</t>
  </si>
  <si>
    <t xml:space="preserve">После 22.12 завоз бессмысленен: на последнюю неделю приходится 2,3% сезона.</t>
  </si>
  <si>
    <t xml:space="preserve">26.12–15.01</t>
  </si>
  <si>
    <t xml:space="preserve">Вывоз</t>
  </si>
  <si>
    <t xml:space="preserve">Забрать непроданное с FBO до начала платного хранения по повышенному тарифу. Заложить бюджет на вывоз заранее.</t>
  </si>
  <si>
    <t xml:space="preserve">Модель</t>
  </si>
  <si>
    <t xml:space="preserve">Остаток, шт</t>
  </si>
  <si>
    <t xml:space="preserve">Продано на Ozon 2025, шт</t>
  </si>
  <si>
    <t xml:space="preserve">Доля продаж 2025</t>
  </si>
  <si>
    <t xml:space="preserve">План FBO 2026, шт</t>
  </si>
  <si>
    <t xml:space="preserve">Транш 1 (окт)</t>
  </si>
  <si>
    <t xml:space="preserve">Транш 2 (нояб)</t>
  </si>
  <si>
    <t xml:space="preserve">Транш 3 (20–25.11)</t>
  </si>
  <si>
    <t xml:space="preserve">% остатка уйдёт</t>
  </si>
  <si>
    <t xml:space="preserve">Останется после сезона</t>
  </si>
  <si>
    <t xml:space="preserve">№11 (35/45/50/65/85см)</t>
  </si>
  <si>
    <t xml:space="preserve">№3 (35/45/50см)</t>
  </si>
  <si>
    <t xml:space="preserve">№5 (35/45/50см)</t>
  </si>
  <si>
    <t xml:space="preserve">№12</t>
  </si>
  <si>
    <t xml:space="preserve">№1</t>
  </si>
  <si>
    <t xml:space="preserve">№6</t>
  </si>
  <si>
    <t xml:space="preserve">№9</t>
  </si>
  <si>
    <t xml:space="preserve">№10</t>
  </si>
  <si>
    <t xml:space="preserve">№13</t>
  </si>
  <si>
    <t xml:space="preserve">Снегурочки СГ (3 цвета)</t>
  </si>
  <si>
    <t xml:space="preserve">ИТОГО</t>
  </si>
  <si>
    <t xml:space="preserve">План FBO 14 500 шт + резерв FBS 1 500 шт = 16 000 шт — это 36% остатка. Остальные 28 000 шт сезон 2026 на Ozon физически не съест (см. лист «Календарь» и разбор в чате).</t>
  </si>
  <si>
    <t xml:space="preserve">Транш 3 в таблице — расчётный. Реальную раскладку делать 15.11 по факту вымывания, а не по этим цифрам.</t>
  </si>
  <si>
    <t xml:space="preserve">№13 сознательно урезан: в 2025 единственный SKU с sell-out 75%. Снегурочки — тестовый объём, на Ozon не продавались ни разу.</t>
  </si>
  <si>
    <t xml:space="preserve">Кластер Ozon</t>
  </si>
  <si>
    <t xml:space="preserve">Москва, МО и Дальние регионы</t>
  </si>
  <si>
    <t xml:space="preserve">Ростов</t>
  </si>
  <si>
    <t xml:space="preserve">Санкт-Петербург и СЗО</t>
  </si>
  <si>
    <t xml:space="preserve">Екатеринбург</t>
  </si>
  <si>
    <t xml:space="preserve">Казань</t>
  </si>
  <si>
    <t xml:space="preserve">Разгонный завоз в 5 крупнейших кластеров. Цель — отзывы и ранжирование до сезона, не продажи.</t>
  </si>
  <si>
    <t xml:space="preserve">Воронеж</t>
  </si>
  <si>
    <t xml:space="preserve">Ярославль</t>
  </si>
  <si>
    <t xml:space="preserve">Новосибирск</t>
  </si>
  <si>
    <t xml:space="preserve">Уфа</t>
  </si>
  <si>
    <t xml:space="preserve">Самара</t>
  </si>
  <si>
    <t xml:space="preserve">Саратов</t>
  </si>
  <si>
    <t xml:space="preserve">Дальний Восток</t>
  </si>
  <si>
    <t xml:space="preserve">Красноярск</t>
  </si>
  <si>
    <t xml:space="preserve">Тюмень</t>
  </si>
  <si>
    <t xml:space="preserve">Краснодар</t>
  </si>
  <si>
    <t xml:space="preserve">Невинномысск</t>
  </si>
  <si>
    <t xml:space="preserve">Пермь</t>
  </si>
  <si>
    <t xml:space="preserve">Тверь</t>
  </si>
  <si>
    <t xml:space="preserve">Оренбург</t>
  </si>
  <si>
    <t xml:space="preserve">Омск</t>
  </si>
  <si>
    <t xml:space="preserve">Калининград</t>
  </si>
  <si>
    <t xml:space="preserve">Махачкала</t>
  </si>
  <si>
    <t xml:space="preserve">Основной завоз во все 22 кластера по фактической географии спроса 2025. Слоты бронировать до 15.10.</t>
  </si>
  <si>
    <t xml:space="preserve">Расчётная база. Пересобрать 15.11 по фактическим остаткам: куда вымылось быстрее — туда больше.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</si>
</sst>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88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4</v>
      </c>
      <c r="B2" s="2" t="s">
        <v>5</v>
      </c>
      <c r="C2" s="2" t="s">
        <v>6</v>
      </c>
      <c r="D2" s="2"/>
    </row>
    <row r="3" customFormat="false" ht="23.85" hidden="false" customHeight="false" outlineLevel="0" collapsed="false">
      <c r="A3" s="2" t="s">
        <v>7</v>
      </c>
      <c r="B3" s="2" t="s">
        <v>8</v>
      </c>
      <c r="C3" s="2" t="s">
        <v>9</v>
      </c>
      <c r="D3" s="2"/>
    </row>
    <row r="4" customFormat="false" ht="23.85" hidden="false" customHeight="false" outlineLevel="0" collapsed="false">
      <c r="A4" s="2" t="s">
        <v>7</v>
      </c>
      <c r="B4" s="2" t="s">
        <v>10</v>
      </c>
      <c r="C4" s="2" t="s">
        <v>11</v>
      </c>
      <c r="D4" s="2"/>
    </row>
    <row r="5" customFormat="false" ht="23.85" hidden="false" customHeight="false" outlineLevel="0" collapsed="false">
      <c r="A5" s="2" t="s">
        <v>12</v>
      </c>
      <c r="B5" s="2" t="s">
        <v>13</v>
      </c>
      <c r="C5" s="2" t="s">
        <v>14</v>
      </c>
      <c r="D5" s="2"/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17</v>
      </c>
      <c r="D6" s="2" t="s">
        <v>18</v>
      </c>
    </row>
    <row r="7" customFormat="false" ht="15" hidden="false" customHeight="false" outlineLevel="0" collapsed="false">
      <c r="A7" s="2" t="s">
        <v>19</v>
      </c>
      <c r="B7" s="2" t="s">
        <v>20</v>
      </c>
      <c r="C7" s="2" t="s">
        <v>21</v>
      </c>
      <c r="D7" s="2"/>
    </row>
    <row r="8" customFormat="false" ht="15" hidden="false" customHeight="false" outlineLevel="0" collapsed="false">
      <c r="A8" s="2" t="s">
        <v>22</v>
      </c>
      <c r="B8" s="2" t="s">
        <v>23</v>
      </c>
      <c r="C8" s="2" t="s">
        <v>24</v>
      </c>
      <c r="D8" s="2"/>
    </row>
    <row r="9" customFormat="false" ht="15" hidden="false" customHeight="false" outlineLevel="0" collapsed="false">
      <c r="A9" s="2" t="s">
        <v>25</v>
      </c>
      <c r="B9" s="2" t="s">
        <v>26</v>
      </c>
      <c r="C9" s="2" t="s">
        <v>27</v>
      </c>
      <c r="D9" s="2" t="s">
        <v>28</v>
      </c>
    </row>
    <row r="10" customFormat="false" ht="15" hidden="false" customHeight="false" outlineLevel="0" collapsed="false">
      <c r="A10" s="2" t="s">
        <v>29</v>
      </c>
      <c r="B10" s="2" t="s">
        <v>30</v>
      </c>
      <c r="C10" s="2" t="s">
        <v>31</v>
      </c>
      <c r="D10" s="2" t="s">
        <v>32</v>
      </c>
    </row>
    <row r="11" customFormat="false" ht="15" hidden="false" customHeight="false" outlineLevel="0" collapsed="false">
      <c r="A11" s="2" t="s">
        <v>33</v>
      </c>
      <c r="B11" s="2" t="s">
        <v>34</v>
      </c>
      <c r="C11" s="2" t="s">
        <v>35</v>
      </c>
      <c r="D11" s="2" t="s">
        <v>36</v>
      </c>
    </row>
    <row r="12" customFormat="false" ht="23.85" hidden="false" customHeight="false" outlineLevel="0" collapsed="false">
      <c r="A12" s="2" t="s">
        <v>37</v>
      </c>
      <c r="B12" s="2" t="s">
        <v>38</v>
      </c>
      <c r="C12" s="2" t="s">
        <v>39</v>
      </c>
      <c r="D12" s="2"/>
    </row>
    <row r="13" customFormat="false" ht="15" hidden="false" customHeight="false" outlineLevel="0" collapsed="false">
      <c r="A13" s="2" t="s">
        <v>40</v>
      </c>
      <c r="B13" s="2" t="s">
        <v>41</v>
      </c>
      <c r="C13" s="2" t="s">
        <v>42</v>
      </c>
      <c r="D13" s="2"/>
    </row>
    <row r="14" customFormat="false" ht="23.85" hidden="false" customHeight="false" outlineLevel="0" collapsed="false">
      <c r="A14" s="2" t="s">
        <v>43</v>
      </c>
      <c r="B14" s="2" t="s">
        <v>44</v>
      </c>
      <c r="C14" s="2" t="s">
        <v>45</v>
      </c>
      <c r="D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3"/>
  </cols>
  <sheetData>
    <row r="1" customFormat="false" ht="23.8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customFormat="false" ht="15" hidden="false" customHeight="false" outlineLevel="0" collapsed="false">
      <c r="A2" s="3" t="s">
        <v>56</v>
      </c>
      <c r="B2" s="4" t="n">
        <v>13283</v>
      </c>
      <c r="C2" s="4" t="n">
        <v>1470</v>
      </c>
      <c r="D2" s="5" t="n">
        <f aca="false">IFERROR(C2/$C$12,0)</f>
        <v>0.316673847479535</v>
      </c>
      <c r="E2" s="4" t="n">
        <f aca="false">F2+G2+H2</f>
        <v>4350</v>
      </c>
      <c r="F2" s="4" t="n">
        <v>700</v>
      </c>
      <c r="G2" s="4" t="n">
        <v>2433</v>
      </c>
      <c r="H2" s="4" t="n">
        <v>1217</v>
      </c>
      <c r="I2" s="5" t="n">
        <f aca="false">IFERROR(E2/B2,0)</f>
        <v>0.327486260633893</v>
      </c>
      <c r="J2" s="4" t="n">
        <f aca="false">B2-E2</f>
        <v>8933</v>
      </c>
    </row>
    <row r="3" customFormat="false" ht="15" hidden="false" customHeight="false" outlineLevel="0" collapsed="false">
      <c r="A3" s="3" t="s">
        <v>57</v>
      </c>
      <c r="B3" s="4" t="n">
        <v>7441</v>
      </c>
      <c r="C3" s="4" t="n">
        <v>798</v>
      </c>
      <c r="D3" s="5" t="n">
        <f aca="false">IFERROR(C3/$C$12,0)</f>
        <v>0.171908660060319</v>
      </c>
      <c r="E3" s="4" t="n">
        <f aca="false">F3+G3+H3</f>
        <v>2175</v>
      </c>
      <c r="F3" s="4" t="n">
        <v>400</v>
      </c>
      <c r="G3" s="4" t="n">
        <v>1183</v>
      </c>
      <c r="H3" s="4" t="n">
        <v>592</v>
      </c>
      <c r="I3" s="5" t="n">
        <f aca="false">IFERROR(E3/B3,0)</f>
        <v>0.292299422120683</v>
      </c>
      <c r="J3" s="4" t="n">
        <f aca="false">B3-E3</f>
        <v>5266</v>
      </c>
    </row>
    <row r="4" customFormat="false" ht="15" hidden="false" customHeight="false" outlineLevel="0" collapsed="false">
      <c r="A4" s="3" t="s">
        <v>58</v>
      </c>
      <c r="B4" s="4" t="n">
        <v>6395</v>
      </c>
      <c r="C4" s="4" t="n">
        <v>454</v>
      </c>
      <c r="D4" s="5" t="n">
        <f aca="false">IFERROR(C4/$C$12,0)</f>
        <v>0.0978026712623869</v>
      </c>
      <c r="E4" s="4" t="n">
        <f aca="false">F4+G4+H4</f>
        <v>1800</v>
      </c>
      <c r="F4" s="4" t="n">
        <v>350</v>
      </c>
      <c r="G4" s="4" t="n">
        <v>967</v>
      </c>
      <c r="H4" s="4" t="n">
        <v>483</v>
      </c>
      <c r="I4" s="5" t="n">
        <f aca="false">IFERROR(E4/B4,0)</f>
        <v>0.281469898358092</v>
      </c>
      <c r="J4" s="4" t="n">
        <f aca="false">B4-E4</f>
        <v>4595</v>
      </c>
    </row>
    <row r="5" customFormat="false" ht="15" hidden="false" customHeight="false" outlineLevel="0" collapsed="false">
      <c r="A5" s="3" t="s">
        <v>59</v>
      </c>
      <c r="B5" s="4" t="n">
        <v>3904</v>
      </c>
      <c r="C5" s="4" t="n">
        <v>338</v>
      </c>
      <c r="D5" s="5" t="n">
        <f aca="false">IFERROR(C5/$C$12,0)</f>
        <v>0.0728134424816889</v>
      </c>
      <c r="E5" s="4" t="n">
        <f aca="false">F5+G5+H5</f>
        <v>1275</v>
      </c>
      <c r="F5" s="4" t="n">
        <v>200</v>
      </c>
      <c r="G5" s="4" t="n">
        <v>717</v>
      </c>
      <c r="H5" s="4" t="n">
        <v>358</v>
      </c>
      <c r="I5" s="5" t="n">
        <f aca="false">IFERROR(E5/B5,0)</f>
        <v>0.326588114754098</v>
      </c>
      <c r="J5" s="4" t="n">
        <f aca="false">B5-E5</f>
        <v>2629</v>
      </c>
    </row>
    <row r="6" customFormat="false" ht="15" hidden="false" customHeight="false" outlineLevel="0" collapsed="false">
      <c r="A6" s="3" t="s">
        <v>60</v>
      </c>
      <c r="B6" s="4" t="n">
        <v>3509</v>
      </c>
      <c r="C6" s="4" t="n">
        <v>341</v>
      </c>
      <c r="D6" s="5" t="n">
        <f aca="false">IFERROR(C6/$C$12,0)</f>
        <v>0.0734597156398104</v>
      </c>
      <c r="E6" s="4" t="n">
        <f aca="false">F6+G6+H6</f>
        <v>1175</v>
      </c>
      <c r="F6" s="4" t="n">
        <v>200</v>
      </c>
      <c r="G6" s="4" t="n">
        <v>650</v>
      </c>
      <c r="H6" s="4" t="n">
        <v>325</v>
      </c>
      <c r="I6" s="5" t="n">
        <f aca="false">IFERROR(E6/B6,0)</f>
        <v>0.334853234539755</v>
      </c>
      <c r="J6" s="4" t="n">
        <f aca="false">B6-E6</f>
        <v>2334</v>
      </c>
    </row>
    <row r="7" customFormat="false" ht="15" hidden="false" customHeight="false" outlineLevel="0" collapsed="false">
      <c r="A7" s="3" t="s">
        <v>61</v>
      </c>
      <c r="B7" s="4" t="n">
        <v>2509</v>
      </c>
      <c r="C7" s="4" t="n">
        <v>503</v>
      </c>
      <c r="D7" s="5" t="n">
        <f aca="false">IFERROR(C7/$C$12,0)</f>
        <v>0.108358466178371</v>
      </c>
      <c r="E7" s="4" t="n">
        <f aca="false">F7+G7+H7</f>
        <v>1275</v>
      </c>
      <c r="F7" s="4" t="n">
        <v>250</v>
      </c>
      <c r="G7" s="4" t="n">
        <v>683</v>
      </c>
      <c r="H7" s="4" t="n">
        <v>342</v>
      </c>
      <c r="I7" s="5" t="n">
        <f aca="false">IFERROR(E7/B7,0)</f>
        <v>0.508170585890793</v>
      </c>
      <c r="J7" s="4" t="n">
        <f aca="false">B7-E7</f>
        <v>1234</v>
      </c>
    </row>
    <row r="8" customFormat="false" ht="15" hidden="false" customHeight="false" outlineLevel="0" collapsed="false">
      <c r="A8" s="3" t="s">
        <v>62</v>
      </c>
      <c r="B8" s="4" t="n">
        <v>2220</v>
      </c>
      <c r="C8" s="4" t="n">
        <v>250</v>
      </c>
      <c r="D8" s="5" t="n">
        <f aca="false">IFERROR(C8/$C$12,0)</f>
        <v>0.053856096510125</v>
      </c>
      <c r="E8" s="4" t="n">
        <f aca="false">F8+G8+H8</f>
        <v>1000</v>
      </c>
      <c r="F8" s="4" t="n">
        <v>150</v>
      </c>
      <c r="G8" s="4" t="n">
        <v>567</v>
      </c>
      <c r="H8" s="4" t="n">
        <v>283</v>
      </c>
      <c r="I8" s="5" t="n">
        <f aca="false">IFERROR(E8/B8,0)</f>
        <v>0.45045045045045</v>
      </c>
      <c r="J8" s="4" t="n">
        <f aca="false">B8-E8</f>
        <v>1220</v>
      </c>
    </row>
    <row r="9" customFormat="false" ht="15" hidden="false" customHeight="false" outlineLevel="0" collapsed="false">
      <c r="A9" s="3" t="s">
        <v>63</v>
      </c>
      <c r="B9" s="4" t="n">
        <v>1444</v>
      </c>
      <c r="C9" s="4" t="n">
        <v>322</v>
      </c>
      <c r="D9" s="5" t="n">
        <f aca="false">IFERROR(C9/$C$12,0)</f>
        <v>0.0693666523050409</v>
      </c>
      <c r="E9" s="4" t="n">
        <f aca="false">F9+G9+H9</f>
        <v>725</v>
      </c>
      <c r="F9" s="4" t="n">
        <v>100</v>
      </c>
      <c r="G9" s="4" t="n">
        <v>417</v>
      </c>
      <c r="H9" s="4" t="n">
        <v>208</v>
      </c>
      <c r="I9" s="5" t="n">
        <f aca="false">IFERROR(E9/B9,0)</f>
        <v>0.50207756232687</v>
      </c>
      <c r="J9" s="4" t="n">
        <f aca="false">B9-E9</f>
        <v>719</v>
      </c>
    </row>
    <row r="10" customFormat="false" ht="15" hidden="false" customHeight="false" outlineLevel="0" collapsed="false">
      <c r="A10" s="3" t="s">
        <v>64</v>
      </c>
      <c r="B10" s="4" t="n">
        <v>1206</v>
      </c>
      <c r="C10" s="4" t="n">
        <v>166</v>
      </c>
      <c r="D10" s="5" t="n">
        <f aca="false">IFERROR(C10/$C$12,0)</f>
        <v>0.035760448082723</v>
      </c>
      <c r="E10" s="4" t="n">
        <f aca="false">F10+G10+H10</f>
        <v>275</v>
      </c>
      <c r="F10" s="4" t="n">
        <v>50</v>
      </c>
      <c r="G10" s="4" t="n">
        <v>150</v>
      </c>
      <c r="H10" s="4" t="n">
        <v>75</v>
      </c>
      <c r="I10" s="5" t="n">
        <f aca="false">IFERROR(E10/B10,0)</f>
        <v>0.228026533996683</v>
      </c>
      <c r="J10" s="4" t="n">
        <f aca="false">B10-E10</f>
        <v>931</v>
      </c>
    </row>
    <row r="11" customFormat="false" ht="15" hidden="false" customHeight="false" outlineLevel="0" collapsed="false">
      <c r="A11" s="3" t="s">
        <v>65</v>
      </c>
      <c r="B11" s="4" t="n">
        <v>2219</v>
      </c>
      <c r="C11" s="4" t="n">
        <v>0</v>
      </c>
      <c r="D11" s="5" t="n">
        <f aca="false">IFERROR(C11/$C$12,0)</f>
        <v>0</v>
      </c>
      <c r="E11" s="4" t="n">
        <f aca="false">F11+G11+H11</f>
        <v>450</v>
      </c>
      <c r="F11" s="4" t="n">
        <v>100</v>
      </c>
      <c r="G11" s="4" t="n">
        <v>233</v>
      </c>
      <c r="H11" s="4" t="n">
        <v>117</v>
      </c>
      <c r="I11" s="5" t="n">
        <f aca="false">IFERROR(E11/B11,0)</f>
        <v>0.202794051374493</v>
      </c>
      <c r="J11" s="4" t="n">
        <f aca="false">B11-E11</f>
        <v>1769</v>
      </c>
    </row>
    <row r="12" customFormat="false" ht="15" hidden="false" customHeight="false" outlineLevel="0" collapsed="false">
      <c r="A12" s="6" t="s">
        <v>66</v>
      </c>
      <c r="B12" s="7" t="n">
        <f aca="false">SUM(B2:B11)</f>
        <v>44130</v>
      </c>
      <c r="C12" s="7" t="n">
        <f aca="false">SUM(C2:C11)</f>
        <v>4642</v>
      </c>
      <c r="D12" s="8" t="n">
        <f aca="false">SUM(D2:D11)</f>
        <v>1</v>
      </c>
      <c r="E12" s="7" t="n">
        <f aca="false">SUM(E2:E11)</f>
        <v>14500</v>
      </c>
      <c r="F12" s="7" t="n">
        <f aca="false">SUM(F2:F11)</f>
        <v>2500</v>
      </c>
      <c r="G12" s="7" t="n">
        <f aca="false">SUM(G2:G11)</f>
        <v>8000</v>
      </c>
      <c r="H12" s="7" t="n">
        <f aca="false">SUM(H2:H11)</f>
        <v>4000</v>
      </c>
      <c r="I12" s="8" t="n">
        <f aca="false">IFERROR(E12/B12,0)</f>
        <v>0.328574665760254</v>
      </c>
      <c r="J12" s="7" t="n">
        <f aca="false">SUM(J2:J11)</f>
        <v>29630</v>
      </c>
    </row>
    <row r="14" customFormat="false" ht="15" hidden="false" customHeight="false" outlineLevel="0" collapsed="false">
      <c r="A14" s="9" t="s">
        <v>67</v>
      </c>
    </row>
    <row r="15" customFormat="false" ht="15" hidden="false" customHeight="false" outlineLevel="0" collapsed="false">
      <c r="A15" s="9" t="s">
        <v>68</v>
      </c>
    </row>
    <row r="16" customFormat="false" ht="15" hidden="false" customHeight="false" outlineLevel="0" collapsed="false">
      <c r="A16" s="9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2" min="2" style="0" width="13"/>
  </cols>
  <sheetData>
    <row r="1" customFormat="false" ht="35.05" hidden="false" customHeight="false" outlineLevel="0" collapsed="false">
      <c r="A1" s="1" t="s">
        <v>70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customFormat="false" ht="15" hidden="false" customHeight="false" outlineLevel="0" collapsed="false">
      <c r="A2" s="3" t="s">
        <v>71</v>
      </c>
      <c r="B2" s="4" t="n">
        <v>224</v>
      </c>
      <c r="C2" s="4" t="n">
        <v>128</v>
      </c>
      <c r="D2" s="4" t="n">
        <v>112</v>
      </c>
      <c r="E2" s="4" t="n">
        <v>64</v>
      </c>
      <c r="F2" s="4" t="n">
        <v>64</v>
      </c>
      <c r="G2" s="4" t="n">
        <v>80</v>
      </c>
      <c r="H2" s="4" t="n">
        <v>48</v>
      </c>
      <c r="I2" s="4" t="n">
        <v>32</v>
      </c>
      <c r="J2" s="4" t="n">
        <v>16</v>
      </c>
      <c r="K2" s="4" t="n">
        <v>32</v>
      </c>
      <c r="L2" s="4" t="n">
        <f aca="false">SUM(B2:K2)</f>
        <v>800</v>
      </c>
    </row>
    <row r="3" customFormat="false" ht="15" hidden="false" customHeight="false" outlineLevel="0" collapsed="false">
      <c r="A3" s="3" t="s">
        <v>72</v>
      </c>
      <c r="B3" s="4" t="n">
        <v>168</v>
      </c>
      <c r="C3" s="4" t="n">
        <v>96</v>
      </c>
      <c r="D3" s="4" t="n">
        <v>84</v>
      </c>
      <c r="E3" s="4" t="n">
        <v>48</v>
      </c>
      <c r="F3" s="4" t="n">
        <v>48</v>
      </c>
      <c r="G3" s="4" t="n">
        <v>60</v>
      </c>
      <c r="H3" s="4" t="n">
        <v>36</v>
      </c>
      <c r="I3" s="4" t="n">
        <v>24</v>
      </c>
      <c r="J3" s="4" t="n">
        <v>12</v>
      </c>
      <c r="K3" s="4" t="n">
        <v>24</v>
      </c>
      <c r="L3" s="4" t="n">
        <f aca="false">SUM(B3:K3)</f>
        <v>600</v>
      </c>
    </row>
    <row r="4" customFormat="false" ht="15" hidden="false" customHeight="false" outlineLevel="0" collapsed="false">
      <c r="A4" s="3" t="s">
        <v>73</v>
      </c>
      <c r="B4" s="4" t="n">
        <v>154</v>
      </c>
      <c r="C4" s="4" t="n">
        <v>88</v>
      </c>
      <c r="D4" s="4" t="n">
        <v>77</v>
      </c>
      <c r="E4" s="4" t="n">
        <v>44</v>
      </c>
      <c r="F4" s="4" t="n">
        <v>44</v>
      </c>
      <c r="G4" s="4" t="n">
        <v>55</v>
      </c>
      <c r="H4" s="4" t="n">
        <v>33</v>
      </c>
      <c r="I4" s="4" t="n">
        <v>22</v>
      </c>
      <c r="J4" s="4" t="n">
        <v>11</v>
      </c>
      <c r="K4" s="4" t="n">
        <v>22</v>
      </c>
      <c r="L4" s="4" t="n">
        <f aca="false">SUM(B4:K4)</f>
        <v>550</v>
      </c>
    </row>
    <row r="5" customFormat="false" ht="15" hidden="false" customHeight="false" outlineLevel="0" collapsed="false">
      <c r="A5" s="3" t="s">
        <v>74</v>
      </c>
      <c r="B5" s="4" t="n">
        <v>84</v>
      </c>
      <c r="C5" s="4" t="n">
        <v>48</v>
      </c>
      <c r="D5" s="4" t="n">
        <v>42</v>
      </c>
      <c r="E5" s="4" t="n">
        <v>24</v>
      </c>
      <c r="F5" s="4" t="n">
        <v>24</v>
      </c>
      <c r="G5" s="4" t="n">
        <v>30</v>
      </c>
      <c r="H5" s="4" t="n">
        <v>18</v>
      </c>
      <c r="I5" s="4" t="n">
        <v>12</v>
      </c>
      <c r="J5" s="4" t="n">
        <v>6</v>
      </c>
      <c r="K5" s="4" t="n">
        <v>12</v>
      </c>
      <c r="L5" s="4" t="n">
        <f aca="false">SUM(B5:K5)</f>
        <v>300</v>
      </c>
    </row>
    <row r="6" customFormat="false" ht="15" hidden="false" customHeight="false" outlineLevel="0" collapsed="false">
      <c r="A6" s="3" t="s">
        <v>75</v>
      </c>
      <c r="B6" s="4" t="n">
        <v>70</v>
      </c>
      <c r="C6" s="4" t="n">
        <v>40</v>
      </c>
      <c r="D6" s="4" t="n">
        <v>35</v>
      </c>
      <c r="E6" s="4" t="n">
        <v>20</v>
      </c>
      <c r="F6" s="4" t="n">
        <v>20</v>
      </c>
      <c r="G6" s="4" t="n">
        <v>25</v>
      </c>
      <c r="H6" s="4" t="n">
        <v>15</v>
      </c>
      <c r="I6" s="4" t="n">
        <v>10</v>
      </c>
      <c r="J6" s="4" t="n">
        <v>5</v>
      </c>
      <c r="K6" s="4" t="n">
        <v>10</v>
      </c>
      <c r="L6" s="4" t="n">
        <f aca="false">SUM(B6:K6)</f>
        <v>250</v>
      </c>
    </row>
    <row r="7" customFormat="false" ht="15" hidden="false" customHeight="false" outlineLevel="0" collapsed="false">
      <c r="A7" s="6" t="s">
        <v>66</v>
      </c>
      <c r="B7" s="7" t="n">
        <f aca="false">SUM(B2:B6)</f>
        <v>700</v>
      </c>
      <c r="C7" s="7" t="n">
        <f aca="false">SUM(C2:C6)</f>
        <v>400</v>
      </c>
      <c r="D7" s="7" t="n">
        <f aca="false">SUM(D2:D6)</f>
        <v>350</v>
      </c>
      <c r="E7" s="7" t="n">
        <f aca="false">SUM(E2:E6)</f>
        <v>200</v>
      </c>
      <c r="F7" s="7" t="n">
        <f aca="false">SUM(F2:F6)</f>
        <v>200</v>
      </c>
      <c r="G7" s="7" t="n">
        <f aca="false">SUM(G2:G6)</f>
        <v>250</v>
      </c>
      <c r="H7" s="7" t="n">
        <f aca="false">SUM(H2:H6)</f>
        <v>150</v>
      </c>
      <c r="I7" s="7" t="n">
        <f aca="false">SUM(I2:I6)</f>
        <v>100</v>
      </c>
      <c r="J7" s="7" t="n">
        <f aca="false">SUM(J2:J6)</f>
        <v>50</v>
      </c>
      <c r="K7" s="7" t="n">
        <f aca="false">SUM(K2:K6)</f>
        <v>100</v>
      </c>
      <c r="L7" s="7" t="n">
        <f aca="false">SUM(L2:L6)</f>
        <v>2500</v>
      </c>
    </row>
    <row r="9" customFormat="false" ht="15" hidden="false" customHeight="false" outlineLevel="0" collapsed="false">
      <c r="A9" s="9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2" min="2" style="0" width="13"/>
  </cols>
  <sheetData>
    <row r="1" customFormat="false" ht="35.05" hidden="false" customHeight="false" outlineLevel="0" collapsed="false">
      <c r="A1" s="1" t="s">
        <v>70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customFormat="false" ht="15" hidden="false" customHeight="false" outlineLevel="0" collapsed="false">
      <c r="A2" s="3" t="s">
        <v>71</v>
      </c>
      <c r="B2" s="4" t="n">
        <v>389</v>
      </c>
      <c r="C2" s="4" t="n">
        <v>189</v>
      </c>
      <c r="D2" s="4" t="n">
        <v>155</v>
      </c>
      <c r="E2" s="4" t="n">
        <v>115</v>
      </c>
      <c r="F2" s="4" t="n">
        <v>104</v>
      </c>
      <c r="G2" s="4" t="n">
        <v>109</v>
      </c>
      <c r="H2" s="4" t="n">
        <v>91</v>
      </c>
      <c r="I2" s="4" t="n">
        <v>67</v>
      </c>
      <c r="J2" s="4" t="n">
        <v>24</v>
      </c>
      <c r="K2" s="4" t="n">
        <v>37</v>
      </c>
      <c r="L2" s="4" t="n">
        <f aca="false">SUM(B2:K2)</f>
        <v>1280</v>
      </c>
    </row>
    <row r="3" customFormat="false" ht="15" hidden="false" customHeight="false" outlineLevel="0" collapsed="false">
      <c r="A3" s="3" t="s">
        <v>72</v>
      </c>
      <c r="B3" s="4" t="n">
        <v>341</v>
      </c>
      <c r="C3" s="4" t="n">
        <v>166</v>
      </c>
      <c r="D3" s="4" t="n">
        <v>135</v>
      </c>
      <c r="E3" s="4" t="n">
        <v>100</v>
      </c>
      <c r="F3" s="4" t="n">
        <v>91</v>
      </c>
      <c r="G3" s="4" t="n">
        <v>96</v>
      </c>
      <c r="H3" s="4" t="n">
        <v>79</v>
      </c>
      <c r="I3" s="4" t="n">
        <v>58</v>
      </c>
      <c r="J3" s="4" t="n">
        <v>21</v>
      </c>
      <c r="K3" s="4" t="n">
        <v>33</v>
      </c>
      <c r="L3" s="4" t="n">
        <f aca="false">SUM(B3:K3)</f>
        <v>1120</v>
      </c>
    </row>
    <row r="4" customFormat="false" ht="15" hidden="false" customHeight="false" outlineLevel="0" collapsed="false">
      <c r="A4" s="3" t="s">
        <v>73</v>
      </c>
      <c r="B4" s="4" t="n">
        <v>280</v>
      </c>
      <c r="C4" s="4" t="n">
        <v>136</v>
      </c>
      <c r="D4" s="4" t="n">
        <v>111</v>
      </c>
      <c r="E4" s="4" t="n">
        <v>83</v>
      </c>
      <c r="F4" s="4" t="n">
        <v>75</v>
      </c>
      <c r="G4" s="4" t="n">
        <v>78</v>
      </c>
      <c r="H4" s="4" t="n">
        <v>65</v>
      </c>
      <c r="I4" s="4" t="n">
        <v>48</v>
      </c>
      <c r="J4" s="4" t="n">
        <v>17</v>
      </c>
      <c r="K4" s="4" t="n">
        <v>27</v>
      </c>
      <c r="L4" s="4" t="n">
        <f aca="false">SUM(B4:K4)</f>
        <v>920</v>
      </c>
    </row>
    <row r="5" customFormat="false" ht="15" hidden="false" customHeight="false" outlineLevel="0" collapsed="false">
      <c r="A5" s="3" t="s">
        <v>74</v>
      </c>
      <c r="B5" s="4" t="n">
        <v>134</v>
      </c>
      <c r="C5" s="4" t="n">
        <v>65</v>
      </c>
      <c r="D5" s="4" t="n">
        <v>53</v>
      </c>
      <c r="E5" s="4" t="n">
        <v>39</v>
      </c>
      <c r="F5" s="4" t="n">
        <v>36</v>
      </c>
      <c r="G5" s="4" t="n">
        <v>38</v>
      </c>
      <c r="H5" s="4" t="n">
        <v>31</v>
      </c>
      <c r="I5" s="4" t="n">
        <v>23</v>
      </c>
      <c r="J5" s="4" t="n">
        <v>8</v>
      </c>
      <c r="K5" s="4" t="n">
        <v>13</v>
      </c>
      <c r="L5" s="4" t="n">
        <f aca="false">SUM(B5:K5)</f>
        <v>440</v>
      </c>
    </row>
    <row r="6" customFormat="false" ht="15" hidden="false" customHeight="false" outlineLevel="0" collapsed="false">
      <c r="A6" s="3" t="s">
        <v>77</v>
      </c>
      <c r="B6" s="4" t="n">
        <v>134</v>
      </c>
      <c r="C6" s="4" t="n">
        <v>65</v>
      </c>
      <c r="D6" s="4" t="n">
        <v>53</v>
      </c>
      <c r="E6" s="4" t="n">
        <v>39</v>
      </c>
      <c r="F6" s="4" t="n">
        <v>36</v>
      </c>
      <c r="G6" s="4" t="n">
        <v>38</v>
      </c>
      <c r="H6" s="4" t="n">
        <v>31</v>
      </c>
      <c r="I6" s="4" t="n">
        <v>23</v>
      </c>
      <c r="J6" s="4" t="n">
        <v>8</v>
      </c>
      <c r="K6" s="4" t="n">
        <v>13</v>
      </c>
      <c r="L6" s="4" t="n">
        <f aca="false">SUM(B6:K6)</f>
        <v>440</v>
      </c>
    </row>
    <row r="7" customFormat="false" ht="15" hidden="false" customHeight="false" outlineLevel="0" collapsed="false">
      <c r="A7" s="3" t="s">
        <v>75</v>
      </c>
      <c r="B7" s="4" t="n">
        <v>134</v>
      </c>
      <c r="C7" s="4" t="n">
        <v>65</v>
      </c>
      <c r="D7" s="4" t="n">
        <v>53</v>
      </c>
      <c r="E7" s="4" t="n">
        <v>39</v>
      </c>
      <c r="F7" s="4" t="n">
        <v>36</v>
      </c>
      <c r="G7" s="4" t="n">
        <v>38</v>
      </c>
      <c r="H7" s="4" t="n">
        <v>31</v>
      </c>
      <c r="I7" s="4" t="n">
        <v>23</v>
      </c>
      <c r="J7" s="4" t="n">
        <v>8</v>
      </c>
      <c r="K7" s="4" t="n">
        <v>13</v>
      </c>
      <c r="L7" s="4" t="n">
        <f aca="false">SUM(B7:K7)</f>
        <v>440</v>
      </c>
    </row>
    <row r="8" customFormat="false" ht="15" hidden="false" customHeight="false" outlineLevel="0" collapsed="false">
      <c r="A8" s="3" t="s">
        <v>78</v>
      </c>
      <c r="B8" s="4" t="n">
        <v>122</v>
      </c>
      <c r="C8" s="4" t="n">
        <v>59</v>
      </c>
      <c r="D8" s="4" t="n">
        <v>48</v>
      </c>
      <c r="E8" s="4" t="n">
        <v>36</v>
      </c>
      <c r="F8" s="4" t="n">
        <v>33</v>
      </c>
      <c r="G8" s="4" t="n">
        <v>34</v>
      </c>
      <c r="H8" s="4" t="n">
        <v>28</v>
      </c>
      <c r="I8" s="4" t="n">
        <v>21</v>
      </c>
      <c r="J8" s="4" t="n">
        <v>8</v>
      </c>
      <c r="K8" s="4" t="n">
        <v>12</v>
      </c>
      <c r="L8" s="4" t="n">
        <f aca="false">SUM(B8:K8)</f>
        <v>401</v>
      </c>
    </row>
    <row r="9" customFormat="false" ht="15" hidden="false" customHeight="false" outlineLevel="0" collapsed="false">
      <c r="A9" s="3" t="s">
        <v>79</v>
      </c>
      <c r="B9" s="4" t="n">
        <v>122</v>
      </c>
      <c r="C9" s="4" t="n">
        <v>59</v>
      </c>
      <c r="D9" s="4" t="n">
        <v>48</v>
      </c>
      <c r="E9" s="4" t="n">
        <v>36</v>
      </c>
      <c r="F9" s="4" t="n">
        <v>33</v>
      </c>
      <c r="G9" s="4" t="n">
        <v>34</v>
      </c>
      <c r="H9" s="4" t="n">
        <v>28</v>
      </c>
      <c r="I9" s="4" t="n">
        <v>21</v>
      </c>
      <c r="J9" s="4" t="n">
        <v>8</v>
      </c>
      <c r="K9" s="4" t="n">
        <v>12</v>
      </c>
      <c r="L9" s="4" t="n">
        <f aca="false">SUM(B9:K9)</f>
        <v>401</v>
      </c>
    </row>
    <row r="10" customFormat="false" ht="15" hidden="false" customHeight="false" outlineLevel="0" collapsed="false">
      <c r="A10" s="3" t="s">
        <v>80</v>
      </c>
      <c r="B10" s="4" t="n">
        <v>109</v>
      </c>
      <c r="C10" s="4" t="n">
        <v>53</v>
      </c>
      <c r="D10" s="4" t="n">
        <v>44</v>
      </c>
      <c r="E10" s="4" t="n">
        <v>32</v>
      </c>
      <c r="F10" s="4" t="n">
        <v>29</v>
      </c>
      <c r="G10" s="4" t="n">
        <v>31</v>
      </c>
      <c r="H10" s="4" t="n">
        <v>26</v>
      </c>
      <c r="I10" s="4" t="n">
        <v>19</v>
      </c>
      <c r="J10" s="4" t="n">
        <v>7</v>
      </c>
      <c r="K10" s="4" t="n">
        <v>10</v>
      </c>
      <c r="L10" s="4" t="n">
        <f aca="false">SUM(B10:K10)</f>
        <v>360</v>
      </c>
    </row>
    <row r="11" customFormat="false" ht="15" hidden="false" customHeight="false" outlineLevel="0" collapsed="false">
      <c r="A11" s="3" t="s">
        <v>81</v>
      </c>
      <c r="B11" s="4" t="n">
        <v>85</v>
      </c>
      <c r="C11" s="4" t="n">
        <v>41</v>
      </c>
      <c r="D11" s="4" t="n">
        <v>34</v>
      </c>
      <c r="E11" s="4" t="n">
        <v>25</v>
      </c>
      <c r="F11" s="4" t="n">
        <v>23</v>
      </c>
      <c r="G11" s="4" t="n">
        <v>24</v>
      </c>
      <c r="H11" s="4" t="n">
        <v>20</v>
      </c>
      <c r="I11" s="4" t="n">
        <v>15</v>
      </c>
      <c r="J11" s="4" t="n">
        <v>5</v>
      </c>
      <c r="K11" s="4" t="n">
        <v>8</v>
      </c>
      <c r="L11" s="4" t="n">
        <f aca="false">SUM(B11:K11)</f>
        <v>280</v>
      </c>
    </row>
    <row r="12" customFormat="false" ht="15" hidden="false" customHeight="false" outlineLevel="0" collapsed="false">
      <c r="A12" s="3" t="s">
        <v>82</v>
      </c>
      <c r="B12" s="4" t="n">
        <v>85</v>
      </c>
      <c r="C12" s="4" t="n">
        <v>41</v>
      </c>
      <c r="D12" s="4" t="n">
        <v>34</v>
      </c>
      <c r="E12" s="4" t="n">
        <v>25</v>
      </c>
      <c r="F12" s="4" t="n">
        <v>23</v>
      </c>
      <c r="G12" s="4" t="n">
        <v>24</v>
      </c>
      <c r="H12" s="4" t="n">
        <v>20</v>
      </c>
      <c r="I12" s="4" t="n">
        <v>15</v>
      </c>
      <c r="J12" s="4" t="n">
        <v>5</v>
      </c>
      <c r="K12" s="4" t="n">
        <v>8</v>
      </c>
      <c r="L12" s="4" t="n">
        <f aca="false">SUM(B12:K12)</f>
        <v>280</v>
      </c>
    </row>
    <row r="13" customFormat="false" ht="15" hidden="false" customHeight="false" outlineLevel="0" collapsed="false">
      <c r="A13" s="3" t="s">
        <v>83</v>
      </c>
      <c r="B13" s="4" t="n">
        <v>85</v>
      </c>
      <c r="C13" s="4" t="n">
        <v>41</v>
      </c>
      <c r="D13" s="4" t="n">
        <v>34</v>
      </c>
      <c r="E13" s="4" t="n">
        <v>25</v>
      </c>
      <c r="F13" s="4" t="n">
        <v>23</v>
      </c>
      <c r="G13" s="4" t="n">
        <v>24</v>
      </c>
      <c r="H13" s="4" t="n">
        <v>20</v>
      </c>
      <c r="I13" s="4" t="n">
        <v>15</v>
      </c>
      <c r="J13" s="4" t="n">
        <v>5</v>
      </c>
      <c r="K13" s="4" t="n">
        <v>8</v>
      </c>
      <c r="L13" s="4" t="n">
        <f aca="false">SUM(B13:K13)</f>
        <v>280</v>
      </c>
    </row>
    <row r="14" customFormat="false" ht="15" hidden="false" customHeight="false" outlineLevel="0" collapsed="false">
      <c r="A14" s="3" t="s">
        <v>84</v>
      </c>
      <c r="B14" s="4" t="n">
        <v>85</v>
      </c>
      <c r="C14" s="4" t="n">
        <v>41</v>
      </c>
      <c r="D14" s="4" t="n">
        <v>34</v>
      </c>
      <c r="E14" s="4" t="n">
        <v>25</v>
      </c>
      <c r="F14" s="4" t="n">
        <v>23</v>
      </c>
      <c r="G14" s="4" t="n">
        <v>24</v>
      </c>
      <c r="H14" s="4" t="n">
        <v>20</v>
      </c>
      <c r="I14" s="4" t="n">
        <v>15</v>
      </c>
      <c r="J14" s="4" t="n">
        <v>5</v>
      </c>
      <c r="K14" s="4" t="n">
        <v>8</v>
      </c>
      <c r="L14" s="4" t="n">
        <f aca="false">SUM(B14:K14)</f>
        <v>280</v>
      </c>
    </row>
    <row r="15" customFormat="false" ht="15" hidden="false" customHeight="false" outlineLevel="0" collapsed="false">
      <c r="A15" s="3" t="s">
        <v>85</v>
      </c>
      <c r="B15" s="4" t="n">
        <v>73</v>
      </c>
      <c r="C15" s="4" t="n">
        <v>36</v>
      </c>
      <c r="D15" s="4" t="n">
        <v>29</v>
      </c>
      <c r="E15" s="4" t="n">
        <v>22</v>
      </c>
      <c r="F15" s="4" t="n">
        <v>19</v>
      </c>
      <c r="G15" s="4" t="n">
        <v>20</v>
      </c>
      <c r="H15" s="4" t="n">
        <v>17</v>
      </c>
      <c r="I15" s="4" t="n">
        <v>12</v>
      </c>
      <c r="J15" s="4" t="n">
        <v>5</v>
      </c>
      <c r="K15" s="4" t="n">
        <v>7</v>
      </c>
      <c r="L15" s="4" t="n">
        <f aca="false">SUM(B15:K15)</f>
        <v>240</v>
      </c>
    </row>
    <row r="16" customFormat="false" ht="15" hidden="false" customHeight="false" outlineLevel="0" collapsed="false">
      <c r="A16" s="3" t="s">
        <v>86</v>
      </c>
      <c r="B16" s="4" t="n">
        <v>73</v>
      </c>
      <c r="C16" s="4" t="n">
        <v>36</v>
      </c>
      <c r="D16" s="4" t="n">
        <v>29</v>
      </c>
      <c r="E16" s="4" t="n">
        <v>22</v>
      </c>
      <c r="F16" s="4" t="n">
        <v>19</v>
      </c>
      <c r="G16" s="4" t="n">
        <v>20</v>
      </c>
      <c r="H16" s="4" t="n">
        <v>17</v>
      </c>
      <c r="I16" s="4" t="n">
        <v>12</v>
      </c>
      <c r="J16" s="4" t="n">
        <v>5</v>
      </c>
      <c r="K16" s="4" t="n">
        <v>7</v>
      </c>
      <c r="L16" s="4" t="n">
        <f aca="false">SUM(B16:K16)</f>
        <v>240</v>
      </c>
    </row>
    <row r="17" customFormat="false" ht="15" hidden="false" customHeight="false" outlineLevel="0" collapsed="false">
      <c r="A17" s="3" t="s">
        <v>87</v>
      </c>
      <c r="B17" s="4" t="n">
        <v>49</v>
      </c>
      <c r="C17" s="4" t="n">
        <v>24</v>
      </c>
      <c r="D17" s="4" t="n">
        <v>19</v>
      </c>
      <c r="E17" s="4" t="n">
        <v>14</v>
      </c>
      <c r="F17" s="4" t="n">
        <v>13</v>
      </c>
      <c r="G17" s="4" t="n">
        <v>14</v>
      </c>
      <c r="H17" s="4" t="n">
        <v>11</v>
      </c>
      <c r="I17" s="4" t="n">
        <v>8</v>
      </c>
      <c r="J17" s="4" t="n">
        <v>3</v>
      </c>
      <c r="K17" s="4" t="n">
        <v>5</v>
      </c>
      <c r="L17" s="4" t="n">
        <f aca="false">SUM(B17:K17)</f>
        <v>160</v>
      </c>
    </row>
    <row r="18" customFormat="false" ht="15" hidden="false" customHeight="false" outlineLevel="0" collapsed="false">
      <c r="A18" s="3" t="s">
        <v>88</v>
      </c>
      <c r="B18" s="4" t="n">
        <v>37</v>
      </c>
      <c r="C18" s="4" t="n">
        <v>18</v>
      </c>
      <c r="D18" s="4" t="n">
        <v>14</v>
      </c>
      <c r="E18" s="4" t="n">
        <v>11</v>
      </c>
      <c r="F18" s="4" t="n">
        <v>10</v>
      </c>
      <c r="G18" s="4" t="n">
        <v>10</v>
      </c>
      <c r="H18" s="4" t="n">
        <v>8</v>
      </c>
      <c r="I18" s="4" t="n">
        <v>6</v>
      </c>
      <c r="J18" s="4" t="n">
        <v>2</v>
      </c>
      <c r="K18" s="4" t="n">
        <v>4</v>
      </c>
      <c r="L18" s="4" t="n">
        <f aca="false">SUM(B18:K18)</f>
        <v>120</v>
      </c>
    </row>
    <row r="19" customFormat="false" ht="15" hidden="false" customHeight="false" outlineLevel="0" collapsed="false">
      <c r="A19" s="3" t="s">
        <v>89</v>
      </c>
      <c r="B19" s="4" t="n">
        <v>24</v>
      </c>
      <c r="C19" s="4" t="n">
        <v>12</v>
      </c>
      <c r="D19" s="4" t="n">
        <v>10</v>
      </c>
      <c r="E19" s="4" t="n">
        <v>7</v>
      </c>
      <c r="F19" s="4" t="n">
        <v>6</v>
      </c>
      <c r="G19" s="4" t="n">
        <v>7</v>
      </c>
      <c r="H19" s="4" t="n">
        <v>6</v>
      </c>
      <c r="I19" s="4" t="n">
        <v>4</v>
      </c>
      <c r="J19" s="4" t="n">
        <v>2</v>
      </c>
      <c r="K19" s="4" t="n">
        <v>2</v>
      </c>
      <c r="L19" s="4" t="n">
        <f aca="false">SUM(B19:K19)</f>
        <v>80</v>
      </c>
    </row>
    <row r="20" customFormat="false" ht="15" hidden="false" customHeight="false" outlineLevel="0" collapsed="false">
      <c r="A20" s="3" t="s">
        <v>90</v>
      </c>
      <c r="B20" s="4" t="n">
        <v>24</v>
      </c>
      <c r="C20" s="4" t="n">
        <v>12</v>
      </c>
      <c r="D20" s="4" t="n">
        <v>10</v>
      </c>
      <c r="E20" s="4" t="n">
        <v>7</v>
      </c>
      <c r="F20" s="4" t="n">
        <v>6</v>
      </c>
      <c r="G20" s="4" t="n">
        <v>7</v>
      </c>
      <c r="H20" s="4" t="n">
        <v>6</v>
      </c>
      <c r="I20" s="4" t="n">
        <v>4</v>
      </c>
      <c r="J20" s="4" t="n">
        <v>1</v>
      </c>
      <c r="K20" s="4" t="n">
        <v>2</v>
      </c>
      <c r="L20" s="4" t="n">
        <f aca="false">SUM(B20:K20)</f>
        <v>79</v>
      </c>
    </row>
    <row r="21" customFormat="false" ht="15" hidden="false" customHeight="false" outlineLevel="0" collapsed="false">
      <c r="A21" s="3" t="s">
        <v>91</v>
      </c>
      <c r="B21" s="4" t="n">
        <v>24</v>
      </c>
      <c r="C21" s="4" t="n">
        <v>12</v>
      </c>
      <c r="D21" s="4" t="n">
        <v>10</v>
      </c>
      <c r="E21" s="4" t="n">
        <v>7</v>
      </c>
      <c r="F21" s="4" t="n">
        <v>6</v>
      </c>
      <c r="G21" s="4" t="n">
        <v>7</v>
      </c>
      <c r="H21" s="4" t="n">
        <v>6</v>
      </c>
      <c r="I21" s="4" t="n">
        <v>4</v>
      </c>
      <c r="J21" s="4" t="n">
        <v>1</v>
      </c>
      <c r="K21" s="4" t="n">
        <v>2</v>
      </c>
      <c r="L21" s="4" t="n">
        <f aca="false">SUM(B21:K21)</f>
        <v>79</v>
      </c>
    </row>
    <row r="22" customFormat="false" ht="15" hidden="false" customHeight="false" outlineLevel="0" collapsed="false">
      <c r="A22" s="3" t="s">
        <v>92</v>
      </c>
      <c r="B22" s="4" t="n">
        <v>12</v>
      </c>
      <c r="C22" s="4" t="n">
        <v>6</v>
      </c>
      <c r="D22" s="4" t="n">
        <v>5</v>
      </c>
      <c r="E22" s="4" t="n">
        <v>4</v>
      </c>
      <c r="F22" s="4" t="n">
        <v>3</v>
      </c>
      <c r="G22" s="4" t="n">
        <v>3</v>
      </c>
      <c r="H22" s="4" t="n">
        <v>3</v>
      </c>
      <c r="I22" s="4" t="n">
        <v>2</v>
      </c>
      <c r="J22" s="4" t="n">
        <v>1</v>
      </c>
      <c r="K22" s="4" t="n">
        <v>1</v>
      </c>
      <c r="L22" s="4" t="n">
        <f aca="false">SUM(B22:K22)</f>
        <v>40</v>
      </c>
    </row>
    <row r="23" customFormat="false" ht="15" hidden="false" customHeight="false" outlineLevel="0" collapsed="false">
      <c r="A23" s="3" t="s">
        <v>93</v>
      </c>
      <c r="B23" s="4" t="n">
        <v>12</v>
      </c>
      <c r="C23" s="4" t="n">
        <v>6</v>
      </c>
      <c r="D23" s="4" t="n">
        <v>5</v>
      </c>
      <c r="E23" s="4" t="n">
        <v>4</v>
      </c>
      <c r="F23" s="4" t="n">
        <v>3</v>
      </c>
      <c r="G23" s="4" t="n">
        <v>3</v>
      </c>
      <c r="H23" s="4" t="n">
        <v>3</v>
      </c>
      <c r="I23" s="4" t="n">
        <v>2</v>
      </c>
      <c r="J23" s="4" t="n">
        <v>1</v>
      </c>
      <c r="K23" s="4" t="n">
        <v>1</v>
      </c>
      <c r="L23" s="4" t="n">
        <f aca="false">SUM(B23:K23)</f>
        <v>40</v>
      </c>
    </row>
    <row r="24" customFormat="false" ht="15" hidden="false" customHeight="false" outlineLevel="0" collapsed="false">
      <c r="A24" s="6" t="s">
        <v>66</v>
      </c>
      <c r="B24" s="7" t="n">
        <f aca="false">SUM(B2:B23)</f>
        <v>2433</v>
      </c>
      <c r="C24" s="7" t="n">
        <f aca="false">SUM(C2:C23)</f>
        <v>1183</v>
      </c>
      <c r="D24" s="7" t="n">
        <f aca="false">SUM(D2:D23)</f>
        <v>967</v>
      </c>
      <c r="E24" s="7" t="n">
        <f aca="false">SUM(E2:E23)</f>
        <v>717</v>
      </c>
      <c r="F24" s="7" t="n">
        <f aca="false">SUM(F2:F23)</f>
        <v>650</v>
      </c>
      <c r="G24" s="7" t="n">
        <f aca="false">SUM(G2:G23)</f>
        <v>683</v>
      </c>
      <c r="H24" s="7" t="n">
        <f aca="false">SUM(H2:H23)</f>
        <v>567</v>
      </c>
      <c r="I24" s="7" t="n">
        <f aca="false">SUM(I2:I23)</f>
        <v>417</v>
      </c>
      <c r="J24" s="7" t="n">
        <f aca="false">SUM(J2:J23)</f>
        <v>150</v>
      </c>
      <c r="K24" s="7" t="n">
        <f aca="false">SUM(K2:K23)</f>
        <v>233</v>
      </c>
      <c r="L24" s="7" t="n">
        <f aca="false">SUM(L2:L23)</f>
        <v>8000</v>
      </c>
    </row>
    <row r="26" customFormat="false" ht="15" hidden="false" customHeight="false" outlineLevel="0" collapsed="false">
      <c r="A26" s="9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2" min="2" style="0" width="13"/>
  </cols>
  <sheetData>
    <row r="1" customFormat="false" ht="35.05" hidden="false" customHeight="false" outlineLevel="0" collapsed="false">
      <c r="A1" s="1" t="s">
        <v>70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customFormat="false" ht="15" hidden="false" customHeight="false" outlineLevel="0" collapsed="false">
      <c r="A2" s="3" t="s">
        <v>71</v>
      </c>
      <c r="B2" s="4" t="n">
        <v>195</v>
      </c>
      <c r="C2" s="4" t="n">
        <v>95</v>
      </c>
      <c r="D2" s="4" t="n">
        <v>77</v>
      </c>
      <c r="E2" s="4" t="n">
        <v>57</v>
      </c>
      <c r="F2" s="4" t="n">
        <v>52</v>
      </c>
      <c r="G2" s="4" t="n">
        <v>55</v>
      </c>
      <c r="H2" s="4" t="n">
        <v>45</v>
      </c>
      <c r="I2" s="4" t="n">
        <v>33</v>
      </c>
      <c r="J2" s="4" t="n">
        <v>12</v>
      </c>
      <c r="K2" s="4" t="n">
        <v>19</v>
      </c>
      <c r="L2" s="4" t="n">
        <f aca="false">SUM(B2:K2)</f>
        <v>640</v>
      </c>
    </row>
    <row r="3" customFormat="false" ht="15" hidden="false" customHeight="false" outlineLevel="0" collapsed="false">
      <c r="A3" s="3" t="s">
        <v>72</v>
      </c>
      <c r="B3" s="4" t="n">
        <v>170</v>
      </c>
      <c r="C3" s="4" t="n">
        <v>83</v>
      </c>
      <c r="D3" s="4" t="n">
        <v>68</v>
      </c>
      <c r="E3" s="4" t="n">
        <v>50</v>
      </c>
      <c r="F3" s="4" t="n">
        <v>46</v>
      </c>
      <c r="G3" s="4" t="n">
        <v>48</v>
      </c>
      <c r="H3" s="4" t="n">
        <v>40</v>
      </c>
      <c r="I3" s="4" t="n">
        <v>29</v>
      </c>
      <c r="J3" s="4" t="n">
        <v>10</v>
      </c>
      <c r="K3" s="4" t="n">
        <v>16</v>
      </c>
      <c r="L3" s="4" t="n">
        <f aca="false">SUM(B3:K3)</f>
        <v>560</v>
      </c>
    </row>
    <row r="4" customFormat="false" ht="15" hidden="false" customHeight="false" outlineLevel="0" collapsed="false">
      <c r="A4" s="3" t="s">
        <v>73</v>
      </c>
      <c r="B4" s="4" t="n">
        <v>140</v>
      </c>
      <c r="C4" s="4" t="n">
        <v>68</v>
      </c>
      <c r="D4" s="4" t="n">
        <v>55</v>
      </c>
      <c r="E4" s="4" t="n">
        <v>41</v>
      </c>
      <c r="F4" s="4" t="n">
        <v>37</v>
      </c>
      <c r="G4" s="4" t="n">
        <v>39</v>
      </c>
      <c r="H4" s="4" t="n">
        <v>32</v>
      </c>
      <c r="I4" s="4" t="n">
        <v>24</v>
      </c>
      <c r="J4" s="4" t="n">
        <v>9</v>
      </c>
      <c r="K4" s="4" t="n">
        <v>14</v>
      </c>
      <c r="L4" s="4" t="n">
        <f aca="false">SUM(B4:K4)</f>
        <v>459</v>
      </c>
    </row>
    <row r="5" customFormat="false" ht="15" hidden="false" customHeight="false" outlineLevel="0" collapsed="false">
      <c r="A5" s="3" t="s">
        <v>74</v>
      </c>
      <c r="B5" s="4" t="n">
        <v>67</v>
      </c>
      <c r="C5" s="4" t="n">
        <v>32</v>
      </c>
      <c r="D5" s="4" t="n">
        <v>27</v>
      </c>
      <c r="E5" s="4" t="n">
        <v>20</v>
      </c>
      <c r="F5" s="4" t="n">
        <v>18</v>
      </c>
      <c r="G5" s="4" t="n">
        <v>19</v>
      </c>
      <c r="H5" s="4" t="n">
        <v>16</v>
      </c>
      <c r="I5" s="4" t="n">
        <v>12</v>
      </c>
      <c r="J5" s="4" t="n">
        <v>4</v>
      </c>
      <c r="K5" s="4" t="n">
        <v>6</v>
      </c>
      <c r="L5" s="4" t="n">
        <f aca="false">SUM(B5:K5)</f>
        <v>221</v>
      </c>
    </row>
    <row r="6" customFormat="false" ht="15" hidden="false" customHeight="false" outlineLevel="0" collapsed="false">
      <c r="A6" s="3" t="s">
        <v>77</v>
      </c>
      <c r="B6" s="4" t="n">
        <v>67</v>
      </c>
      <c r="C6" s="4" t="n">
        <v>32</v>
      </c>
      <c r="D6" s="4" t="n">
        <v>27</v>
      </c>
      <c r="E6" s="4" t="n">
        <v>20</v>
      </c>
      <c r="F6" s="4" t="n">
        <v>18</v>
      </c>
      <c r="G6" s="4" t="n">
        <v>19</v>
      </c>
      <c r="H6" s="4" t="n">
        <v>16</v>
      </c>
      <c r="I6" s="4" t="n">
        <v>12</v>
      </c>
      <c r="J6" s="4" t="n">
        <v>4</v>
      </c>
      <c r="K6" s="4" t="n">
        <v>6</v>
      </c>
      <c r="L6" s="4" t="n">
        <f aca="false">SUM(B6:K6)</f>
        <v>221</v>
      </c>
    </row>
    <row r="7" customFormat="false" ht="15" hidden="false" customHeight="false" outlineLevel="0" collapsed="false">
      <c r="A7" s="3" t="s">
        <v>75</v>
      </c>
      <c r="B7" s="4" t="n">
        <v>67</v>
      </c>
      <c r="C7" s="4" t="n">
        <v>32</v>
      </c>
      <c r="D7" s="4" t="n">
        <v>27</v>
      </c>
      <c r="E7" s="4" t="n">
        <v>20</v>
      </c>
      <c r="F7" s="4" t="n">
        <v>18</v>
      </c>
      <c r="G7" s="4" t="n">
        <v>19</v>
      </c>
      <c r="H7" s="4" t="n">
        <v>16</v>
      </c>
      <c r="I7" s="4" t="n">
        <v>12</v>
      </c>
      <c r="J7" s="4" t="n">
        <v>4</v>
      </c>
      <c r="K7" s="4" t="n">
        <v>6</v>
      </c>
      <c r="L7" s="4" t="n">
        <f aca="false">SUM(B7:K7)</f>
        <v>221</v>
      </c>
    </row>
    <row r="8" customFormat="false" ht="15" hidden="false" customHeight="false" outlineLevel="0" collapsed="false">
      <c r="A8" s="3" t="s">
        <v>78</v>
      </c>
      <c r="B8" s="4" t="n">
        <v>61</v>
      </c>
      <c r="C8" s="4" t="n">
        <v>29</v>
      </c>
      <c r="D8" s="4" t="n">
        <v>24</v>
      </c>
      <c r="E8" s="4" t="n">
        <v>18</v>
      </c>
      <c r="F8" s="4" t="n">
        <v>16</v>
      </c>
      <c r="G8" s="4" t="n">
        <v>17</v>
      </c>
      <c r="H8" s="4" t="n">
        <v>14</v>
      </c>
      <c r="I8" s="4" t="n">
        <v>11</v>
      </c>
      <c r="J8" s="4" t="n">
        <v>4</v>
      </c>
      <c r="K8" s="4" t="n">
        <v>6</v>
      </c>
      <c r="L8" s="4" t="n">
        <f aca="false">SUM(B8:K8)</f>
        <v>200</v>
      </c>
    </row>
    <row r="9" customFormat="false" ht="15" hidden="false" customHeight="false" outlineLevel="0" collapsed="false">
      <c r="A9" s="3" t="s">
        <v>79</v>
      </c>
      <c r="B9" s="4" t="n">
        <v>61</v>
      </c>
      <c r="C9" s="4" t="n">
        <v>29</v>
      </c>
      <c r="D9" s="4" t="n">
        <v>24</v>
      </c>
      <c r="E9" s="4" t="n">
        <v>18</v>
      </c>
      <c r="F9" s="4" t="n">
        <v>16</v>
      </c>
      <c r="G9" s="4" t="n">
        <v>17</v>
      </c>
      <c r="H9" s="4" t="n">
        <v>14</v>
      </c>
      <c r="I9" s="4" t="n">
        <v>11</v>
      </c>
      <c r="J9" s="4" t="n">
        <v>4</v>
      </c>
      <c r="K9" s="4" t="n">
        <v>6</v>
      </c>
      <c r="L9" s="4" t="n">
        <f aca="false">SUM(B9:K9)</f>
        <v>200</v>
      </c>
    </row>
    <row r="10" customFormat="false" ht="15" hidden="false" customHeight="false" outlineLevel="0" collapsed="false">
      <c r="A10" s="3" t="s">
        <v>80</v>
      </c>
      <c r="B10" s="4" t="n">
        <v>55</v>
      </c>
      <c r="C10" s="4" t="n">
        <v>27</v>
      </c>
      <c r="D10" s="4" t="n">
        <v>22</v>
      </c>
      <c r="E10" s="4" t="n">
        <v>16</v>
      </c>
      <c r="F10" s="4" t="n">
        <v>15</v>
      </c>
      <c r="G10" s="4" t="n">
        <v>15</v>
      </c>
      <c r="H10" s="4" t="n">
        <v>13</v>
      </c>
      <c r="I10" s="4" t="n">
        <v>9</v>
      </c>
      <c r="J10" s="4" t="n">
        <v>3</v>
      </c>
      <c r="K10" s="4" t="n">
        <v>5</v>
      </c>
      <c r="L10" s="4" t="n">
        <f aca="false">SUM(B10:K10)</f>
        <v>180</v>
      </c>
    </row>
    <row r="11" customFormat="false" ht="15" hidden="false" customHeight="false" outlineLevel="0" collapsed="false">
      <c r="A11" s="3" t="s">
        <v>81</v>
      </c>
      <c r="B11" s="4" t="n">
        <v>43</v>
      </c>
      <c r="C11" s="4" t="n">
        <v>21</v>
      </c>
      <c r="D11" s="4" t="n">
        <v>17</v>
      </c>
      <c r="E11" s="4" t="n">
        <v>12</v>
      </c>
      <c r="F11" s="4" t="n">
        <v>11</v>
      </c>
      <c r="G11" s="4" t="n">
        <v>12</v>
      </c>
      <c r="H11" s="4" t="n">
        <v>10</v>
      </c>
      <c r="I11" s="4" t="n">
        <v>7</v>
      </c>
      <c r="J11" s="4" t="n">
        <v>3</v>
      </c>
      <c r="K11" s="4" t="n">
        <v>4</v>
      </c>
      <c r="L11" s="4" t="n">
        <f aca="false">SUM(B11:K11)</f>
        <v>140</v>
      </c>
    </row>
    <row r="12" customFormat="false" ht="15" hidden="false" customHeight="false" outlineLevel="0" collapsed="false">
      <c r="A12" s="3" t="s">
        <v>82</v>
      </c>
      <c r="B12" s="4" t="n">
        <v>43</v>
      </c>
      <c r="C12" s="4" t="n">
        <v>21</v>
      </c>
      <c r="D12" s="4" t="n">
        <v>17</v>
      </c>
      <c r="E12" s="4" t="n">
        <v>12</v>
      </c>
      <c r="F12" s="4" t="n">
        <v>11</v>
      </c>
      <c r="G12" s="4" t="n">
        <v>12</v>
      </c>
      <c r="H12" s="4" t="n">
        <v>10</v>
      </c>
      <c r="I12" s="4" t="n">
        <v>7</v>
      </c>
      <c r="J12" s="4" t="n">
        <v>3</v>
      </c>
      <c r="K12" s="4" t="n">
        <v>4</v>
      </c>
      <c r="L12" s="4" t="n">
        <f aca="false">SUM(B12:K12)</f>
        <v>140</v>
      </c>
    </row>
    <row r="13" customFormat="false" ht="15" hidden="false" customHeight="false" outlineLevel="0" collapsed="false">
      <c r="A13" s="3" t="s">
        <v>83</v>
      </c>
      <c r="B13" s="4" t="n">
        <v>43</v>
      </c>
      <c r="C13" s="4" t="n">
        <v>21</v>
      </c>
      <c r="D13" s="4" t="n">
        <v>17</v>
      </c>
      <c r="E13" s="4" t="n">
        <v>12</v>
      </c>
      <c r="F13" s="4" t="n">
        <v>11</v>
      </c>
      <c r="G13" s="4" t="n">
        <v>12</v>
      </c>
      <c r="H13" s="4" t="n">
        <v>10</v>
      </c>
      <c r="I13" s="4" t="n">
        <v>7</v>
      </c>
      <c r="J13" s="4" t="n">
        <v>3</v>
      </c>
      <c r="K13" s="4" t="n">
        <v>4</v>
      </c>
      <c r="L13" s="4" t="n">
        <f aca="false">SUM(B13:K13)</f>
        <v>140</v>
      </c>
    </row>
    <row r="14" customFormat="false" ht="15" hidden="false" customHeight="false" outlineLevel="0" collapsed="false">
      <c r="A14" s="3" t="s">
        <v>84</v>
      </c>
      <c r="B14" s="4" t="n">
        <v>43</v>
      </c>
      <c r="C14" s="4" t="n">
        <v>21</v>
      </c>
      <c r="D14" s="4" t="n">
        <v>17</v>
      </c>
      <c r="E14" s="4" t="n">
        <v>12</v>
      </c>
      <c r="F14" s="4" t="n">
        <v>11</v>
      </c>
      <c r="G14" s="4" t="n">
        <v>12</v>
      </c>
      <c r="H14" s="4" t="n">
        <v>10</v>
      </c>
      <c r="I14" s="4" t="n">
        <v>7</v>
      </c>
      <c r="J14" s="4" t="n">
        <v>3</v>
      </c>
      <c r="K14" s="4" t="n">
        <v>4</v>
      </c>
      <c r="L14" s="4" t="n">
        <f aca="false">SUM(B14:K14)</f>
        <v>140</v>
      </c>
    </row>
    <row r="15" customFormat="false" ht="15" hidden="false" customHeight="false" outlineLevel="0" collapsed="false">
      <c r="A15" s="3" t="s">
        <v>85</v>
      </c>
      <c r="B15" s="4" t="n">
        <v>36</v>
      </c>
      <c r="C15" s="4" t="n">
        <v>18</v>
      </c>
      <c r="D15" s="4" t="n">
        <v>14</v>
      </c>
      <c r="E15" s="4" t="n">
        <v>11</v>
      </c>
      <c r="F15" s="4" t="n">
        <v>10</v>
      </c>
      <c r="G15" s="4" t="n">
        <v>10</v>
      </c>
      <c r="H15" s="4" t="n">
        <v>8</v>
      </c>
      <c r="I15" s="4" t="n">
        <v>6</v>
      </c>
      <c r="J15" s="4" t="n">
        <v>2</v>
      </c>
      <c r="K15" s="4" t="n">
        <v>4</v>
      </c>
      <c r="L15" s="4" t="n">
        <f aca="false">SUM(B15:K15)</f>
        <v>119</v>
      </c>
    </row>
    <row r="16" customFormat="false" ht="15" hidden="false" customHeight="false" outlineLevel="0" collapsed="false">
      <c r="A16" s="3" t="s">
        <v>86</v>
      </c>
      <c r="B16" s="4" t="n">
        <v>36</v>
      </c>
      <c r="C16" s="4" t="n">
        <v>18</v>
      </c>
      <c r="D16" s="4" t="n">
        <v>14</v>
      </c>
      <c r="E16" s="4" t="n">
        <v>11</v>
      </c>
      <c r="F16" s="4" t="n">
        <v>10</v>
      </c>
      <c r="G16" s="4" t="n">
        <v>10</v>
      </c>
      <c r="H16" s="4" t="n">
        <v>8</v>
      </c>
      <c r="I16" s="4" t="n">
        <v>6</v>
      </c>
      <c r="J16" s="4" t="n">
        <v>2</v>
      </c>
      <c r="K16" s="4" t="n">
        <v>4</v>
      </c>
      <c r="L16" s="4" t="n">
        <f aca="false">SUM(B16:K16)</f>
        <v>119</v>
      </c>
    </row>
    <row r="17" customFormat="false" ht="15" hidden="false" customHeight="false" outlineLevel="0" collapsed="false">
      <c r="A17" s="3" t="s">
        <v>87</v>
      </c>
      <c r="B17" s="4" t="n">
        <v>24</v>
      </c>
      <c r="C17" s="4" t="n">
        <v>12</v>
      </c>
      <c r="D17" s="4" t="n">
        <v>10</v>
      </c>
      <c r="E17" s="4" t="n">
        <v>7</v>
      </c>
      <c r="F17" s="4" t="n">
        <v>7</v>
      </c>
      <c r="G17" s="4" t="n">
        <v>7</v>
      </c>
      <c r="H17" s="4" t="n">
        <v>6</v>
      </c>
      <c r="I17" s="4" t="n">
        <v>4</v>
      </c>
      <c r="J17" s="4" t="n">
        <v>1</v>
      </c>
      <c r="K17" s="4" t="n">
        <v>2</v>
      </c>
      <c r="L17" s="4" t="n">
        <f aca="false">SUM(B17:K17)</f>
        <v>80</v>
      </c>
    </row>
    <row r="18" customFormat="false" ht="15" hidden="false" customHeight="false" outlineLevel="0" collapsed="false">
      <c r="A18" s="3" t="s">
        <v>88</v>
      </c>
      <c r="B18" s="4" t="n">
        <v>18</v>
      </c>
      <c r="C18" s="4" t="n">
        <v>9</v>
      </c>
      <c r="D18" s="4" t="n">
        <v>7</v>
      </c>
      <c r="E18" s="4" t="n">
        <v>5</v>
      </c>
      <c r="F18" s="4" t="n">
        <v>5</v>
      </c>
      <c r="G18" s="4" t="n">
        <v>5</v>
      </c>
      <c r="H18" s="4" t="n">
        <v>4</v>
      </c>
      <c r="I18" s="4" t="n">
        <v>3</v>
      </c>
      <c r="J18" s="4" t="n">
        <v>1</v>
      </c>
      <c r="K18" s="4" t="n">
        <v>2</v>
      </c>
      <c r="L18" s="4" t="n">
        <f aca="false">SUM(B18:K18)</f>
        <v>59</v>
      </c>
    </row>
    <row r="19" customFormat="false" ht="15" hidden="false" customHeight="false" outlineLevel="0" collapsed="false">
      <c r="A19" s="3" t="s">
        <v>89</v>
      </c>
      <c r="B19" s="4" t="n">
        <v>12</v>
      </c>
      <c r="C19" s="4" t="n">
        <v>6</v>
      </c>
      <c r="D19" s="4" t="n">
        <v>5</v>
      </c>
      <c r="E19" s="4" t="n">
        <v>4</v>
      </c>
      <c r="F19" s="4" t="n">
        <v>3</v>
      </c>
      <c r="G19" s="4" t="n">
        <v>4</v>
      </c>
      <c r="H19" s="4" t="n">
        <v>3</v>
      </c>
      <c r="I19" s="4" t="n">
        <v>2</v>
      </c>
      <c r="J19" s="4" t="n">
        <v>1</v>
      </c>
      <c r="K19" s="4" t="n">
        <v>1</v>
      </c>
      <c r="L19" s="4" t="n">
        <f aca="false">SUM(B19:K19)</f>
        <v>41</v>
      </c>
    </row>
    <row r="20" customFormat="false" ht="15" hidden="false" customHeight="false" outlineLevel="0" collapsed="false">
      <c r="A20" s="3" t="s">
        <v>90</v>
      </c>
      <c r="B20" s="4" t="n">
        <v>12</v>
      </c>
      <c r="C20" s="4" t="n">
        <v>6</v>
      </c>
      <c r="D20" s="4" t="n">
        <v>5</v>
      </c>
      <c r="E20" s="4" t="n">
        <v>4</v>
      </c>
      <c r="F20" s="4" t="n">
        <v>3</v>
      </c>
      <c r="G20" s="4" t="n">
        <v>3</v>
      </c>
      <c r="H20" s="4" t="n">
        <v>3</v>
      </c>
      <c r="I20" s="4" t="n">
        <v>2</v>
      </c>
      <c r="J20" s="4" t="n">
        <v>1</v>
      </c>
      <c r="K20" s="4" t="n">
        <v>1</v>
      </c>
      <c r="L20" s="4" t="n">
        <f aca="false">SUM(B20:K20)</f>
        <v>40</v>
      </c>
    </row>
    <row r="21" customFormat="false" ht="15" hidden="false" customHeight="false" outlineLevel="0" collapsed="false">
      <c r="A21" s="3" t="s">
        <v>91</v>
      </c>
      <c r="B21" s="4" t="n">
        <v>12</v>
      </c>
      <c r="C21" s="4" t="n">
        <v>6</v>
      </c>
      <c r="D21" s="4" t="n">
        <v>5</v>
      </c>
      <c r="E21" s="4" t="n">
        <v>4</v>
      </c>
      <c r="F21" s="4" t="n">
        <v>3</v>
      </c>
      <c r="G21" s="4" t="n">
        <v>3</v>
      </c>
      <c r="H21" s="4" t="n">
        <v>3</v>
      </c>
      <c r="I21" s="4" t="n">
        <v>2</v>
      </c>
      <c r="J21" s="4" t="n">
        <v>1</v>
      </c>
      <c r="K21" s="4" t="n">
        <v>1</v>
      </c>
      <c r="L21" s="4" t="n">
        <f aca="false">SUM(B21:K21)</f>
        <v>40</v>
      </c>
    </row>
    <row r="22" customFormat="false" ht="15" hidden="false" customHeight="false" outlineLevel="0" collapsed="false">
      <c r="A22" s="3" t="s">
        <v>92</v>
      </c>
      <c r="B22" s="4" t="n">
        <v>6</v>
      </c>
      <c r="C22" s="4" t="n">
        <v>3</v>
      </c>
      <c r="D22" s="4" t="n">
        <v>2</v>
      </c>
      <c r="E22" s="4" t="n">
        <v>2</v>
      </c>
      <c r="F22" s="4" t="n">
        <v>2</v>
      </c>
      <c r="G22" s="4" t="n">
        <v>2</v>
      </c>
      <c r="H22" s="4" t="n">
        <v>1</v>
      </c>
      <c r="I22" s="4" t="n">
        <v>1</v>
      </c>
      <c r="J22" s="4" t="n">
        <v>0</v>
      </c>
      <c r="K22" s="4" t="n">
        <v>1</v>
      </c>
      <c r="L22" s="4" t="n">
        <f aca="false">SUM(B22:K22)</f>
        <v>20</v>
      </c>
    </row>
    <row r="23" customFormat="false" ht="15" hidden="false" customHeight="false" outlineLevel="0" collapsed="false">
      <c r="A23" s="3" t="s">
        <v>93</v>
      </c>
      <c r="B23" s="4" t="n">
        <v>6</v>
      </c>
      <c r="C23" s="4" t="n">
        <v>3</v>
      </c>
      <c r="D23" s="4" t="n">
        <v>2</v>
      </c>
      <c r="E23" s="4" t="n">
        <v>2</v>
      </c>
      <c r="F23" s="4" t="n">
        <v>2</v>
      </c>
      <c r="G23" s="4" t="n">
        <v>2</v>
      </c>
      <c r="H23" s="4" t="n">
        <v>1</v>
      </c>
      <c r="I23" s="4" t="n">
        <v>1</v>
      </c>
      <c r="J23" s="4" t="n">
        <v>0</v>
      </c>
      <c r="K23" s="4" t="n">
        <v>1</v>
      </c>
      <c r="L23" s="4" t="n">
        <f aca="false">SUM(B23:K23)</f>
        <v>20</v>
      </c>
    </row>
    <row r="24" customFormat="false" ht="15" hidden="false" customHeight="false" outlineLevel="0" collapsed="false">
      <c r="A24" s="6" t="s">
        <v>66</v>
      </c>
      <c r="B24" s="7" t="n">
        <f aca="false">SUM(B2:B23)</f>
        <v>1217</v>
      </c>
      <c r="C24" s="7" t="n">
        <f aca="false">SUM(C2:C23)</f>
        <v>592</v>
      </c>
      <c r="D24" s="7" t="n">
        <f aca="false">SUM(D2:D23)</f>
        <v>483</v>
      </c>
      <c r="E24" s="7" t="n">
        <f aca="false">SUM(E2:E23)</f>
        <v>358</v>
      </c>
      <c r="F24" s="7" t="n">
        <f aca="false">SUM(F2:F23)</f>
        <v>325</v>
      </c>
      <c r="G24" s="7" t="n">
        <f aca="false">SUM(G2:G23)</f>
        <v>342</v>
      </c>
      <c r="H24" s="7" t="n">
        <f aca="false">SUM(H2:H23)</f>
        <v>283</v>
      </c>
      <c r="I24" s="7" t="n">
        <f aca="false">SUM(I2:I23)</f>
        <v>208</v>
      </c>
      <c r="J24" s="7" t="n">
        <f aca="false">SUM(J2:J23)</f>
        <v>75</v>
      </c>
      <c r="K24" s="7" t="n">
        <f aca="false">SUM(K2:K23)</f>
        <v>117</v>
      </c>
      <c r="L24" s="7" t="n">
        <f aca="false">SUM(L2:L23)</f>
        <v>4000</v>
      </c>
    </row>
    <row r="26" customFormat="false" ht="15" hidden="false" customHeight="false" outlineLevel="0" collapsed="false">
      <c r="A26" s="9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2026-09-08T21:56:14Z</dcterms:created>
  <dc:creator>openpyxl</dc:creator>
  <dc:description/>
  <dc:language>en-US</dc:language>
  <cp:lastModifiedBy/>
  <dcterms:modified xsi:type="dcterms:W3CDTF">2026-09-08T21:56:14Z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
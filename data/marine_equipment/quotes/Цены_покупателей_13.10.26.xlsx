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 activeTab="4"/>
  </bookViews>
  <sheets>
    <sheet name="Приложение № 2 (ПИТЕР)" sheetId="1" r:id="rId1"/>
    <sheet name="Приложение №3 (Питер)" sheetId="2" r:id="rId2"/>
    <sheet name="нет в списках " sheetId="3" r:id="rId3"/>
    <sheet name="Лист4" sheetId="4" r:id="rId4"/>
    <sheet name="Цены ,2026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<sst xmlns="http://schemas.openxmlformats.org/spreadsheetml/2006/main" count="1177" uniqueCount="358">
  <si>
    <t>№</t>
  </si>
  <si>
    <t>Наименование</t>
  </si>
  <si>
    <t>Обозначение</t>
  </si>
  <si>
    <t xml:space="preserve">состояние </t>
  </si>
  <si>
    <t xml:space="preserve">вес кг  ,1 шт </t>
  </si>
  <si>
    <t xml:space="preserve">Кол-во по приложению </t>
  </si>
  <si>
    <t xml:space="preserve">Кол-во факт </t>
  </si>
  <si>
    <t xml:space="preserve">общий вес </t>
  </si>
  <si>
    <t xml:space="preserve">примечание </t>
  </si>
  <si>
    <t>Захлопка фланцевая вертикальная Ду50Ру63</t>
  </si>
  <si>
    <t>529-35.1400-01</t>
  </si>
  <si>
    <t xml:space="preserve">б/у </t>
  </si>
  <si>
    <t>Захлопка фланцевая проходная Ду100Ру6,3</t>
  </si>
  <si>
    <t>529-35.1406-01</t>
  </si>
  <si>
    <t>Захлопка фланцевая горизон. Ду100 Ру10</t>
  </si>
  <si>
    <t>529-03.074</t>
  </si>
  <si>
    <r>
      <rPr>
        <sz val="11"/>
        <color rgb="FF000000"/>
        <rFont val="Times New Roman"/>
        <charset val="134"/>
      </rPr>
      <t>Захлопка фланцевая угловая Ду100Ру</t>
    </r>
    <r>
      <rPr>
        <sz val="11"/>
        <color rgb="FFFF0000"/>
        <rFont val="Times New Roman"/>
        <charset val="134"/>
      </rPr>
      <t>6,3</t>
    </r>
  </si>
  <si>
    <t>529-35-1405-01</t>
  </si>
  <si>
    <r>
      <rPr>
        <sz val="11"/>
        <color rgb="FF000000"/>
        <rFont val="Times New Roman"/>
        <charset val="134"/>
      </rPr>
      <t xml:space="preserve">Клапан фланцевый проходной Ду125 </t>
    </r>
    <r>
      <rPr>
        <sz val="11"/>
        <color rgb="FFFF0000"/>
        <rFont val="Times New Roman"/>
        <charset val="134"/>
      </rPr>
      <t>Ру 10</t>
    </r>
  </si>
  <si>
    <t>521-35.3455-02</t>
  </si>
  <si>
    <t>б/у</t>
  </si>
  <si>
    <t>Клапан фланцевый проходной Ду125 Ру 10</t>
  </si>
  <si>
    <t>521-03.491</t>
  </si>
  <si>
    <t xml:space="preserve">без чертежа </t>
  </si>
  <si>
    <t>Клапан штуцерный проходной Ду 10 Ру400</t>
  </si>
  <si>
    <t>521-35.3238</t>
  </si>
  <si>
    <t>новый</t>
  </si>
  <si>
    <t>Клапан педальный Ду25</t>
  </si>
  <si>
    <t>М528-03.001</t>
  </si>
  <si>
    <t>Клапан педальный Ду25 новый приход</t>
  </si>
  <si>
    <t>Клапан угловой с присоединением под дюрит Ду50Ру4</t>
  </si>
  <si>
    <t>521-03.445-04</t>
  </si>
  <si>
    <t>Клапан невозв-запорн.с присоед.под дюрит прох. Ду 50 Ру6</t>
  </si>
  <si>
    <t>522-03.124-04</t>
  </si>
  <si>
    <t>Клапан фланцевый проходной титановые Ду50Ру10</t>
  </si>
  <si>
    <t>521-182.110</t>
  </si>
  <si>
    <t>Клапан фланцевый проходной титановые Ду100Ру10</t>
  </si>
  <si>
    <t>521-182.116</t>
  </si>
  <si>
    <r>
      <rPr>
        <sz val="11"/>
        <color rgb="FF000000"/>
        <rFont val="Times New Roman"/>
        <charset val="134"/>
      </rPr>
      <t xml:space="preserve">Клапан невозв-запор.цапковый угловой 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под дюрит Ду20Ру6</t>
    </r>
  </si>
  <si>
    <t>522-03.123</t>
  </si>
  <si>
    <t>(Кнопка)Клапан самозакрывающий проходной муфтовый Ду15Ру3</t>
  </si>
  <si>
    <t>528-35.176</t>
  </si>
  <si>
    <t>Клапан штуцерный угловой Ду10 Р160</t>
  </si>
  <si>
    <t>522-03.149</t>
  </si>
  <si>
    <t>Клапан штуцерный угловой Ду20 Ру160</t>
  </si>
  <si>
    <t>521-03.479</t>
  </si>
  <si>
    <t>Клапан штуцерный угловой Ду20 Ру100</t>
  </si>
  <si>
    <t>521-01.468-05</t>
  </si>
  <si>
    <t>Клапан штуцерный угловой Ду32Ру100</t>
  </si>
  <si>
    <t>521-01.468-07</t>
  </si>
  <si>
    <t>521-01.464-07</t>
  </si>
  <si>
    <t>521-01.464-06</t>
  </si>
  <si>
    <t>522-01.500-07</t>
  </si>
  <si>
    <t>Клапан штуцерный угловой Рр150/10</t>
  </si>
  <si>
    <t>521-ц22п</t>
  </si>
  <si>
    <r>
      <rPr>
        <sz val="11"/>
        <color rgb="FF000000"/>
        <rFont val="Times New Roman"/>
        <charset val="134"/>
      </rPr>
      <t xml:space="preserve">Клапан штуцерный угловой Ду </t>
    </r>
    <r>
      <rPr>
        <sz val="11"/>
        <color rgb="FFFF0000"/>
        <rFont val="Times New Roman"/>
        <charset val="134"/>
      </rPr>
      <t>15</t>
    </r>
  </si>
  <si>
    <t>521--01.468-08</t>
  </si>
  <si>
    <r>
      <rPr>
        <sz val="11"/>
        <color rgb="FF000000"/>
        <rFont val="Times New Roman"/>
        <charset val="134"/>
      </rPr>
      <t xml:space="preserve">Клапан штуцерный угловой Ду 15 </t>
    </r>
    <r>
      <rPr>
        <strike/>
        <sz val="11"/>
        <color rgb="FF000000"/>
        <rFont val="Times New Roman"/>
        <charset val="134"/>
      </rPr>
      <t>НЕРЖ</t>
    </r>
  </si>
  <si>
    <r>
      <rPr>
        <sz val="11"/>
        <color rgb="FF000000"/>
        <rFont val="Times New Roman"/>
        <charset val="134"/>
      </rPr>
      <t>521-03.47</t>
    </r>
    <r>
      <rPr>
        <sz val="11"/>
        <color rgb="FFFF0000"/>
        <rFont val="Times New Roman"/>
        <charset val="134"/>
      </rPr>
      <t>8</t>
    </r>
    <r>
      <rPr>
        <sz val="11"/>
        <color rgb="FF000000"/>
        <rFont val="Times New Roman"/>
        <charset val="134"/>
      </rPr>
      <t>-01</t>
    </r>
  </si>
  <si>
    <r>
      <rPr>
        <sz val="11"/>
        <color rgb="FF000000"/>
        <rFont val="Times New Roman"/>
        <charset val="134"/>
      </rPr>
      <t>Клапан штуцерный угловой Ду25</t>
    </r>
    <r>
      <rPr>
        <sz val="11"/>
        <color rgb="FFFF0000"/>
        <rFont val="Times New Roman"/>
        <charset val="134"/>
      </rPr>
      <t xml:space="preserve"> Ру 100</t>
    </r>
    <r>
      <rPr>
        <sz val="11"/>
        <color rgb="FF000000"/>
        <rFont val="Times New Roman"/>
        <charset val="134"/>
      </rPr>
      <t xml:space="preserve"> </t>
    </r>
  </si>
  <si>
    <t>521--35.3363</t>
  </si>
  <si>
    <t>Клапан редукционный штуцерный угловой Ду10Ру200…30 с манометром</t>
  </si>
  <si>
    <t>525-35.2634</t>
  </si>
  <si>
    <t>б/у?</t>
  </si>
  <si>
    <t>525-35.2634-04</t>
  </si>
  <si>
    <r>
      <rPr>
        <sz val="11"/>
        <color rgb="FF000000"/>
        <rFont val="Times New Roman"/>
        <charset val="134"/>
      </rPr>
      <t xml:space="preserve">Клапан для манометра штущерный сальниковый Ду6 Ру100 новый                                                                                                       </t>
    </r>
    <r>
      <rPr>
        <sz val="11"/>
        <color rgb="FFFF0000"/>
        <rFont val="Times New Roman"/>
        <charset val="134"/>
      </rPr>
      <t xml:space="preserve">(521-35.3434 -8 шт , 521-02.013 -86 шт , 521-35.3434-04 -30 шт) </t>
    </r>
  </si>
  <si>
    <t>521-02.013</t>
  </si>
  <si>
    <t xml:space="preserve">новый </t>
  </si>
  <si>
    <t>отгружено 29.09.26</t>
  </si>
  <si>
    <t>Клапан редукционный штуц.проход.односедельный Ду20Ру400 у входа</t>
  </si>
  <si>
    <t>525-03.044</t>
  </si>
  <si>
    <t>новый ?</t>
  </si>
  <si>
    <t xml:space="preserve">еще раз посчитать </t>
  </si>
  <si>
    <t>Клапан с электромагнитным ручным управлением Ду20/10 перем. 220В</t>
  </si>
  <si>
    <t>587-35.8490-04</t>
  </si>
  <si>
    <r>
      <rPr>
        <sz val="11"/>
        <color rgb="FF000000"/>
        <rFont val="Times New Roman"/>
        <charset val="134"/>
      </rPr>
      <t xml:space="preserve">Клапан муфтовый проходной запорный Ду25Ру16                             </t>
    </r>
    <r>
      <rPr>
        <sz val="11"/>
        <color rgb="FFFF0000"/>
        <rFont val="Times New Roman"/>
        <charset val="134"/>
      </rPr>
      <t xml:space="preserve">(Ду25Ру16 -1 шт ; Ду25Ру10 -1шт ) </t>
    </r>
  </si>
  <si>
    <t>521-03.124</t>
  </si>
  <si>
    <t>Клапан предохранительный штуцерный сигнальный Ду6 Ру100-230</t>
  </si>
  <si>
    <t>524-35.2423-01</t>
  </si>
  <si>
    <t>Клапан предохранительный штуцерный сигнальный Ду10Ру1,3-6,5</t>
  </si>
  <si>
    <t>524-03.174</t>
  </si>
  <si>
    <t>Клапан предохранительный штуцерный сигнальный Ду10Ру2,5-6,5</t>
  </si>
  <si>
    <t>524-03.173</t>
  </si>
  <si>
    <t>Клапан пусковой Ду20Ру125</t>
  </si>
  <si>
    <t>587-03.080</t>
  </si>
  <si>
    <t>Клапан пусковой Ду32Ру125</t>
  </si>
  <si>
    <t>587-03.082</t>
  </si>
  <si>
    <t>Клапан паровой Ду65Ру10</t>
  </si>
  <si>
    <t>581-03.034</t>
  </si>
  <si>
    <t>новый?</t>
  </si>
  <si>
    <t>Коробка 3-х клап.фланцевая Ду50</t>
  </si>
  <si>
    <t xml:space="preserve">перепроверить </t>
  </si>
  <si>
    <t>Коробка 3-х клап.фланцевая Ду80</t>
  </si>
  <si>
    <t>Коробка 3-х клап.фланцевая Ду100</t>
  </si>
  <si>
    <t>Коробка 2-х клапановая фланцевая Ду50</t>
  </si>
  <si>
    <t>Коробка 2-х клапановая фланцевая Ду80</t>
  </si>
  <si>
    <t>Фильтр фланц.прох. забортной воды Ду100 Ру4</t>
  </si>
  <si>
    <t>427-03-109-2</t>
  </si>
  <si>
    <t>Кран штуцерный спусковой самозапорный проходной Ду15 Ру25</t>
  </si>
  <si>
    <t>Кран штуцерный спусковой самозапорный проходной Ду20 Ру10</t>
  </si>
  <si>
    <t>528-3М129</t>
  </si>
  <si>
    <t>Кран трехходовой штуцерный Ду32 Ру10</t>
  </si>
  <si>
    <t>536-35.696</t>
  </si>
  <si>
    <t>Кран трехходовой штуцерный Ду20 Ру16</t>
  </si>
  <si>
    <t>536-35.695</t>
  </si>
  <si>
    <t>Кран двухходовой штуцерный Ду20 Ру16</t>
  </si>
  <si>
    <t>536-3М5</t>
  </si>
  <si>
    <t>Кингстон донный фланцевый Ду32Ру2,5</t>
  </si>
  <si>
    <t>527-03.014</t>
  </si>
  <si>
    <t>Кингстон донный фланцевый Ду50 Ру2,5</t>
  </si>
  <si>
    <t>527-03.054</t>
  </si>
  <si>
    <t>Кингстон донный фланцевый Ду80 Ру2,5</t>
  </si>
  <si>
    <t>527-03.055</t>
  </si>
  <si>
    <t>Клапан фланцевый угловой Ду25</t>
  </si>
  <si>
    <t>521-3М539</t>
  </si>
  <si>
    <t>521-3М.123</t>
  </si>
  <si>
    <t>Клапан фланцевый угловой Ду50</t>
  </si>
  <si>
    <t>Клапан фланцевый угловой Ду65 Ру10</t>
  </si>
  <si>
    <t>522-35.4154-02</t>
  </si>
  <si>
    <t>522-35.4201</t>
  </si>
  <si>
    <t>521-03.195</t>
  </si>
  <si>
    <t>Клапан фланцевый угловой Ду65 Ру40</t>
  </si>
  <si>
    <t>521-03.230</t>
  </si>
  <si>
    <t>Клапан фланцевый угловой Ду80</t>
  </si>
  <si>
    <t>522-03.197</t>
  </si>
  <si>
    <t>Клапан фланцевый угловой Ду100</t>
  </si>
  <si>
    <t>Клапан фланцевый угловой Ду150 Ру10</t>
  </si>
  <si>
    <t>521-01.207</t>
  </si>
  <si>
    <t>Клапан фланцевый проходной Ду50</t>
  </si>
  <si>
    <t>Колонка указательная с плоским рифленым стеклом Ду10Ру10</t>
  </si>
  <si>
    <t>598-03.083-01</t>
  </si>
  <si>
    <t xml:space="preserve">Клапан невозв-запорн.с присоед.под дюрит прох. Ду 50  </t>
  </si>
  <si>
    <t>522-03.122-04</t>
  </si>
  <si>
    <t>521-03.442-03</t>
  </si>
  <si>
    <t>Клапан запорн.с присоед.под дюрит прох. Ду65</t>
  </si>
  <si>
    <t>ИШТЛ 491112-003-04</t>
  </si>
  <si>
    <t>521-03.442-04</t>
  </si>
  <si>
    <t>Клинкет Ду 200</t>
  </si>
  <si>
    <t>Клинкет Ду 250</t>
  </si>
  <si>
    <t>Клинкет Ду 300</t>
  </si>
  <si>
    <r>
      <rPr>
        <sz val="11"/>
        <color rgb="FF000000"/>
        <rFont val="Times New Roman"/>
        <charset val="134"/>
      </rPr>
      <t xml:space="preserve">Клинкет 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 xml:space="preserve">Ду 350 </t>
    </r>
    <r>
      <rPr>
        <sz val="11"/>
        <color rgb="FF000000"/>
        <rFont val="Times New Roman"/>
        <charset val="134"/>
      </rPr>
      <t xml:space="preserve"> </t>
    </r>
  </si>
  <si>
    <t>Фильтр забортной воды Ду 50</t>
  </si>
  <si>
    <t>Фильтр заборной воды ДУ 80</t>
  </si>
  <si>
    <t>Фильтр забортной воды Ду 100</t>
  </si>
  <si>
    <t>Фильтр заборной воды ДУ 150</t>
  </si>
  <si>
    <t>Фильтр забортной воды Ду200</t>
  </si>
  <si>
    <t>Фильтр забортной воды Ду 300</t>
  </si>
  <si>
    <t>отгружено 24.09.26</t>
  </si>
  <si>
    <t>Клапан штуцерный проходной Ду 10 Ру40</t>
  </si>
  <si>
    <t>521-01.471-01</t>
  </si>
  <si>
    <t xml:space="preserve">перепроверить кол-во </t>
  </si>
  <si>
    <r>
      <rPr>
        <sz val="11"/>
        <color rgb="FF000000"/>
        <rFont val="Times New Roman"/>
        <charset val="134"/>
      </rPr>
      <t xml:space="preserve">Клапан для манометра штуцерный сальниковый </t>
    </r>
    <r>
      <rPr>
        <sz val="11"/>
        <color rgb="FFFF0000"/>
        <rFont val="Times New Roman"/>
        <charset val="134"/>
      </rPr>
      <t>Ду 6</t>
    </r>
  </si>
  <si>
    <t>521-34.3404-03</t>
  </si>
  <si>
    <t xml:space="preserve">Итого: </t>
  </si>
  <si>
    <t xml:space="preserve">вес </t>
  </si>
  <si>
    <t>Кол-во</t>
  </si>
  <si>
    <t xml:space="preserve">кол-во факт </t>
  </si>
  <si>
    <t>вес общий</t>
  </si>
  <si>
    <t>Цена по Договору, руб.</t>
  </si>
  <si>
    <t>Захлопка фланцевая горизонтальная Ду50</t>
  </si>
  <si>
    <t>529-03.011</t>
  </si>
  <si>
    <t>новая</t>
  </si>
  <si>
    <t>по согласованию</t>
  </si>
  <si>
    <t>Захлопка фланцевая вертикальная Ду100</t>
  </si>
  <si>
    <t>529-03.003</t>
  </si>
  <si>
    <t>Клапан запорный штуцерный проходной Ду10 Ру16</t>
  </si>
  <si>
    <t>521-35.2754</t>
  </si>
  <si>
    <t>521-03.420</t>
  </si>
  <si>
    <t xml:space="preserve">не нашла  еще </t>
  </si>
  <si>
    <t>Клапан невозвратный штуцерный проходной Ду20Ру160</t>
  </si>
  <si>
    <t>522-03.089</t>
  </si>
  <si>
    <r>
      <rPr>
        <sz val="11"/>
        <color rgb="FF000000"/>
        <rFont val="Times New Roman"/>
        <charset val="134"/>
      </rPr>
      <t xml:space="preserve">Клапан штуцерный проходной бессальниковый 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Ду15/1</t>
    </r>
  </si>
  <si>
    <t>521-35.2608-01</t>
  </si>
  <si>
    <r>
      <rPr>
        <sz val="11"/>
        <color rgb="FF000000"/>
        <rFont val="Times New Roman"/>
        <charset val="134"/>
      </rPr>
      <t xml:space="preserve">Клапан дроссельный угловой штуцерный </t>
    </r>
    <r>
      <rPr>
        <sz val="11"/>
        <color rgb="FFFF0000"/>
        <rFont val="Times New Roman"/>
        <charset val="134"/>
      </rPr>
      <t>10/63</t>
    </r>
  </si>
  <si>
    <t>525-35.577</t>
  </si>
  <si>
    <t>Клапан штуцерный угловой Ду15 Ру160</t>
  </si>
  <si>
    <t>521-03.387</t>
  </si>
  <si>
    <r>
      <rPr>
        <sz val="11"/>
        <color rgb="FF000000"/>
        <rFont val="Times New Roman"/>
        <charset val="134"/>
      </rPr>
      <t xml:space="preserve">Клапан для манометра штущерный 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Ду3Ру400 новый</t>
    </r>
  </si>
  <si>
    <t>521-03.406</t>
  </si>
  <si>
    <t>Клапан с электромагнитным ручным управлением</t>
  </si>
  <si>
    <t>587-182.126</t>
  </si>
  <si>
    <t>Клапан фреоновый саленоидный</t>
  </si>
  <si>
    <t>Клапан муфтовый проходной запорный Ду32Ру10</t>
  </si>
  <si>
    <t>Клапан муфтовый проходной запорный Ду20Ру16</t>
  </si>
  <si>
    <t>Клапан предохранительный штуцерный сигнальный Ду6Ру100-250</t>
  </si>
  <si>
    <t>524-03.188</t>
  </si>
  <si>
    <t>Клапан предохранительный штуцерный угловой Ду6,5-9</t>
  </si>
  <si>
    <t>524-03.004</t>
  </si>
  <si>
    <t>Клапан для колонки указательной Ду10 Ру16</t>
  </si>
  <si>
    <t>598-03.022-06</t>
  </si>
  <si>
    <t>Эжектор ВЭЖ 6,3</t>
  </si>
  <si>
    <t>Стакан переборочный Ду10Ру100</t>
  </si>
  <si>
    <t>554-35.265</t>
  </si>
  <si>
    <t>Стакан переборочный Ду20Ру100</t>
  </si>
  <si>
    <t>554-03.909-03</t>
  </si>
  <si>
    <t>554-03.905-06</t>
  </si>
  <si>
    <t>Стакан переборочный Ду25Ру100</t>
  </si>
  <si>
    <t>554-35.156</t>
  </si>
  <si>
    <t>Клапан фланц. концевой пожарный угловой Ду32 Ру10</t>
  </si>
  <si>
    <t>595-03-006</t>
  </si>
  <si>
    <t>Клапан фланц. концевой пожарный угловой Ду32 Ру16</t>
  </si>
  <si>
    <t>595-01-010</t>
  </si>
  <si>
    <t>Клапан фланц. концевой пожарный угловой Ду50</t>
  </si>
  <si>
    <t>Кран двухходовой фланцевый Ду32 Ру6</t>
  </si>
  <si>
    <t>536-3М.72</t>
  </si>
  <si>
    <t>Клапан Ду20/10</t>
  </si>
  <si>
    <t>581-С6.73</t>
  </si>
  <si>
    <t>Кланан Рр18-2 45/25</t>
  </si>
  <si>
    <t xml:space="preserve">новая </t>
  </si>
  <si>
    <t>без чертежа(527-35.1165)</t>
  </si>
  <si>
    <t>Клапан фланцевый угловой Ду50 Ру25</t>
  </si>
  <si>
    <t>СВ/Т3197-95В25050</t>
  </si>
  <si>
    <t>Головка воздушно-квадрат.(поплавковая) Ду80</t>
  </si>
  <si>
    <t>(541-03.218)</t>
  </si>
  <si>
    <t>Головка воздушно-квадрат.(поплавковая) Ду25</t>
  </si>
  <si>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(541-03.232)</t>
    </r>
  </si>
  <si>
    <t>Головка воздушно-квадрат.(поплавковая) Ду32</t>
  </si>
  <si>
    <t>541-03.224</t>
  </si>
  <si>
    <t>Головка воздушно-квадрат.(поплавковая) Ду125 (без поплавка)</t>
  </si>
  <si>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(541-03.220)</t>
    </r>
  </si>
  <si>
    <t>Клапан фланцевый проходной Ду200</t>
  </si>
  <si>
    <t>Грибки АМГ Ду 150 (верхние)</t>
  </si>
  <si>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(541-03.315-02)</t>
    </r>
  </si>
  <si>
    <t>Грибки АМГ Ду 150 (нижние)</t>
  </si>
  <si>
    <r>
      <rPr>
        <sz val="11"/>
        <color rgb="FF000000"/>
        <rFont val="Times New Roman"/>
        <charset val="134"/>
      </rPr>
      <t xml:space="preserve"> (541-03.</t>
    </r>
    <r>
      <rPr>
        <sz val="11"/>
        <color rgb="FFFF0000"/>
        <rFont val="Times New Roman"/>
        <charset val="134"/>
      </rPr>
      <t>316-02)</t>
    </r>
  </si>
  <si>
    <t>Грибки АМГ Ду 200 с нижнем приводом</t>
  </si>
  <si>
    <r>
      <rPr>
        <sz val="11"/>
        <color rgb="FF000000"/>
        <rFont val="Times New Roman"/>
        <charset val="134"/>
      </rPr>
      <t xml:space="preserve"> (541-03.</t>
    </r>
    <r>
      <rPr>
        <sz val="11"/>
        <color rgb="FFFF0000"/>
        <rFont val="Times New Roman"/>
        <charset val="134"/>
      </rPr>
      <t>316-04)</t>
    </r>
  </si>
  <si>
    <t>итого:</t>
  </si>
  <si>
    <t xml:space="preserve">Наименование </t>
  </si>
  <si>
    <t xml:space="preserve">чертеж </t>
  </si>
  <si>
    <t xml:space="preserve">Кол-во </t>
  </si>
  <si>
    <t xml:space="preserve">итого вес </t>
  </si>
  <si>
    <t>Клапан фланцевый проходной Ду80 Ру 40 сталь</t>
  </si>
  <si>
    <t>521-35.3437</t>
  </si>
  <si>
    <t>522-01.101</t>
  </si>
  <si>
    <t xml:space="preserve">Клапан невозвратно-приемный фланцевый Ду 65 Ру1 </t>
  </si>
  <si>
    <t>522-03.023</t>
  </si>
  <si>
    <t xml:space="preserve">Клапан невозвратно-приемный фланцевый Ду 65  Ру1 </t>
  </si>
  <si>
    <t>522-35.4044-01</t>
  </si>
  <si>
    <t>Клапан невозвратно-приемный фланцевый Ду 50 Ру1</t>
  </si>
  <si>
    <t>522-35.4043-01</t>
  </si>
  <si>
    <t xml:space="preserve">Клапан фланцевый проходной Ду50 Ру 40 сталь </t>
  </si>
  <si>
    <t>522-01-322</t>
  </si>
  <si>
    <t>Клапан предохранит. фланцевый угловой Ду32Ру4</t>
  </si>
  <si>
    <t xml:space="preserve"> 524-03.090</t>
  </si>
  <si>
    <t xml:space="preserve">Задвижка клинкетная Ду 300, сталь </t>
  </si>
  <si>
    <t>Задвижка клинкетная Ду 125</t>
  </si>
  <si>
    <t>Задвижка клинкетная Ду 100</t>
  </si>
  <si>
    <t xml:space="preserve">Задвижка клинкетная Ду 80 , бронза </t>
  </si>
  <si>
    <t xml:space="preserve">Задвижка клинкетная Ду 60, бронза </t>
  </si>
  <si>
    <t xml:space="preserve">Задвижка клинкетная Ду 50, бронза , без клиньев </t>
  </si>
  <si>
    <t>Клапана невозвратный проходной фланцевый Ду100 Ру10</t>
  </si>
  <si>
    <t>522-03.205</t>
  </si>
  <si>
    <t xml:space="preserve">Грибки АМГ Ду 175, нижний привод </t>
  </si>
  <si>
    <t xml:space="preserve"> 541-03.316-03</t>
  </si>
  <si>
    <t>Фильтр штуцерный Ду 20</t>
  </si>
  <si>
    <t>427-03.128-2</t>
  </si>
  <si>
    <t>Фильтр штуцерный Ду 25</t>
  </si>
  <si>
    <t>427-03.129-1</t>
  </si>
  <si>
    <t>клапан проходной штуцерный ду 32/100</t>
  </si>
  <si>
    <t>522-01.494-03</t>
  </si>
  <si>
    <t>клапан фланцевый угловой ДУ 50, сталь</t>
  </si>
  <si>
    <t>кран 2-х ходовой ду 50/6</t>
  </si>
  <si>
    <t>536-3м.74</t>
  </si>
  <si>
    <t>кран 3-х ходовой ду 70</t>
  </si>
  <si>
    <t>536-3м....</t>
  </si>
  <si>
    <t>клапан проходной фланцевый ду 50/10</t>
  </si>
  <si>
    <t>521-35.3442</t>
  </si>
  <si>
    <t>клапан запорный фланцевый с тросиковым приводом ду 40</t>
  </si>
  <si>
    <t>521-03.020</t>
  </si>
  <si>
    <t>клапан запорный фланцевый с тросиковым приводом ду 65</t>
  </si>
  <si>
    <t>521-03.022</t>
  </si>
  <si>
    <t>клапан запорный фланцевый с тросиковым приводом ду 100</t>
  </si>
  <si>
    <t>521-03.023</t>
  </si>
  <si>
    <t>клапан штуцерный проходной ду 20 /100, без маховика</t>
  </si>
  <si>
    <t>522-01.501-02</t>
  </si>
  <si>
    <t xml:space="preserve">клапан штуцерный проходной ду 20/100,с маховиком </t>
  </si>
  <si>
    <t>521-01.470-03</t>
  </si>
  <si>
    <t xml:space="preserve">клапан штуцерный проходной ду 20/100, без маховика </t>
  </si>
  <si>
    <t xml:space="preserve">клапан штуцерный проходной ду 20/100, без маховика ,без крышки корпуса </t>
  </si>
  <si>
    <t>клапан штуцерный проходной ду 20 /40, без маховика</t>
  </si>
  <si>
    <t>521-01.471-03</t>
  </si>
  <si>
    <t>522-01.498-02</t>
  </si>
  <si>
    <t xml:space="preserve">клапан штуцерный проходной ду 20 /100, без маховика,без крышки корпуса </t>
  </si>
  <si>
    <t>521-01.470-02</t>
  </si>
  <si>
    <t>521-3м.58</t>
  </si>
  <si>
    <t>521-01.052</t>
  </si>
  <si>
    <t xml:space="preserve">клапан штуцерный проходной ду 20 </t>
  </si>
  <si>
    <t xml:space="preserve">пересорт </t>
  </si>
  <si>
    <t xml:space="preserve">бу </t>
  </si>
  <si>
    <t>клапан штуцерный угловой ду 15 /100, без маховика</t>
  </si>
  <si>
    <t>521-01.464-01</t>
  </si>
  <si>
    <t>клапан штуцерный угловой ду 15 , без маховика</t>
  </si>
  <si>
    <t>521-01.465-02</t>
  </si>
  <si>
    <t>клапан штуцерный угловой ду 16 , без маховика</t>
  </si>
  <si>
    <t>521-3м.666</t>
  </si>
  <si>
    <t>521-01.468-04</t>
  </si>
  <si>
    <t>521-01.500-04</t>
  </si>
  <si>
    <t xml:space="preserve">клапан штуцерный угловой ду 15 , без маховика, без крышки корпуса </t>
  </si>
  <si>
    <t xml:space="preserve">клапан штуцерный угловой ду 25/100, без маховика </t>
  </si>
  <si>
    <t>521-01.468-06</t>
  </si>
  <si>
    <t xml:space="preserve">клапан штуцерный угловой ду 25/100, без маховика , без крышки корпуса </t>
  </si>
  <si>
    <t>522-01.500-06</t>
  </si>
  <si>
    <t xml:space="preserve">клапан штуцерный угловой ду 25/40, без маховика </t>
  </si>
  <si>
    <t>521-01.466</t>
  </si>
  <si>
    <t xml:space="preserve">клапан штуцерный угловой ду 25/40, без маховика , без крышки корпуса </t>
  </si>
  <si>
    <t>клапан штуцерный угловой ду 25/40, без маховика</t>
  </si>
  <si>
    <t>521-3м.634</t>
  </si>
  <si>
    <t>клапан штуцерный угловой ду 32, без маховика</t>
  </si>
  <si>
    <t xml:space="preserve">клапан штуцерный угловой ду 32, без маховика, без крышки корпуса </t>
  </si>
  <si>
    <t>клапан невозвратно -запорный угловой ду32/160</t>
  </si>
  <si>
    <t>522-03.151-01</t>
  </si>
  <si>
    <t>клапан запорный штуцерный угловой ду 32/160</t>
  </si>
  <si>
    <t>521-03.480</t>
  </si>
  <si>
    <t>клапан штуцерный дроссельный угловой ду 15/160</t>
  </si>
  <si>
    <t>525-03.011</t>
  </si>
  <si>
    <t>итого</t>
  </si>
  <si>
    <t xml:space="preserve">клапан невозвратно -запорный угловой ду32/160, 522-03.151-01 -8 шт </t>
  </si>
  <si>
    <t xml:space="preserve">клапан запорный штуцерный угловой ду 32/160,521-03.480- 16 шт </t>
  </si>
  <si>
    <t xml:space="preserve">клапан штуцерный дроссельный угловой ду 15/160,525-03.011- 4 шт </t>
  </si>
  <si>
    <t xml:space="preserve">Клапан с электромагнитным ручным управлением,587-182.126 1 шт </t>
  </si>
  <si>
    <t xml:space="preserve">Клапан угловой с присоединением под дюрит Ду50Ру4,521-03.445-04 - 20 шт </t>
  </si>
  <si>
    <t xml:space="preserve">Клапан невозв-запорн.с присоед.под дюрит прох. Ду 50 Ру6,522-03.124-04 -10 шт </t>
  </si>
  <si>
    <t xml:space="preserve">Клапан фланцевый проходной титановые Ду50Ру10,521-182.110 -7 шт </t>
  </si>
  <si>
    <t xml:space="preserve">Клапан фланцевый проходной титановые Ду100Ру10,521-182.116- 74 шт </t>
  </si>
  <si>
    <t xml:space="preserve">Клапан невозв-запорн.с присоед.под дюрит прох. Ду 50  ,521-03.442-03 -10 шт </t>
  </si>
  <si>
    <t xml:space="preserve">Клапан запорн.с присоед.под дюрит прох. Ду65,521-03.442-04 -10 шт </t>
  </si>
  <si>
    <t xml:space="preserve">Клапан невозв-запор.цапковый угловой  под дюрит Ду20Ру6,522-03.123 -5 шт </t>
  </si>
  <si>
    <t xml:space="preserve">Клапан редукционный штуц.проходной Ду20Ру400 ,525-03.044 -1 шт </t>
  </si>
  <si>
    <t xml:space="preserve">Клапан с электромагнитным ручным управлением Ду20/10 перем. 220В,587-35.8490-04 -1 шт </t>
  </si>
  <si>
    <t xml:space="preserve">Клапан пусковой Ду20Ру125,587-03.080 -3 шт </t>
  </si>
  <si>
    <t xml:space="preserve">Клапан пусковой Ду32Ру125,587-03.082-3 шт </t>
  </si>
  <si>
    <t xml:space="preserve">Клапан паровой Ду65Ру10,581-03.034 -1 шт </t>
  </si>
  <si>
    <t xml:space="preserve">Стакан переборочный Ду10Ру100,554-35.265 -20 шт </t>
  </si>
  <si>
    <t xml:space="preserve">Стакан переборочный Ду20Ру100,554-03.909-03 -20 шт </t>
  </si>
  <si>
    <t xml:space="preserve">Стакан переборочный Ду20Ру100,554-03.905-06 -20 шт </t>
  </si>
  <si>
    <t xml:space="preserve">Стакан переборочный Ду25Ру100,554-35.156 -10 шт </t>
  </si>
  <si>
    <t xml:space="preserve">Цена Кристина (Веда)  Цена с ндс 22 % </t>
  </si>
  <si>
    <t xml:space="preserve">Гелион , цена от ИП . нал минус 12% </t>
  </si>
  <si>
    <t>ПромВест</t>
  </si>
  <si>
    <t xml:space="preserve">Андрей Евротрейд, безнал  22 % ндс </t>
  </si>
  <si>
    <t xml:space="preserve">Титов состояние </t>
  </si>
  <si>
    <t xml:space="preserve">Титов </t>
  </si>
  <si>
    <t>Ленпромарматура,  без ндс , февр,2026</t>
  </si>
  <si>
    <t xml:space="preserve">Антон Бурыкин, цена ИП , нал минус 6% , Февр. 2026 </t>
  </si>
  <si>
    <t xml:space="preserve">ремонт </t>
  </si>
  <si>
    <t xml:space="preserve">522-03.197? </t>
  </si>
  <si>
    <t xml:space="preserve">ду 32 ,новый </t>
  </si>
  <si>
    <t xml:space="preserve">новый с рмрс </t>
  </si>
  <si>
    <t>Клапан штуцерный проходной бессальниковый  Ду15/1</t>
  </si>
  <si>
    <t>Клапан дроссельный угловой штуцерный 10/63</t>
  </si>
  <si>
    <t>Клапан для манометра штущерный  Ду3Ру400 новый</t>
  </si>
  <si>
    <t xml:space="preserve"> (541-03.232)</t>
  </si>
  <si>
    <t xml:space="preserve"> (541-03.220)</t>
  </si>
  <si>
    <t xml:space="preserve"> (541-03.315-02)</t>
  </si>
  <si>
    <t xml:space="preserve"> (541-03.316-02)</t>
  </si>
  <si>
    <t xml:space="preserve"> (541-03.316-04)</t>
  </si>
  <si>
    <r>
      <t>клапан проходной фланцевый ду 50/10 (</t>
    </r>
    <r>
      <rPr>
        <sz val="11"/>
        <color rgb="FFFF0000"/>
        <rFont val="Calibri"/>
        <charset val="134"/>
        <scheme val="minor"/>
      </rPr>
      <t xml:space="preserve">титановая наплавка на поле )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</si>
</sst>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0.00_ "/>
  </numFmts>
  <fonts count="28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FF0000"/>
      <name val="Times New Roman"/>
      <charset val="134"/>
    </font>
    <font>
      <sz val="11"/>
      <name val="Calibri"/>
      <charset val="134"/>
      <scheme val="minor"/>
    </font>
    <font>
      <sz val="11"/>
      <name val="Times New Roman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trike/>
      <sz val="11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>
      <alignment vertical="center"/>
    </xf>
    <xf numFmtId="178" fontId="0" fillId="0" borderId="1" xfId="0" applyNumberForma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7" fillId="0" borderId="0" xfId="0" applyFont="1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178" fontId="7" fillId="0" borderId="0" xfId="0" applyNumberFormat="1" applyFont="1">
      <alignment vertical="center"/>
    </xf>
    <xf numFmtId="0" fontId="0" fillId="2" borderId="0" xfId="0" applyFill="1">
      <alignment vertical="center"/>
    </xf>
    <xf numFmtId="178" fontId="0" fillId="0" borderId="0" xfId="0" applyNumberForma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7" fillId="0" borderId="1" xfId="0" applyFont="1" applyBorder="1">
      <alignment vertical="center"/>
    </xf>
    <xf numFmtId="178" fontId="7" fillId="0" borderId="1" xfId="0" applyNumberFormat="1" applyFont="1" applyBorder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5"/>
  <sheetViews>
    <sheetView zoomScale="150" zoomScaleNormal="150" zoomScaleSheetLayoutView="60" topLeftCell="A68" workbookViewId="0">
      <selection activeCell="B70" sqref="B70:C72"/>
    </sheetView>
  </sheetViews>
  <sheetFormatPr defaultColWidth="10.2857142857143" defaultRowHeight="15"/>
  <cols>
    <col min="1" max="1" width="7.57142857142857" customWidth="1"/>
    <col min="2" max="2" width="56.1428571428571" customWidth="1"/>
    <col min="3" max="3" width="18" customWidth="1"/>
    <col min="4" max="4" width="14.7142857142857" customWidth="1"/>
    <col min="5" max="5" width="13.8571428571429" style="32" customWidth="1"/>
    <col min="6" max="6" width="11.1428571428571" customWidth="1"/>
    <col min="7" max="8" width="13.1428571428571" customWidth="1"/>
    <col min="9" max="9" width="23.2857142857143" customWidth="1"/>
  </cols>
  <sheetData>
    <row r="1" ht="42.75" spans="1:14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13" t="s">
        <v>8</v>
      </c>
      <c r="J1" s="13"/>
      <c r="K1" s="13"/>
      <c r="L1" s="13"/>
      <c r="M1" s="13"/>
      <c r="N1" s="13"/>
    </row>
    <row r="2" ht="20" customHeight="1" spans="1:14">
      <c r="A2" s="11">
        <v>1</v>
      </c>
      <c r="B2" s="11" t="s">
        <v>9</v>
      </c>
      <c r="C2" s="11" t="s">
        <v>10</v>
      </c>
      <c r="D2" s="11" t="s">
        <v>11</v>
      </c>
      <c r="E2" s="12">
        <v>10.5</v>
      </c>
      <c r="F2" s="11">
        <v>1</v>
      </c>
      <c r="G2" s="11">
        <v>1</v>
      </c>
      <c r="H2" s="11">
        <f t="shared" ref="H2:H8" si="0">PRODUCT(G2*E2)</f>
        <v>10.5</v>
      </c>
      <c r="I2" s="13"/>
      <c r="J2" s="13"/>
      <c r="K2" s="13"/>
      <c r="L2" s="13"/>
      <c r="M2" s="13"/>
      <c r="N2" s="13"/>
    </row>
    <row r="3" ht="20" customHeight="1" spans="1:14">
      <c r="A3" s="11">
        <v>2</v>
      </c>
      <c r="B3" s="11" t="s">
        <v>12</v>
      </c>
      <c r="C3" s="11" t="s">
        <v>13</v>
      </c>
      <c r="D3" s="11" t="s">
        <v>11</v>
      </c>
      <c r="E3" s="12">
        <v>23.6</v>
      </c>
      <c r="F3" s="11">
        <v>1</v>
      </c>
      <c r="G3" s="11">
        <v>1</v>
      </c>
      <c r="H3" s="11">
        <f t="shared" si="0"/>
        <v>23.6</v>
      </c>
      <c r="I3" s="13"/>
      <c r="J3" s="13"/>
      <c r="K3" s="13"/>
      <c r="L3" s="13"/>
      <c r="M3" s="13"/>
      <c r="N3" s="13"/>
    </row>
    <row r="4" ht="20" customHeight="1" spans="1:14">
      <c r="A4" s="11">
        <v>3</v>
      </c>
      <c r="B4" s="11" t="s">
        <v>14</v>
      </c>
      <c r="C4" s="11" t="s">
        <v>15</v>
      </c>
      <c r="D4" s="11" t="s">
        <v>11</v>
      </c>
      <c r="E4" s="12">
        <v>22</v>
      </c>
      <c r="F4" s="11">
        <v>3</v>
      </c>
      <c r="G4" s="11">
        <v>3</v>
      </c>
      <c r="H4" s="11">
        <f t="shared" si="0"/>
        <v>66</v>
      </c>
      <c r="I4" s="13"/>
      <c r="J4" s="13"/>
      <c r="K4" s="13"/>
      <c r="L4" s="13"/>
      <c r="M4" s="13"/>
      <c r="N4" s="13"/>
    </row>
    <row r="5" ht="20" customHeight="1" spans="1:14">
      <c r="A5" s="11">
        <v>4</v>
      </c>
      <c r="B5" s="11" t="s">
        <v>16</v>
      </c>
      <c r="C5" s="11" t="s">
        <v>17</v>
      </c>
      <c r="D5" s="11" t="s">
        <v>11</v>
      </c>
      <c r="E5" s="12">
        <v>26</v>
      </c>
      <c r="F5" s="11">
        <v>1</v>
      </c>
      <c r="G5" s="11">
        <v>1</v>
      </c>
      <c r="H5" s="11">
        <f t="shared" si="0"/>
        <v>26</v>
      </c>
      <c r="I5" s="13"/>
      <c r="J5" s="13"/>
      <c r="K5" s="13"/>
      <c r="L5" s="13"/>
      <c r="M5" s="13"/>
      <c r="N5" s="13"/>
    </row>
    <row r="6" ht="20" customHeight="1" spans="1:14">
      <c r="A6" s="11">
        <v>5</v>
      </c>
      <c r="B6" s="11" t="s">
        <v>18</v>
      </c>
      <c r="C6" s="11" t="s">
        <v>19</v>
      </c>
      <c r="D6" s="11" t="s">
        <v>20</v>
      </c>
      <c r="E6" s="12">
        <v>46</v>
      </c>
      <c r="F6" s="11">
        <v>2</v>
      </c>
      <c r="G6" s="11">
        <v>2</v>
      </c>
      <c r="H6" s="11">
        <f t="shared" si="0"/>
        <v>92</v>
      </c>
      <c r="I6" s="13"/>
      <c r="J6" s="13"/>
      <c r="K6" s="13"/>
      <c r="L6" s="13"/>
      <c r="M6" s="13"/>
      <c r="N6" s="13"/>
    </row>
    <row r="7" s="31" customFormat="1" ht="20" customHeight="1" spans="1:14">
      <c r="A7" s="11">
        <v>6</v>
      </c>
      <c r="B7" s="14" t="s">
        <v>21</v>
      </c>
      <c r="C7" s="14" t="s">
        <v>22</v>
      </c>
      <c r="D7" s="14" t="s">
        <v>20</v>
      </c>
      <c r="E7" s="15">
        <v>46</v>
      </c>
      <c r="F7" s="14">
        <v>0</v>
      </c>
      <c r="G7" s="14">
        <v>9</v>
      </c>
      <c r="H7" s="14">
        <f t="shared" si="0"/>
        <v>414</v>
      </c>
      <c r="I7" s="17"/>
      <c r="J7" s="17"/>
      <c r="K7" s="17"/>
      <c r="L7" s="17"/>
      <c r="M7" s="17"/>
      <c r="N7" s="17"/>
    </row>
    <row r="8" s="31" customFormat="1" ht="20" customHeight="1" spans="1:14">
      <c r="A8" s="11">
        <v>7</v>
      </c>
      <c r="B8" s="14" t="s">
        <v>21</v>
      </c>
      <c r="C8" s="14" t="s">
        <v>23</v>
      </c>
      <c r="D8" s="14" t="s">
        <v>11</v>
      </c>
      <c r="E8" s="15">
        <v>46</v>
      </c>
      <c r="F8" s="14">
        <v>0</v>
      </c>
      <c r="G8" s="14">
        <v>1</v>
      </c>
      <c r="H8" s="14">
        <f t="shared" si="0"/>
        <v>46</v>
      </c>
      <c r="I8" s="17"/>
      <c r="J8" s="17"/>
      <c r="K8" s="17"/>
      <c r="L8" s="17"/>
      <c r="M8" s="17"/>
      <c r="N8" s="17"/>
    </row>
    <row r="9" ht="20" customHeight="1" spans="1:14">
      <c r="A9" s="11">
        <v>8</v>
      </c>
      <c r="B9" s="11" t="s">
        <v>24</v>
      </c>
      <c r="C9" s="11" t="s">
        <v>25</v>
      </c>
      <c r="D9" s="11" t="s">
        <v>26</v>
      </c>
      <c r="E9" s="12">
        <v>3.8</v>
      </c>
      <c r="F9" s="11">
        <v>1</v>
      </c>
      <c r="G9" s="11">
        <v>1</v>
      </c>
      <c r="H9" s="11">
        <f t="shared" ref="H9:H68" si="1">PRODUCT(G9*E9)</f>
        <v>3.8</v>
      </c>
      <c r="I9" s="13"/>
      <c r="J9" s="13"/>
      <c r="K9" s="13"/>
      <c r="L9" s="13"/>
      <c r="M9" s="13"/>
      <c r="N9" s="13"/>
    </row>
    <row r="10" ht="20" customHeight="1" spans="1:14">
      <c r="A10" s="11">
        <v>9</v>
      </c>
      <c r="B10" s="11" t="s">
        <v>27</v>
      </c>
      <c r="C10" s="11" t="s">
        <v>28</v>
      </c>
      <c r="D10" s="11" t="s">
        <v>11</v>
      </c>
      <c r="E10" s="12">
        <v>5.5</v>
      </c>
      <c r="F10" s="11">
        <v>1</v>
      </c>
      <c r="G10" s="11">
        <v>1</v>
      </c>
      <c r="H10" s="11">
        <f t="shared" si="1"/>
        <v>5.5</v>
      </c>
      <c r="I10" s="13"/>
      <c r="J10" s="13"/>
      <c r="K10" s="13"/>
      <c r="L10" s="13"/>
      <c r="M10" s="13"/>
      <c r="N10" s="13"/>
    </row>
    <row r="11" ht="20" customHeight="1" spans="1:14">
      <c r="A11" s="11">
        <v>10</v>
      </c>
      <c r="B11" s="11" t="s">
        <v>29</v>
      </c>
      <c r="C11" s="11" t="s">
        <v>28</v>
      </c>
      <c r="D11" s="11" t="s">
        <v>26</v>
      </c>
      <c r="E11" s="12">
        <v>5.5</v>
      </c>
      <c r="F11" s="11">
        <v>62</v>
      </c>
      <c r="G11" s="11">
        <v>62</v>
      </c>
      <c r="H11" s="11">
        <f t="shared" si="1"/>
        <v>341</v>
      </c>
      <c r="I11" s="13"/>
      <c r="J11" s="13"/>
      <c r="K11" s="13"/>
      <c r="L11" s="13"/>
      <c r="M11" s="13"/>
      <c r="N11" s="13"/>
    </row>
    <row r="12" ht="20" customHeight="1" spans="1:14">
      <c r="A12" s="11">
        <v>11</v>
      </c>
      <c r="B12" s="11" t="s">
        <v>30</v>
      </c>
      <c r="C12" s="11" t="s">
        <v>31</v>
      </c>
      <c r="D12" s="11" t="s">
        <v>26</v>
      </c>
      <c r="E12" s="12">
        <v>1.3</v>
      </c>
      <c r="F12" s="11">
        <v>4</v>
      </c>
      <c r="G12" s="11">
        <v>4</v>
      </c>
      <c r="H12" s="11">
        <f t="shared" si="1"/>
        <v>5.2</v>
      </c>
      <c r="I12" s="13"/>
      <c r="J12" s="13"/>
      <c r="K12" s="13"/>
      <c r="L12" s="13"/>
      <c r="M12" s="13"/>
      <c r="N12" s="13"/>
    </row>
    <row r="13" ht="20" customHeight="1" spans="1:14">
      <c r="A13" s="11">
        <v>12</v>
      </c>
      <c r="B13" s="11" t="s">
        <v>32</v>
      </c>
      <c r="C13" s="11" t="s">
        <v>33</v>
      </c>
      <c r="D13" s="11" t="s">
        <v>26</v>
      </c>
      <c r="E13" s="12">
        <v>1.52</v>
      </c>
      <c r="F13" s="11">
        <v>1</v>
      </c>
      <c r="G13" s="11">
        <v>1</v>
      </c>
      <c r="H13" s="11">
        <f t="shared" si="1"/>
        <v>1.52</v>
      </c>
      <c r="I13" s="13"/>
      <c r="J13" s="13"/>
      <c r="K13" s="13"/>
      <c r="L13" s="13"/>
      <c r="M13" s="13"/>
      <c r="N13" s="13"/>
    </row>
    <row r="14" ht="20" customHeight="1" spans="1:14">
      <c r="A14" s="11">
        <v>13</v>
      </c>
      <c r="B14" s="11" t="s">
        <v>34</v>
      </c>
      <c r="C14" s="11" t="s">
        <v>35</v>
      </c>
      <c r="D14" s="11" t="s">
        <v>26</v>
      </c>
      <c r="E14" s="12">
        <v>3.5</v>
      </c>
      <c r="F14" s="11">
        <v>5</v>
      </c>
      <c r="G14" s="11">
        <v>5</v>
      </c>
      <c r="H14" s="11">
        <f t="shared" si="1"/>
        <v>17.5</v>
      </c>
      <c r="I14" s="13"/>
      <c r="J14" s="13"/>
      <c r="K14" s="13"/>
      <c r="L14" s="13"/>
      <c r="M14" s="13"/>
      <c r="N14" s="13"/>
    </row>
    <row r="15" ht="20" customHeight="1" spans="1:14">
      <c r="A15" s="11">
        <v>14</v>
      </c>
      <c r="B15" s="11" t="s">
        <v>36</v>
      </c>
      <c r="C15" s="11" t="s">
        <v>37</v>
      </c>
      <c r="D15" s="11" t="s">
        <v>26</v>
      </c>
      <c r="E15" s="12">
        <v>9.7</v>
      </c>
      <c r="F15" s="11">
        <v>1</v>
      </c>
      <c r="G15" s="11">
        <v>1</v>
      </c>
      <c r="H15" s="11">
        <f t="shared" si="1"/>
        <v>9.7</v>
      </c>
      <c r="I15" s="13"/>
      <c r="J15" s="13"/>
      <c r="K15" s="13"/>
      <c r="L15" s="13"/>
      <c r="M15" s="13"/>
      <c r="N15" s="13"/>
    </row>
    <row r="16" ht="20" customHeight="1" spans="1:14">
      <c r="A16" s="11">
        <v>15</v>
      </c>
      <c r="B16" s="11" t="s">
        <v>38</v>
      </c>
      <c r="C16" s="11" t="s">
        <v>39</v>
      </c>
      <c r="D16" s="11" t="s">
        <v>26</v>
      </c>
      <c r="E16" s="12">
        <v>1.8</v>
      </c>
      <c r="F16" s="11">
        <v>2</v>
      </c>
      <c r="G16" s="11">
        <v>2</v>
      </c>
      <c r="H16" s="11">
        <f t="shared" si="1"/>
        <v>3.6</v>
      </c>
      <c r="I16" s="13"/>
      <c r="J16" s="13"/>
      <c r="K16" s="13"/>
      <c r="L16" s="13"/>
      <c r="M16" s="13"/>
      <c r="N16" s="13"/>
    </row>
    <row r="17" ht="20" customHeight="1" spans="1:14">
      <c r="A17" s="11">
        <v>16</v>
      </c>
      <c r="B17" s="11" t="s">
        <v>40</v>
      </c>
      <c r="C17" s="11" t="s">
        <v>41</v>
      </c>
      <c r="D17" s="11" t="s">
        <v>26</v>
      </c>
      <c r="E17" s="12">
        <v>0.8</v>
      </c>
      <c r="F17" s="11">
        <v>1</v>
      </c>
      <c r="G17" s="11">
        <v>1</v>
      </c>
      <c r="H17" s="11">
        <f t="shared" si="1"/>
        <v>0.8</v>
      </c>
      <c r="I17" s="13"/>
      <c r="J17" s="13"/>
      <c r="K17" s="13"/>
      <c r="L17" s="13"/>
      <c r="M17" s="13"/>
      <c r="N17" s="13"/>
    </row>
    <row r="18" ht="20" customHeight="1" spans="1:14">
      <c r="A18" s="11">
        <v>17</v>
      </c>
      <c r="B18" s="11" t="s">
        <v>42</v>
      </c>
      <c r="C18" s="11" t="s">
        <v>43</v>
      </c>
      <c r="D18" s="11" t="s">
        <v>26</v>
      </c>
      <c r="E18" s="12">
        <v>0.7</v>
      </c>
      <c r="F18" s="11">
        <v>6</v>
      </c>
      <c r="G18" s="11">
        <v>6</v>
      </c>
      <c r="H18" s="11">
        <f t="shared" si="1"/>
        <v>4.2</v>
      </c>
      <c r="I18" s="13"/>
      <c r="J18" s="13"/>
      <c r="K18" s="13"/>
      <c r="L18" s="13"/>
      <c r="M18" s="13"/>
      <c r="N18" s="13"/>
    </row>
    <row r="19" ht="20" customHeight="1" spans="1:14">
      <c r="A19" s="11">
        <v>18</v>
      </c>
      <c r="B19" s="11" t="s">
        <v>44</v>
      </c>
      <c r="C19" s="11" t="s">
        <v>45</v>
      </c>
      <c r="D19" s="11" t="s">
        <v>26</v>
      </c>
      <c r="E19" s="12">
        <v>1.8</v>
      </c>
      <c r="F19" s="11">
        <v>1</v>
      </c>
      <c r="G19" s="11">
        <v>1</v>
      </c>
      <c r="H19" s="11">
        <f t="shared" si="1"/>
        <v>1.8</v>
      </c>
      <c r="I19" s="13"/>
      <c r="J19" s="13"/>
      <c r="K19" s="13"/>
      <c r="L19" s="13"/>
      <c r="M19" s="13"/>
      <c r="N19" s="13"/>
    </row>
    <row r="20" ht="20" customHeight="1" spans="1:14">
      <c r="A20" s="11">
        <v>19</v>
      </c>
      <c r="B20" s="11" t="s">
        <v>46</v>
      </c>
      <c r="C20" s="11" t="s">
        <v>47</v>
      </c>
      <c r="D20" s="11" t="s">
        <v>11</v>
      </c>
      <c r="E20" s="12">
        <v>1.9</v>
      </c>
      <c r="F20" s="11">
        <v>5</v>
      </c>
      <c r="G20" s="14">
        <v>0</v>
      </c>
      <c r="H20" s="11">
        <f t="shared" si="1"/>
        <v>0</v>
      </c>
      <c r="I20" s="13"/>
      <c r="J20" s="13"/>
      <c r="K20" s="13"/>
      <c r="L20" s="13"/>
      <c r="M20" s="13"/>
      <c r="N20" s="13"/>
    </row>
    <row r="21" ht="20" customHeight="1" spans="1:14">
      <c r="A21" s="11">
        <v>20</v>
      </c>
      <c r="B21" s="11" t="s">
        <v>48</v>
      </c>
      <c r="C21" s="11" t="s">
        <v>49</v>
      </c>
      <c r="D21" s="11" t="s">
        <v>26</v>
      </c>
      <c r="E21" s="12">
        <v>3.3</v>
      </c>
      <c r="F21" s="11">
        <v>31</v>
      </c>
      <c r="G21" s="11">
        <v>31</v>
      </c>
      <c r="H21" s="11">
        <f t="shared" si="1"/>
        <v>102.3</v>
      </c>
      <c r="I21" s="13"/>
      <c r="J21" s="13"/>
      <c r="K21" s="13"/>
      <c r="L21" s="13"/>
      <c r="M21" s="13"/>
      <c r="N21" s="13"/>
    </row>
    <row r="22" ht="20" customHeight="1" spans="1:14">
      <c r="A22" s="11">
        <v>21</v>
      </c>
      <c r="B22" s="11" t="s">
        <v>48</v>
      </c>
      <c r="C22" s="11" t="s">
        <v>50</v>
      </c>
      <c r="D22" s="11" t="s">
        <v>26</v>
      </c>
      <c r="E22" s="12">
        <v>3.3</v>
      </c>
      <c r="F22" s="11">
        <v>14</v>
      </c>
      <c r="G22" s="11">
        <v>14</v>
      </c>
      <c r="H22" s="11">
        <f t="shared" si="1"/>
        <v>46.2</v>
      </c>
      <c r="I22" s="13"/>
      <c r="J22" s="13"/>
      <c r="K22" s="13"/>
      <c r="L22" s="13"/>
      <c r="M22" s="13"/>
      <c r="N22" s="13"/>
    </row>
    <row r="23" ht="20" customHeight="1" spans="1:14">
      <c r="A23" s="11">
        <v>22</v>
      </c>
      <c r="B23" s="11" t="s">
        <v>48</v>
      </c>
      <c r="C23" s="11" t="s">
        <v>51</v>
      </c>
      <c r="D23" s="11" t="s">
        <v>26</v>
      </c>
      <c r="E23" s="12">
        <v>3.3</v>
      </c>
      <c r="F23" s="11">
        <v>1</v>
      </c>
      <c r="G23" s="11">
        <v>1</v>
      </c>
      <c r="H23" s="11">
        <f t="shared" si="1"/>
        <v>3.3</v>
      </c>
      <c r="I23" s="13"/>
      <c r="J23" s="13"/>
      <c r="K23" s="13"/>
      <c r="L23" s="13"/>
      <c r="M23" s="13"/>
      <c r="N23" s="13"/>
    </row>
    <row r="24" ht="20" customHeight="1" spans="1:14">
      <c r="A24" s="11">
        <v>23</v>
      </c>
      <c r="B24" s="11" t="s">
        <v>48</v>
      </c>
      <c r="C24" s="11" t="s">
        <v>52</v>
      </c>
      <c r="D24" s="11" t="s">
        <v>26</v>
      </c>
      <c r="E24" s="12">
        <v>3.3</v>
      </c>
      <c r="F24" s="11">
        <v>1</v>
      </c>
      <c r="G24" s="11">
        <v>1</v>
      </c>
      <c r="H24" s="11">
        <f t="shared" si="1"/>
        <v>3.3</v>
      </c>
      <c r="I24" s="13"/>
      <c r="J24" s="13"/>
      <c r="K24" s="13"/>
      <c r="L24" s="13"/>
      <c r="M24" s="13"/>
      <c r="N24" s="13"/>
    </row>
    <row r="25" ht="20" customHeight="1" spans="1:14">
      <c r="A25" s="11">
        <v>24</v>
      </c>
      <c r="B25" s="11" t="s">
        <v>53</v>
      </c>
      <c r="C25" s="11" t="s">
        <v>54</v>
      </c>
      <c r="D25" s="11" t="s">
        <v>26</v>
      </c>
      <c r="E25" s="12">
        <v>1</v>
      </c>
      <c r="F25" s="11">
        <v>8</v>
      </c>
      <c r="G25" s="11">
        <v>8</v>
      </c>
      <c r="H25" s="11">
        <f t="shared" si="1"/>
        <v>8</v>
      </c>
      <c r="I25" s="13"/>
      <c r="J25" s="13"/>
      <c r="K25" s="13"/>
      <c r="L25" s="13"/>
      <c r="M25" s="13"/>
      <c r="N25" s="13"/>
    </row>
    <row r="26" ht="20" customHeight="1" spans="1:14">
      <c r="A26" s="11">
        <v>25</v>
      </c>
      <c r="B26" s="11" t="s">
        <v>55</v>
      </c>
      <c r="C26" s="11" t="s">
        <v>56</v>
      </c>
      <c r="D26" s="11" t="s">
        <v>26</v>
      </c>
      <c r="E26" s="12">
        <v>1.3</v>
      </c>
      <c r="F26" s="11">
        <v>1</v>
      </c>
      <c r="G26" s="11">
        <v>1</v>
      </c>
      <c r="H26" s="11">
        <f t="shared" si="1"/>
        <v>1.3</v>
      </c>
      <c r="I26" s="13"/>
      <c r="J26" s="13"/>
      <c r="K26" s="13"/>
      <c r="L26" s="13"/>
      <c r="M26" s="13"/>
      <c r="N26" s="13"/>
    </row>
    <row r="27" s="34" customFormat="1" ht="20" customHeight="1" spans="1:14">
      <c r="A27" s="11">
        <v>26</v>
      </c>
      <c r="B27" s="18" t="s">
        <v>57</v>
      </c>
      <c r="C27" s="18" t="s">
        <v>58</v>
      </c>
      <c r="D27" s="18" t="s">
        <v>20</v>
      </c>
      <c r="E27" s="19">
        <v>0.9</v>
      </c>
      <c r="F27" s="18">
        <v>1</v>
      </c>
      <c r="G27" s="18">
        <v>1</v>
      </c>
      <c r="H27" s="18">
        <f t="shared" si="1"/>
        <v>0.9</v>
      </c>
      <c r="I27" s="21"/>
      <c r="J27" s="21"/>
      <c r="K27" s="21"/>
      <c r="L27" s="21"/>
      <c r="M27" s="21"/>
      <c r="N27" s="21"/>
    </row>
    <row r="28" ht="20" customHeight="1" spans="1:14">
      <c r="A28" s="11">
        <v>27</v>
      </c>
      <c r="B28" s="11" t="s">
        <v>59</v>
      </c>
      <c r="C28" s="11" t="s">
        <v>60</v>
      </c>
      <c r="D28" s="11" t="s">
        <v>26</v>
      </c>
      <c r="E28" s="12">
        <v>2.9</v>
      </c>
      <c r="F28" s="11">
        <v>1</v>
      </c>
      <c r="G28" s="11">
        <v>1</v>
      </c>
      <c r="H28" s="11">
        <f t="shared" si="1"/>
        <v>2.9</v>
      </c>
      <c r="I28" s="13"/>
      <c r="J28" s="13"/>
      <c r="K28" s="13"/>
      <c r="L28" s="13"/>
      <c r="M28" s="13"/>
      <c r="N28" s="13"/>
    </row>
    <row r="29" ht="20" customHeight="1" spans="1:14">
      <c r="A29" s="11">
        <v>28</v>
      </c>
      <c r="B29" s="11" t="s">
        <v>61</v>
      </c>
      <c r="C29" s="11" t="s">
        <v>62</v>
      </c>
      <c r="D29" s="11" t="s">
        <v>63</v>
      </c>
      <c r="E29" s="12">
        <v>7.5</v>
      </c>
      <c r="F29" s="11">
        <v>1</v>
      </c>
      <c r="G29" s="11">
        <v>1</v>
      </c>
      <c r="H29" s="11">
        <f t="shared" si="1"/>
        <v>7.5</v>
      </c>
      <c r="I29" s="13"/>
      <c r="J29" s="13"/>
      <c r="K29" s="13"/>
      <c r="L29" s="13"/>
      <c r="M29" s="13"/>
      <c r="N29" s="13"/>
    </row>
    <row r="30" ht="20" customHeight="1" spans="1:14">
      <c r="A30" s="11">
        <v>29</v>
      </c>
      <c r="B30" s="11" t="s">
        <v>61</v>
      </c>
      <c r="C30" s="11" t="s">
        <v>64</v>
      </c>
      <c r="D30" s="11" t="s">
        <v>26</v>
      </c>
      <c r="E30" s="12">
        <v>7.5</v>
      </c>
      <c r="F30" s="11">
        <v>1</v>
      </c>
      <c r="G30" s="11">
        <v>1</v>
      </c>
      <c r="H30" s="11">
        <f t="shared" si="1"/>
        <v>7.5</v>
      </c>
      <c r="I30" s="13"/>
      <c r="J30" s="13"/>
      <c r="K30" s="13"/>
      <c r="L30" s="13"/>
      <c r="M30" s="13"/>
      <c r="N30" s="13"/>
    </row>
    <row r="31" ht="79" customHeight="1" spans="1:14">
      <c r="A31" s="11">
        <v>30</v>
      </c>
      <c r="B31" s="11" t="s">
        <v>65</v>
      </c>
      <c r="C31" s="11" t="s">
        <v>66</v>
      </c>
      <c r="D31" s="11" t="s">
        <v>67</v>
      </c>
      <c r="E31" s="12">
        <v>0.7</v>
      </c>
      <c r="F31" s="11">
        <v>95</v>
      </c>
      <c r="G31" s="14">
        <v>124</v>
      </c>
      <c r="H31" s="11">
        <v>0</v>
      </c>
      <c r="I31" s="13" t="s">
        <v>68</v>
      </c>
      <c r="J31" s="13"/>
      <c r="K31" s="13"/>
      <c r="L31" s="13"/>
      <c r="M31" s="13"/>
      <c r="N31" s="13"/>
    </row>
    <row r="32" ht="32" customHeight="1" spans="1:14">
      <c r="A32" s="11">
        <v>31</v>
      </c>
      <c r="B32" s="22" t="s">
        <v>69</v>
      </c>
      <c r="C32" s="22" t="s">
        <v>70</v>
      </c>
      <c r="D32" s="22" t="s">
        <v>71</v>
      </c>
      <c r="E32" s="23">
        <v>27</v>
      </c>
      <c r="F32" s="22">
        <v>9</v>
      </c>
      <c r="G32" s="22">
        <v>9</v>
      </c>
      <c r="H32" s="22">
        <f t="shared" si="1"/>
        <v>243</v>
      </c>
      <c r="I32" s="13" t="s">
        <v>72</v>
      </c>
      <c r="J32" s="13"/>
      <c r="K32" s="13"/>
      <c r="L32" s="13"/>
      <c r="M32" s="13"/>
      <c r="N32" s="13"/>
    </row>
    <row r="33" ht="20" customHeight="1" spans="1:14">
      <c r="A33" s="11">
        <v>32</v>
      </c>
      <c r="B33" s="11" t="s">
        <v>73</v>
      </c>
      <c r="C33" s="11" t="s">
        <v>74</v>
      </c>
      <c r="D33" s="11" t="s">
        <v>71</v>
      </c>
      <c r="E33" s="12">
        <v>11.6</v>
      </c>
      <c r="F33" s="11">
        <v>1</v>
      </c>
      <c r="G33" s="11">
        <v>1</v>
      </c>
      <c r="H33" s="11">
        <f t="shared" si="1"/>
        <v>11.6</v>
      </c>
      <c r="I33" s="13"/>
      <c r="J33" s="13"/>
      <c r="K33" s="13"/>
      <c r="L33" s="13"/>
      <c r="M33" s="13"/>
      <c r="N33" s="13"/>
    </row>
    <row r="34" ht="33" customHeight="1" spans="1:14">
      <c r="A34" s="11">
        <v>33</v>
      </c>
      <c r="B34" s="11" t="s">
        <v>75</v>
      </c>
      <c r="C34" s="11" t="s">
        <v>76</v>
      </c>
      <c r="D34" s="11" t="s">
        <v>20</v>
      </c>
      <c r="E34" s="12">
        <v>0.6</v>
      </c>
      <c r="F34" s="11">
        <v>2</v>
      </c>
      <c r="G34" s="11">
        <v>2</v>
      </c>
      <c r="H34" s="11">
        <f t="shared" si="1"/>
        <v>1.2</v>
      </c>
      <c r="I34" s="13"/>
      <c r="J34" s="13"/>
      <c r="K34" s="13"/>
      <c r="L34" s="13"/>
      <c r="M34" s="13"/>
      <c r="N34" s="13"/>
    </row>
    <row r="35" ht="33" customHeight="1" spans="1:14">
      <c r="A35" s="11">
        <v>34</v>
      </c>
      <c r="B35" s="11" t="s">
        <v>77</v>
      </c>
      <c r="C35" s="11" t="s">
        <v>78</v>
      </c>
      <c r="D35" s="11" t="s">
        <v>26</v>
      </c>
      <c r="E35" s="12">
        <v>3.5</v>
      </c>
      <c r="F35" s="11">
        <v>1</v>
      </c>
      <c r="G35" s="11">
        <v>1</v>
      </c>
      <c r="H35" s="11">
        <f t="shared" si="1"/>
        <v>3.5</v>
      </c>
      <c r="I35" s="13"/>
      <c r="J35" s="13"/>
      <c r="K35" s="13"/>
      <c r="L35" s="13"/>
      <c r="M35" s="13"/>
      <c r="N35" s="13"/>
    </row>
    <row r="36" ht="31" customHeight="1" spans="1:14">
      <c r="A36" s="11">
        <v>35</v>
      </c>
      <c r="B36" s="11" t="s">
        <v>79</v>
      </c>
      <c r="C36" s="11" t="s">
        <v>80</v>
      </c>
      <c r="D36" s="11" t="s">
        <v>26</v>
      </c>
      <c r="E36" s="12">
        <v>0.77</v>
      </c>
      <c r="F36" s="11">
        <v>1</v>
      </c>
      <c r="G36" s="11">
        <v>1</v>
      </c>
      <c r="H36" s="11">
        <f t="shared" si="1"/>
        <v>0.77</v>
      </c>
      <c r="I36" s="13"/>
      <c r="J36" s="13"/>
      <c r="K36" s="13"/>
      <c r="L36" s="13"/>
      <c r="M36" s="13"/>
      <c r="N36" s="13"/>
    </row>
    <row r="37" ht="31" customHeight="1" spans="1:14">
      <c r="A37" s="11">
        <v>36</v>
      </c>
      <c r="B37" s="11" t="s">
        <v>81</v>
      </c>
      <c r="C37" s="11" t="s">
        <v>82</v>
      </c>
      <c r="D37" s="11" t="s">
        <v>26</v>
      </c>
      <c r="E37" s="12">
        <v>1.24</v>
      </c>
      <c r="F37" s="11">
        <v>1</v>
      </c>
      <c r="G37" s="11">
        <v>1</v>
      </c>
      <c r="H37" s="11">
        <f t="shared" si="1"/>
        <v>1.24</v>
      </c>
      <c r="I37" s="13"/>
      <c r="J37" s="13"/>
      <c r="K37" s="13"/>
      <c r="L37" s="13"/>
      <c r="M37" s="13"/>
      <c r="N37" s="13"/>
    </row>
    <row r="38" ht="20" customHeight="1" spans="1:14">
      <c r="A38" s="11">
        <v>37</v>
      </c>
      <c r="B38" s="11" t="s">
        <v>83</v>
      </c>
      <c r="C38" s="14" t="s">
        <v>84</v>
      </c>
      <c r="D38" s="11" t="s">
        <v>20</v>
      </c>
      <c r="E38" s="12">
        <v>5.6</v>
      </c>
      <c r="F38" s="11">
        <v>7</v>
      </c>
      <c r="G38" s="11">
        <v>7</v>
      </c>
      <c r="H38" s="11">
        <f t="shared" si="1"/>
        <v>39.2</v>
      </c>
      <c r="I38" s="13"/>
      <c r="J38" s="13"/>
      <c r="K38" s="13"/>
      <c r="L38" s="13"/>
      <c r="M38" s="13"/>
      <c r="N38" s="13"/>
    </row>
    <row r="39" ht="20" customHeight="1" spans="1:14">
      <c r="A39" s="11">
        <v>38</v>
      </c>
      <c r="B39" s="11" t="s">
        <v>85</v>
      </c>
      <c r="C39" s="11" t="s">
        <v>86</v>
      </c>
      <c r="D39" s="11" t="s">
        <v>11</v>
      </c>
      <c r="E39" s="12">
        <v>8.8</v>
      </c>
      <c r="F39" s="11">
        <v>8</v>
      </c>
      <c r="G39" s="11">
        <v>8</v>
      </c>
      <c r="H39" s="11">
        <f t="shared" si="1"/>
        <v>70.4</v>
      </c>
      <c r="I39" s="13"/>
      <c r="J39" s="13"/>
      <c r="K39" s="13"/>
      <c r="L39" s="13"/>
      <c r="M39" s="13"/>
      <c r="N39" s="13"/>
    </row>
    <row r="40" ht="20" customHeight="1" spans="1:14">
      <c r="A40" s="11">
        <v>39</v>
      </c>
      <c r="B40" s="11" t="s">
        <v>87</v>
      </c>
      <c r="C40" s="11" t="s">
        <v>88</v>
      </c>
      <c r="D40" s="11" t="s">
        <v>89</v>
      </c>
      <c r="E40" s="19">
        <v>32.6</v>
      </c>
      <c r="F40" s="11">
        <v>1</v>
      </c>
      <c r="G40" s="11">
        <v>1</v>
      </c>
      <c r="H40" s="11">
        <f t="shared" si="1"/>
        <v>32.6</v>
      </c>
      <c r="I40" s="13"/>
      <c r="J40" s="13"/>
      <c r="K40" s="13"/>
      <c r="L40" s="13"/>
      <c r="M40" s="13"/>
      <c r="N40" s="13"/>
    </row>
    <row r="41" ht="20" customHeight="1" spans="1:14">
      <c r="A41" s="11">
        <v>40</v>
      </c>
      <c r="B41" s="11" t="s">
        <v>90</v>
      </c>
      <c r="C41" s="11"/>
      <c r="D41" s="11" t="s">
        <v>11</v>
      </c>
      <c r="E41" s="11">
        <v>41</v>
      </c>
      <c r="F41" s="11">
        <v>3</v>
      </c>
      <c r="G41" s="14">
        <v>5</v>
      </c>
      <c r="H41" s="11">
        <f t="shared" si="1"/>
        <v>205</v>
      </c>
      <c r="I41" s="13" t="s">
        <v>91</v>
      </c>
      <c r="J41" s="13"/>
      <c r="K41" s="13"/>
      <c r="L41" s="13"/>
      <c r="M41" s="13"/>
      <c r="N41" s="13"/>
    </row>
    <row r="42" ht="20" customHeight="1" spans="1:14">
      <c r="A42" s="11">
        <v>41</v>
      </c>
      <c r="B42" s="11" t="s">
        <v>92</v>
      </c>
      <c r="C42" s="11"/>
      <c r="D42" s="11" t="s">
        <v>11</v>
      </c>
      <c r="E42" s="11">
        <v>68</v>
      </c>
      <c r="F42" s="11">
        <v>8</v>
      </c>
      <c r="G42" s="14">
        <v>12</v>
      </c>
      <c r="H42" s="11">
        <f t="shared" si="1"/>
        <v>816</v>
      </c>
      <c r="I42" s="13" t="s">
        <v>91</v>
      </c>
      <c r="J42" s="13"/>
      <c r="K42" s="13"/>
      <c r="L42" s="13"/>
      <c r="M42" s="13"/>
      <c r="N42" s="13"/>
    </row>
    <row r="43" ht="20" customHeight="1" spans="1:14">
      <c r="A43" s="11">
        <v>42</v>
      </c>
      <c r="B43" s="11" t="s">
        <v>93</v>
      </c>
      <c r="C43" s="11"/>
      <c r="D43" s="11" t="s">
        <v>11</v>
      </c>
      <c r="E43" s="11">
        <v>90.5</v>
      </c>
      <c r="F43" s="11">
        <v>1</v>
      </c>
      <c r="G43" s="11">
        <v>1</v>
      </c>
      <c r="H43" s="11">
        <f t="shared" si="1"/>
        <v>90.5</v>
      </c>
      <c r="I43" s="13"/>
      <c r="J43" s="13"/>
      <c r="K43" s="13"/>
      <c r="L43" s="13"/>
      <c r="M43" s="13"/>
      <c r="N43" s="13"/>
    </row>
    <row r="44" ht="20" customHeight="1" spans="1:14">
      <c r="A44" s="11">
        <v>43</v>
      </c>
      <c r="B44" s="11" t="s">
        <v>94</v>
      </c>
      <c r="C44" s="11"/>
      <c r="D44" s="11" t="s">
        <v>11</v>
      </c>
      <c r="E44" s="11">
        <v>30</v>
      </c>
      <c r="F44" s="11">
        <v>2</v>
      </c>
      <c r="G44" s="11">
        <v>2</v>
      </c>
      <c r="H44" s="11">
        <f t="shared" si="1"/>
        <v>60</v>
      </c>
      <c r="I44" s="13"/>
      <c r="J44" s="13"/>
      <c r="K44" s="13"/>
      <c r="L44" s="13"/>
      <c r="M44" s="13"/>
      <c r="N44" s="13"/>
    </row>
    <row r="45" ht="20" customHeight="1" spans="1:14">
      <c r="A45" s="11">
        <v>44</v>
      </c>
      <c r="B45" s="11" t="s">
        <v>95</v>
      </c>
      <c r="C45" s="11"/>
      <c r="D45" s="11" t="s">
        <v>11</v>
      </c>
      <c r="E45" s="11">
        <v>47.6</v>
      </c>
      <c r="F45" s="11">
        <v>13</v>
      </c>
      <c r="G45" s="14">
        <v>15</v>
      </c>
      <c r="H45" s="11">
        <f t="shared" si="1"/>
        <v>714</v>
      </c>
      <c r="I45" s="13" t="s">
        <v>91</v>
      </c>
      <c r="J45" s="13"/>
      <c r="K45" s="13"/>
      <c r="L45" s="13"/>
      <c r="M45" s="13"/>
      <c r="N45" s="13"/>
    </row>
    <row r="46" ht="20" customHeight="1" spans="1:14">
      <c r="A46" s="11">
        <v>45</v>
      </c>
      <c r="B46" s="11" t="s">
        <v>96</v>
      </c>
      <c r="C46" s="11" t="s">
        <v>97</v>
      </c>
      <c r="D46" s="11" t="s">
        <v>20</v>
      </c>
      <c r="E46" s="12">
        <v>45</v>
      </c>
      <c r="F46" s="11">
        <v>3</v>
      </c>
      <c r="G46" s="14">
        <v>0</v>
      </c>
      <c r="H46" s="11">
        <f t="shared" si="1"/>
        <v>0</v>
      </c>
      <c r="I46" s="13"/>
      <c r="J46" s="13"/>
      <c r="K46" s="13"/>
      <c r="L46" s="13"/>
      <c r="M46" s="13"/>
      <c r="N46" s="13"/>
    </row>
    <row r="47" ht="20" customHeight="1" spans="1:14">
      <c r="A47" s="11">
        <v>46</v>
      </c>
      <c r="B47" s="11" t="s">
        <v>98</v>
      </c>
      <c r="C47" s="11"/>
      <c r="D47" s="11"/>
      <c r="E47" s="12">
        <v>0</v>
      </c>
      <c r="F47" s="11">
        <v>4</v>
      </c>
      <c r="G47" s="14">
        <v>0</v>
      </c>
      <c r="H47" s="11">
        <f t="shared" si="1"/>
        <v>0</v>
      </c>
      <c r="I47" s="13"/>
      <c r="J47" s="13"/>
      <c r="K47" s="13"/>
      <c r="L47" s="13"/>
      <c r="M47" s="13"/>
      <c r="N47" s="13"/>
    </row>
    <row r="48" ht="20" customHeight="1" spans="1:14">
      <c r="A48" s="11">
        <v>47</v>
      </c>
      <c r="B48" s="11" t="s">
        <v>99</v>
      </c>
      <c r="C48" s="11" t="s">
        <v>100</v>
      </c>
      <c r="D48" s="11" t="s">
        <v>20</v>
      </c>
      <c r="E48" s="12">
        <v>1.8</v>
      </c>
      <c r="F48" s="11">
        <v>36</v>
      </c>
      <c r="G48" s="14">
        <v>40</v>
      </c>
      <c r="H48" s="11">
        <v>0</v>
      </c>
      <c r="I48" s="13" t="s">
        <v>68</v>
      </c>
      <c r="J48" s="13"/>
      <c r="K48" s="13"/>
      <c r="L48" s="13"/>
      <c r="M48" s="13"/>
      <c r="N48" s="13"/>
    </row>
    <row r="49" ht="20" customHeight="1" spans="1:14">
      <c r="A49" s="11">
        <v>48</v>
      </c>
      <c r="B49" s="11" t="s">
        <v>101</v>
      </c>
      <c r="C49" s="11" t="s">
        <v>102</v>
      </c>
      <c r="D49" s="11" t="s">
        <v>67</v>
      </c>
      <c r="E49" s="12">
        <v>4.1</v>
      </c>
      <c r="F49" s="11">
        <v>2</v>
      </c>
      <c r="G49" s="11">
        <v>2</v>
      </c>
      <c r="H49" s="11">
        <f t="shared" si="1"/>
        <v>8.2</v>
      </c>
      <c r="I49" s="13"/>
      <c r="J49" s="13"/>
      <c r="K49" s="13"/>
      <c r="L49" s="13"/>
      <c r="M49" s="13"/>
      <c r="N49" s="13"/>
    </row>
    <row r="50" ht="20" customHeight="1" spans="1:14">
      <c r="A50" s="11">
        <v>49</v>
      </c>
      <c r="B50" s="14" t="s">
        <v>101</v>
      </c>
      <c r="C50" s="14" t="s">
        <v>102</v>
      </c>
      <c r="D50" s="14" t="s">
        <v>20</v>
      </c>
      <c r="E50" s="15">
        <v>4.1</v>
      </c>
      <c r="F50" s="14">
        <v>0</v>
      </c>
      <c r="G50" s="14">
        <v>1</v>
      </c>
      <c r="H50" s="14">
        <f t="shared" si="1"/>
        <v>4.1</v>
      </c>
      <c r="I50" s="13"/>
      <c r="J50" s="13"/>
      <c r="K50" s="13"/>
      <c r="L50" s="13"/>
      <c r="M50" s="13"/>
      <c r="N50" s="13"/>
    </row>
    <row r="51" ht="20" customHeight="1" spans="1:14">
      <c r="A51" s="11">
        <v>50</v>
      </c>
      <c r="B51" s="11" t="s">
        <v>103</v>
      </c>
      <c r="C51" s="11" t="s">
        <v>104</v>
      </c>
      <c r="D51" s="11" t="s">
        <v>26</v>
      </c>
      <c r="E51" s="12">
        <v>2.8</v>
      </c>
      <c r="F51" s="11">
        <v>7</v>
      </c>
      <c r="G51" s="11">
        <v>7</v>
      </c>
      <c r="H51" s="11">
        <f t="shared" si="1"/>
        <v>19.6</v>
      </c>
      <c r="I51" s="13"/>
      <c r="J51" s="13"/>
      <c r="K51" s="13"/>
      <c r="L51" s="13"/>
      <c r="M51" s="13"/>
      <c r="N51" s="13"/>
    </row>
    <row r="52" ht="20" customHeight="1" spans="1:14">
      <c r="A52" s="11">
        <v>51</v>
      </c>
      <c r="B52" s="11" t="s">
        <v>105</v>
      </c>
      <c r="C52" s="11" t="s">
        <v>106</v>
      </c>
      <c r="D52" s="11" t="s">
        <v>20</v>
      </c>
      <c r="E52" s="12">
        <v>1.2</v>
      </c>
      <c r="F52" s="11">
        <v>3</v>
      </c>
      <c r="G52" s="14">
        <v>6</v>
      </c>
      <c r="H52" s="11">
        <f t="shared" si="1"/>
        <v>7.2</v>
      </c>
      <c r="I52" s="13"/>
      <c r="J52" s="13"/>
      <c r="K52" s="13"/>
      <c r="L52" s="13"/>
      <c r="M52" s="13"/>
      <c r="N52" s="13"/>
    </row>
    <row r="53" s="31" customFormat="1" ht="20" customHeight="1" spans="1:14">
      <c r="A53" s="11">
        <v>52</v>
      </c>
      <c r="B53" s="14" t="s">
        <v>107</v>
      </c>
      <c r="C53" s="14" t="s">
        <v>108</v>
      </c>
      <c r="D53" s="14" t="s">
        <v>20</v>
      </c>
      <c r="E53" s="15">
        <v>11.2</v>
      </c>
      <c r="F53" s="14">
        <v>0</v>
      </c>
      <c r="G53" s="14">
        <v>1</v>
      </c>
      <c r="H53" s="11">
        <f t="shared" si="1"/>
        <v>11.2</v>
      </c>
      <c r="I53" s="17"/>
      <c r="J53" s="17"/>
      <c r="K53" s="17"/>
      <c r="L53" s="17"/>
      <c r="M53" s="17"/>
      <c r="N53" s="17"/>
    </row>
    <row r="54" ht="20" customHeight="1" spans="1:14">
      <c r="A54" s="11">
        <v>53</v>
      </c>
      <c r="B54" s="11" t="s">
        <v>109</v>
      </c>
      <c r="C54" s="11" t="s">
        <v>110</v>
      </c>
      <c r="D54" s="11" t="s">
        <v>20</v>
      </c>
      <c r="E54" s="12">
        <v>11</v>
      </c>
      <c r="F54" s="11">
        <v>1</v>
      </c>
      <c r="G54" s="14">
        <v>2</v>
      </c>
      <c r="H54" s="11">
        <f t="shared" si="1"/>
        <v>22</v>
      </c>
      <c r="I54" s="13"/>
      <c r="J54" s="13"/>
      <c r="K54" s="13"/>
      <c r="L54" s="13"/>
      <c r="M54" s="13"/>
      <c r="N54" s="13"/>
    </row>
    <row r="55" ht="20" customHeight="1" spans="1:14">
      <c r="A55" s="11">
        <v>54</v>
      </c>
      <c r="B55" s="11" t="s">
        <v>111</v>
      </c>
      <c r="C55" s="11" t="s">
        <v>112</v>
      </c>
      <c r="D55" s="11" t="s">
        <v>67</v>
      </c>
      <c r="E55" s="12">
        <v>19</v>
      </c>
      <c r="F55" s="11">
        <v>2</v>
      </c>
      <c r="G55" s="11">
        <v>2</v>
      </c>
      <c r="H55" s="11">
        <f t="shared" si="1"/>
        <v>38</v>
      </c>
      <c r="I55" s="13"/>
      <c r="J55" s="13"/>
      <c r="K55" s="13"/>
      <c r="L55" s="13"/>
      <c r="M55" s="13"/>
      <c r="N55" s="13"/>
    </row>
    <row r="56" s="31" customFormat="1" ht="20" customHeight="1" spans="1:14">
      <c r="A56" s="11">
        <v>55</v>
      </c>
      <c r="B56" s="14" t="s">
        <v>111</v>
      </c>
      <c r="C56" s="14" t="s">
        <v>112</v>
      </c>
      <c r="D56" s="14" t="s">
        <v>11</v>
      </c>
      <c r="E56" s="15">
        <v>19</v>
      </c>
      <c r="F56" s="14">
        <v>0</v>
      </c>
      <c r="G56" s="14">
        <v>1</v>
      </c>
      <c r="H56" s="14">
        <f t="shared" si="1"/>
        <v>19</v>
      </c>
      <c r="I56" s="17"/>
      <c r="J56" s="17"/>
      <c r="K56" s="17"/>
      <c r="L56" s="17"/>
      <c r="M56" s="17"/>
      <c r="N56" s="17"/>
    </row>
    <row r="57" ht="20" customHeight="1" spans="1:14">
      <c r="A57" s="11">
        <v>56</v>
      </c>
      <c r="B57" s="11" t="s">
        <v>113</v>
      </c>
      <c r="C57" s="11" t="s">
        <v>114</v>
      </c>
      <c r="D57" s="11" t="s">
        <v>20</v>
      </c>
      <c r="E57" s="12">
        <v>5.5</v>
      </c>
      <c r="F57" s="11">
        <v>15</v>
      </c>
      <c r="G57" s="14">
        <v>13</v>
      </c>
      <c r="H57" s="11">
        <f t="shared" si="1"/>
        <v>71.5</v>
      </c>
      <c r="I57" s="13"/>
      <c r="J57" s="13"/>
      <c r="K57" s="13"/>
      <c r="L57" s="13"/>
      <c r="M57" s="13"/>
      <c r="N57" s="13"/>
    </row>
    <row r="58" s="31" customFormat="1" ht="20" customHeight="1" spans="1:14">
      <c r="A58" s="11">
        <v>57</v>
      </c>
      <c r="B58" s="14" t="s">
        <v>113</v>
      </c>
      <c r="C58" s="14" t="s">
        <v>115</v>
      </c>
      <c r="D58" s="14" t="s">
        <v>20</v>
      </c>
      <c r="E58" s="15">
        <v>5.5</v>
      </c>
      <c r="F58" s="14">
        <v>0</v>
      </c>
      <c r="G58" s="14">
        <v>1</v>
      </c>
      <c r="H58" s="11">
        <f t="shared" si="1"/>
        <v>5.5</v>
      </c>
      <c r="I58" s="17"/>
      <c r="J58" s="17"/>
      <c r="K58" s="17"/>
      <c r="L58" s="17"/>
      <c r="M58" s="17"/>
      <c r="N58" s="17"/>
    </row>
    <row r="59" s="31" customFormat="1" ht="20" customHeight="1" spans="1:14">
      <c r="A59" s="11">
        <v>58</v>
      </c>
      <c r="B59" s="14" t="s">
        <v>116</v>
      </c>
      <c r="C59" s="14"/>
      <c r="D59" s="14" t="s">
        <v>20</v>
      </c>
      <c r="E59" s="15">
        <v>12</v>
      </c>
      <c r="F59" s="14">
        <v>0</v>
      </c>
      <c r="G59" s="14">
        <v>3</v>
      </c>
      <c r="H59" s="11">
        <f t="shared" si="1"/>
        <v>36</v>
      </c>
      <c r="I59" s="17"/>
      <c r="J59" s="17"/>
      <c r="K59" s="17"/>
      <c r="L59" s="17"/>
      <c r="M59" s="17"/>
      <c r="N59" s="17"/>
    </row>
    <row r="60" ht="20" customHeight="1" spans="1:14">
      <c r="A60" s="11">
        <v>59</v>
      </c>
      <c r="B60" s="11" t="s">
        <v>117</v>
      </c>
      <c r="C60" s="11" t="s">
        <v>118</v>
      </c>
      <c r="D60" s="11" t="s">
        <v>26</v>
      </c>
      <c r="E60" s="12">
        <v>16</v>
      </c>
      <c r="F60" s="11">
        <v>6</v>
      </c>
      <c r="G60" s="14">
        <v>3</v>
      </c>
      <c r="H60" s="11">
        <f t="shared" si="1"/>
        <v>48</v>
      </c>
      <c r="I60" s="13"/>
      <c r="J60" s="13"/>
      <c r="K60" s="13"/>
      <c r="L60" s="13"/>
      <c r="M60" s="13"/>
      <c r="N60" s="13"/>
    </row>
    <row r="61" ht="20" customHeight="1" spans="1:14">
      <c r="A61" s="11">
        <v>60</v>
      </c>
      <c r="B61" s="11" t="s">
        <v>117</v>
      </c>
      <c r="C61" s="11" t="s">
        <v>119</v>
      </c>
      <c r="D61" s="11"/>
      <c r="E61" s="12">
        <v>16</v>
      </c>
      <c r="F61" s="11">
        <v>3</v>
      </c>
      <c r="G61" s="14">
        <v>0</v>
      </c>
      <c r="H61" s="11">
        <f t="shared" si="1"/>
        <v>0</v>
      </c>
      <c r="I61" s="13"/>
      <c r="J61" s="13"/>
      <c r="K61" s="13"/>
      <c r="L61" s="13"/>
      <c r="M61" s="13"/>
      <c r="N61" s="13"/>
    </row>
    <row r="62" ht="20" customHeight="1" spans="1:14">
      <c r="A62" s="11">
        <v>61</v>
      </c>
      <c r="B62" s="11" t="s">
        <v>117</v>
      </c>
      <c r="C62" s="11" t="s">
        <v>120</v>
      </c>
      <c r="D62" s="11"/>
      <c r="E62" s="12">
        <v>16</v>
      </c>
      <c r="F62" s="11">
        <v>12</v>
      </c>
      <c r="G62" s="14">
        <v>0</v>
      </c>
      <c r="H62" s="11">
        <f t="shared" si="1"/>
        <v>0</v>
      </c>
      <c r="I62" s="13"/>
      <c r="J62" s="13"/>
      <c r="K62" s="13"/>
      <c r="L62" s="13"/>
      <c r="M62" s="13"/>
      <c r="N62" s="13"/>
    </row>
    <row r="63" s="31" customFormat="1" ht="20" customHeight="1" spans="1:14">
      <c r="A63" s="11">
        <v>62</v>
      </c>
      <c r="B63" s="14" t="s">
        <v>121</v>
      </c>
      <c r="C63" s="14" t="s">
        <v>122</v>
      </c>
      <c r="D63" s="14" t="s">
        <v>26</v>
      </c>
      <c r="E63" s="15">
        <v>20</v>
      </c>
      <c r="F63" s="14">
        <v>0</v>
      </c>
      <c r="G63" s="14">
        <v>1</v>
      </c>
      <c r="H63" s="14">
        <f t="shared" si="1"/>
        <v>20</v>
      </c>
      <c r="I63" s="17"/>
      <c r="J63" s="17"/>
      <c r="K63" s="17"/>
      <c r="L63" s="17"/>
      <c r="M63" s="17"/>
      <c r="N63" s="17"/>
    </row>
    <row r="64" ht="20" customHeight="1" spans="1:14">
      <c r="A64" s="11">
        <v>63</v>
      </c>
      <c r="B64" s="11" t="s">
        <v>123</v>
      </c>
      <c r="C64" s="11" t="s">
        <v>124</v>
      </c>
      <c r="D64" s="11" t="s">
        <v>20</v>
      </c>
      <c r="E64" s="12">
        <v>25</v>
      </c>
      <c r="F64" s="11">
        <v>7</v>
      </c>
      <c r="G64" s="14">
        <v>28</v>
      </c>
      <c r="H64" s="11">
        <f t="shared" si="1"/>
        <v>700</v>
      </c>
      <c r="I64" s="13"/>
      <c r="J64" s="13"/>
      <c r="K64" s="13"/>
      <c r="L64" s="13"/>
      <c r="M64" s="13"/>
      <c r="N64" s="13"/>
    </row>
    <row r="65" s="31" customFormat="1" ht="20" customHeight="1" spans="1:14">
      <c r="A65" s="11">
        <v>64</v>
      </c>
      <c r="B65" s="14" t="s">
        <v>125</v>
      </c>
      <c r="C65" s="14"/>
      <c r="D65" s="14" t="s">
        <v>11</v>
      </c>
      <c r="E65" s="15">
        <v>28</v>
      </c>
      <c r="F65" s="14">
        <v>0</v>
      </c>
      <c r="G65" s="14">
        <v>10</v>
      </c>
      <c r="H65" s="11">
        <f t="shared" si="1"/>
        <v>280</v>
      </c>
      <c r="I65" s="17"/>
      <c r="J65" s="17"/>
      <c r="K65" s="17"/>
      <c r="L65" s="17"/>
      <c r="M65" s="17"/>
      <c r="N65" s="17"/>
    </row>
    <row r="66" ht="20" customHeight="1" spans="1:14">
      <c r="A66" s="11">
        <v>65</v>
      </c>
      <c r="B66" s="11" t="s">
        <v>126</v>
      </c>
      <c r="C66" s="11" t="s">
        <v>127</v>
      </c>
      <c r="D66" s="11"/>
      <c r="E66" s="12">
        <v>0</v>
      </c>
      <c r="F66" s="11">
        <v>1</v>
      </c>
      <c r="G66" s="11">
        <v>0</v>
      </c>
      <c r="H66" s="11">
        <f t="shared" si="1"/>
        <v>0</v>
      </c>
      <c r="I66" s="13"/>
      <c r="J66" s="13"/>
      <c r="K66" s="13"/>
      <c r="L66" s="13"/>
      <c r="M66" s="13"/>
      <c r="N66" s="13"/>
    </row>
    <row r="67" ht="20" customHeight="1" spans="1:14">
      <c r="A67" s="11">
        <v>66</v>
      </c>
      <c r="B67" s="11" t="s">
        <v>128</v>
      </c>
      <c r="C67" s="11"/>
      <c r="D67" s="11" t="s">
        <v>20</v>
      </c>
      <c r="E67" s="12">
        <v>12</v>
      </c>
      <c r="F67" s="11">
        <v>66</v>
      </c>
      <c r="G67" s="14">
        <v>51</v>
      </c>
      <c r="H67" s="11">
        <f t="shared" si="1"/>
        <v>612</v>
      </c>
      <c r="I67" s="13"/>
      <c r="J67" s="13"/>
      <c r="K67" s="13"/>
      <c r="L67" s="13"/>
      <c r="M67" s="13"/>
      <c r="N67" s="13"/>
    </row>
    <row r="68" ht="20" customHeight="1" spans="1:14">
      <c r="A68" s="11">
        <v>67</v>
      </c>
      <c r="B68" s="11" t="s">
        <v>129</v>
      </c>
      <c r="C68" s="11" t="s">
        <v>130</v>
      </c>
      <c r="D68" s="11"/>
      <c r="E68" s="12">
        <v>6.6</v>
      </c>
      <c r="F68" s="11">
        <v>16</v>
      </c>
      <c r="G68" s="14">
        <v>12</v>
      </c>
      <c r="H68" s="11">
        <f t="shared" si="1"/>
        <v>79.2</v>
      </c>
      <c r="I68" s="13"/>
      <c r="J68" s="13"/>
      <c r="K68" s="13"/>
      <c r="L68" s="13"/>
      <c r="M68" s="13"/>
      <c r="N68" s="13"/>
    </row>
    <row r="69" ht="20" customHeight="1" spans="1:14">
      <c r="A69" s="11">
        <v>68</v>
      </c>
      <c r="B69" s="11" t="s">
        <v>131</v>
      </c>
      <c r="C69" s="11" t="s">
        <v>132</v>
      </c>
      <c r="D69" s="11" t="s">
        <v>26</v>
      </c>
      <c r="E69" s="35">
        <v>5.5</v>
      </c>
      <c r="F69" s="11">
        <v>10</v>
      </c>
      <c r="G69" s="11">
        <v>0</v>
      </c>
      <c r="H69" s="11">
        <f>PRODUCT(G69*E71)</f>
        <v>0</v>
      </c>
      <c r="I69" s="13"/>
      <c r="J69" s="13"/>
      <c r="K69" s="13"/>
      <c r="L69" s="13"/>
      <c r="M69" s="13"/>
      <c r="N69" s="13"/>
    </row>
    <row r="70" s="31" customFormat="1" ht="20" customHeight="1" spans="1:14">
      <c r="A70" s="14"/>
      <c r="B70" s="14" t="s">
        <v>131</v>
      </c>
      <c r="C70" s="14" t="s">
        <v>133</v>
      </c>
      <c r="D70" s="14" t="s">
        <v>67</v>
      </c>
      <c r="E70" s="36">
        <v>5.5</v>
      </c>
      <c r="F70" s="14">
        <v>0</v>
      </c>
      <c r="G70" s="14">
        <v>20</v>
      </c>
      <c r="H70" s="11">
        <f>PRODUCT(G70*E72)</f>
        <v>114</v>
      </c>
      <c r="I70" s="17"/>
      <c r="J70" s="17"/>
      <c r="K70" s="17"/>
      <c r="L70" s="17"/>
      <c r="M70" s="17"/>
      <c r="N70" s="17"/>
    </row>
    <row r="71" ht="32" customHeight="1" spans="1:14">
      <c r="A71" s="11">
        <v>69</v>
      </c>
      <c r="B71" s="11" t="s">
        <v>134</v>
      </c>
      <c r="C71" s="11" t="s">
        <v>135</v>
      </c>
      <c r="D71" s="11" t="s">
        <v>26</v>
      </c>
      <c r="E71" s="12">
        <v>5.7</v>
      </c>
      <c r="F71" s="11">
        <v>20</v>
      </c>
      <c r="G71" s="14">
        <v>5</v>
      </c>
      <c r="H71" s="11">
        <v>28.5</v>
      </c>
      <c r="I71" s="13"/>
      <c r="J71" s="13"/>
      <c r="K71" s="13"/>
      <c r="L71" s="13"/>
      <c r="M71" s="13"/>
      <c r="N71" s="13"/>
    </row>
    <row r="72" s="31" customFormat="1" ht="20" customHeight="1" spans="1:14">
      <c r="A72" s="14"/>
      <c r="B72" s="14" t="s">
        <v>134</v>
      </c>
      <c r="C72" s="14" t="s">
        <v>136</v>
      </c>
      <c r="D72" s="14" t="s">
        <v>67</v>
      </c>
      <c r="E72" s="15">
        <v>5.7</v>
      </c>
      <c r="F72" s="14">
        <v>0</v>
      </c>
      <c r="G72" s="14">
        <v>5</v>
      </c>
      <c r="H72" s="11">
        <v>28.5</v>
      </c>
      <c r="I72" s="17"/>
      <c r="J72" s="17"/>
      <c r="K72" s="17"/>
      <c r="L72" s="17"/>
      <c r="M72" s="17"/>
      <c r="N72" s="17"/>
    </row>
    <row r="73" ht="20" customHeight="1" spans="1:14">
      <c r="A73" s="11">
        <v>70</v>
      </c>
      <c r="B73" s="11" t="s">
        <v>137</v>
      </c>
      <c r="C73" s="11"/>
      <c r="D73" s="11" t="s">
        <v>11</v>
      </c>
      <c r="E73" s="12">
        <v>88</v>
      </c>
      <c r="F73" s="11">
        <v>11</v>
      </c>
      <c r="G73" s="14">
        <v>15</v>
      </c>
      <c r="H73" s="11">
        <f t="shared" ref="H73:H84" si="2">PRODUCT(G73*E73)</f>
        <v>1320</v>
      </c>
      <c r="I73" s="13"/>
      <c r="J73" s="13"/>
      <c r="K73" s="13"/>
      <c r="L73" s="13"/>
      <c r="M73" s="13"/>
      <c r="N73" s="13"/>
    </row>
    <row r="74" ht="20" customHeight="1" spans="1:14">
      <c r="A74" s="11">
        <v>71</v>
      </c>
      <c r="B74" s="11" t="s">
        <v>138</v>
      </c>
      <c r="C74" s="11"/>
      <c r="D74" s="11" t="s">
        <v>11</v>
      </c>
      <c r="E74" s="12">
        <v>125</v>
      </c>
      <c r="F74" s="11">
        <v>19</v>
      </c>
      <c r="G74" s="11">
        <v>19</v>
      </c>
      <c r="H74" s="11">
        <f t="shared" si="2"/>
        <v>2375</v>
      </c>
      <c r="I74" s="13"/>
      <c r="J74" s="13"/>
      <c r="K74" s="13"/>
      <c r="L74" s="13"/>
      <c r="M74" s="13"/>
      <c r="N74" s="13"/>
    </row>
    <row r="75" ht="20" customHeight="1" spans="1:14">
      <c r="A75" s="11">
        <v>72</v>
      </c>
      <c r="B75" s="11" t="s">
        <v>139</v>
      </c>
      <c r="C75" s="11"/>
      <c r="D75" s="11" t="s">
        <v>11</v>
      </c>
      <c r="E75" s="12">
        <v>192</v>
      </c>
      <c r="F75" s="11">
        <v>16</v>
      </c>
      <c r="G75" s="14">
        <v>13</v>
      </c>
      <c r="H75" s="11">
        <f t="shared" si="2"/>
        <v>2496</v>
      </c>
      <c r="I75" s="13"/>
      <c r="J75" s="13"/>
      <c r="K75" s="13"/>
      <c r="L75" s="13"/>
      <c r="M75" s="13"/>
      <c r="N75" s="13"/>
    </row>
    <row r="76" ht="20" customHeight="1" spans="1:14">
      <c r="A76" s="11">
        <v>73</v>
      </c>
      <c r="B76" s="11" t="s">
        <v>140</v>
      </c>
      <c r="C76" s="11"/>
      <c r="D76" s="11" t="s">
        <v>11</v>
      </c>
      <c r="E76" s="12">
        <v>228</v>
      </c>
      <c r="F76" s="11">
        <v>1</v>
      </c>
      <c r="G76" s="11">
        <v>1</v>
      </c>
      <c r="H76" s="11">
        <f t="shared" si="2"/>
        <v>228</v>
      </c>
      <c r="I76" s="13"/>
      <c r="J76" s="13"/>
      <c r="K76" s="13"/>
      <c r="L76" s="13"/>
      <c r="M76" s="13"/>
      <c r="N76" s="13"/>
    </row>
    <row r="77" ht="20" customHeight="1" spans="1:14">
      <c r="A77" s="11">
        <v>74</v>
      </c>
      <c r="B77" s="11" t="s">
        <v>141</v>
      </c>
      <c r="C77" s="11"/>
      <c r="D77" s="11" t="s">
        <v>11</v>
      </c>
      <c r="E77" s="12">
        <v>0</v>
      </c>
      <c r="F77" s="11">
        <v>1</v>
      </c>
      <c r="G77" s="14">
        <v>0</v>
      </c>
      <c r="H77" s="11">
        <f t="shared" si="2"/>
        <v>0</v>
      </c>
      <c r="I77" s="13"/>
      <c r="J77" s="13"/>
      <c r="K77" s="13"/>
      <c r="L77" s="13"/>
      <c r="M77" s="13"/>
      <c r="N77" s="13"/>
    </row>
    <row r="78" s="31" customFormat="1" ht="20" customHeight="1" spans="1:14">
      <c r="A78" s="11">
        <v>75</v>
      </c>
      <c r="B78" s="14" t="s">
        <v>142</v>
      </c>
      <c r="C78" s="14"/>
      <c r="D78" s="14" t="s">
        <v>11</v>
      </c>
      <c r="E78" s="15">
        <v>22</v>
      </c>
      <c r="F78" s="14">
        <v>0</v>
      </c>
      <c r="G78" s="14">
        <v>5</v>
      </c>
      <c r="H78" s="11">
        <f t="shared" si="2"/>
        <v>110</v>
      </c>
      <c r="I78" s="17"/>
      <c r="J78" s="17"/>
      <c r="K78" s="17"/>
      <c r="L78" s="17"/>
      <c r="M78" s="17"/>
      <c r="N78" s="17"/>
    </row>
    <row r="79" ht="20" customHeight="1" spans="1:14">
      <c r="A79" s="11">
        <v>76</v>
      </c>
      <c r="B79" s="11" t="s">
        <v>143</v>
      </c>
      <c r="C79" s="11"/>
      <c r="D79" s="11" t="s">
        <v>11</v>
      </c>
      <c r="E79" s="12">
        <v>42</v>
      </c>
      <c r="F79" s="11">
        <v>1</v>
      </c>
      <c r="G79" s="28">
        <v>1</v>
      </c>
      <c r="H79" s="11">
        <f t="shared" si="2"/>
        <v>42</v>
      </c>
      <c r="I79" s="13"/>
      <c r="J79" s="13"/>
      <c r="K79" s="13"/>
      <c r="L79" s="13"/>
      <c r="M79" s="13"/>
      <c r="N79" s="13"/>
    </row>
    <row r="80" ht="20" customHeight="1" spans="1:14">
      <c r="A80" s="11">
        <v>77</v>
      </c>
      <c r="B80" s="11" t="s">
        <v>144</v>
      </c>
      <c r="C80" s="11"/>
      <c r="D80" s="11" t="s">
        <v>11</v>
      </c>
      <c r="E80" s="12">
        <v>64</v>
      </c>
      <c r="F80" s="11">
        <v>5</v>
      </c>
      <c r="G80" s="11">
        <v>5</v>
      </c>
      <c r="H80" s="11">
        <f t="shared" si="2"/>
        <v>320</v>
      </c>
      <c r="I80" s="13"/>
      <c r="J80" s="13"/>
      <c r="K80" s="13"/>
      <c r="L80" s="13"/>
      <c r="M80" s="13"/>
      <c r="N80" s="13"/>
    </row>
    <row r="81" ht="20" customHeight="1" spans="1:14">
      <c r="A81" s="11">
        <v>78</v>
      </c>
      <c r="B81" s="11" t="s">
        <v>145</v>
      </c>
      <c r="C81" s="11"/>
      <c r="D81" s="11" t="s">
        <v>11</v>
      </c>
      <c r="E81" s="12">
        <v>148</v>
      </c>
      <c r="F81" s="11">
        <v>8</v>
      </c>
      <c r="G81" s="11">
        <v>8</v>
      </c>
      <c r="H81" s="11">
        <f t="shared" si="2"/>
        <v>1184</v>
      </c>
      <c r="I81" s="13"/>
      <c r="J81" s="13"/>
      <c r="K81" s="13"/>
      <c r="L81" s="13"/>
      <c r="M81" s="13"/>
      <c r="N81" s="13"/>
    </row>
    <row r="82" ht="20" customHeight="1" spans="1:14">
      <c r="A82" s="11">
        <v>79</v>
      </c>
      <c r="B82" s="11" t="s">
        <v>146</v>
      </c>
      <c r="C82" s="11"/>
      <c r="D82" s="11" t="s">
        <v>11</v>
      </c>
      <c r="E82" s="12">
        <v>172</v>
      </c>
      <c r="F82" s="11">
        <v>2</v>
      </c>
      <c r="G82" s="11">
        <v>2</v>
      </c>
      <c r="H82" s="11">
        <v>0</v>
      </c>
      <c r="I82" s="13" t="s">
        <v>147</v>
      </c>
      <c r="J82" s="13"/>
      <c r="K82" s="13"/>
      <c r="L82" s="13"/>
      <c r="M82" s="13"/>
      <c r="N82" s="13"/>
    </row>
    <row r="83" ht="20" customHeight="1" spans="1:14">
      <c r="A83" s="11">
        <v>80</v>
      </c>
      <c r="B83" s="11" t="s">
        <v>148</v>
      </c>
      <c r="C83" s="11" t="s">
        <v>149</v>
      </c>
      <c r="D83" s="11" t="s">
        <v>67</v>
      </c>
      <c r="E83" s="12">
        <v>1.2</v>
      </c>
      <c r="F83" s="11">
        <v>798</v>
      </c>
      <c r="G83" s="14">
        <v>798</v>
      </c>
      <c r="H83" s="11">
        <f t="shared" si="2"/>
        <v>957.6</v>
      </c>
      <c r="I83" s="13" t="s">
        <v>150</v>
      </c>
      <c r="J83" s="13"/>
      <c r="K83" s="13"/>
      <c r="L83" s="13"/>
      <c r="M83" s="13"/>
      <c r="N83" s="13"/>
    </row>
    <row r="84" ht="20" customHeight="1" spans="1:14">
      <c r="A84" s="11">
        <v>81</v>
      </c>
      <c r="B84" s="11" t="s">
        <v>151</v>
      </c>
      <c r="C84" s="11" t="s">
        <v>152</v>
      </c>
      <c r="D84" s="11" t="s">
        <v>26</v>
      </c>
      <c r="E84" s="12">
        <v>0.7</v>
      </c>
      <c r="F84" s="11">
        <v>18</v>
      </c>
      <c r="G84" s="11">
        <v>18</v>
      </c>
      <c r="H84" s="11">
        <v>0</v>
      </c>
      <c r="I84" s="13" t="s">
        <v>68</v>
      </c>
      <c r="J84" s="13"/>
      <c r="K84" s="13"/>
      <c r="L84" s="13"/>
      <c r="M84" s="13"/>
      <c r="N84" s="13"/>
    </row>
    <row r="85" s="30" customFormat="1" spans="1:14">
      <c r="A85" s="37"/>
      <c r="B85" s="37"/>
      <c r="C85" s="37"/>
      <c r="D85" s="37"/>
      <c r="E85" s="38"/>
      <c r="F85" s="37"/>
      <c r="G85" s="37" t="s">
        <v>153</v>
      </c>
      <c r="H85" s="37">
        <f>SUM(H2:H84)</f>
        <v>14730.03</v>
      </c>
      <c r="I85" s="37"/>
      <c r="J85" s="37"/>
      <c r="K85" s="37"/>
      <c r="L85" s="37"/>
      <c r="M85" s="37"/>
      <c r="N85" s="3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opLeftCell="A24" workbookViewId="0">
      <selection activeCell="A1" sqref="A1:I40"/>
    </sheetView>
  </sheetViews>
  <sheetFormatPr defaultColWidth="9.14285714285714" defaultRowHeight="15"/>
  <cols>
    <col min="1" max="1" width="6.14285714285714" customWidth="1"/>
    <col min="2" max="2" width="39.5714285714286" customWidth="1"/>
    <col min="3" max="3" width="20.7142857142857" customWidth="1"/>
    <col min="4" max="4" width="15.8571428571429" customWidth="1"/>
    <col min="5" max="5" width="20.7142857142857" style="32" customWidth="1"/>
    <col min="6" max="7" width="9.57142857142857" customWidth="1"/>
    <col min="8" max="8" width="9.57142857142857" style="32" customWidth="1"/>
    <col min="9" max="9" width="16.1428571428571" customWidth="1"/>
    <col min="10" max="10" width="17.4285714285714" customWidth="1"/>
  </cols>
  <sheetData>
    <row r="1" ht="38" customHeight="1" spans="1:10">
      <c r="A1" s="7" t="s">
        <v>0</v>
      </c>
      <c r="B1" s="7" t="s">
        <v>1</v>
      </c>
      <c r="C1" s="7" t="s">
        <v>2</v>
      </c>
      <c r="D1" s="7" t="s">
        <v>3</v>
      </c>
      <c r="E1" s="8" t="s">
        <v>154</v>
      </c>
      <c r="F1" s="7" t="s">
        <v>155</v>
      </c>
      <c r="G1" s="7" t="s">
        <v>156</v>
      </c>
      <c r="H1" s="8" t="s">
        <v>157</v>
      </c>
      <c r="I1" s="7" t="s">
        <v>158</v>
      </c>
    </row>
    <row r="2" ht="25" customHeight="1" spans="1:10">
      <c r="A2" s="11">
        <v>1</v>
      </c>
      <c r="B2" s="11" t="s">
        <v>159</v>
      </c>
      <c r="C2" s="11" t="s">
        <v>160</v>
      </c>
      <c r="D2" s="11" t="s">
        <v>161</v>
      </c>
      <c r="E2" s="12">
        <v>11.2</v>
      </c>
      <c r="F2" s="11">
        <v>1</v>
      </c>
      <c r="G2" s="11">
        <v>1</v>
      </c>
      <c r="H2" s="12">
        <f>PRODUCT(E2*G2)</f>
        <v>11.2</v>
      </c>
      <c r="I2" s="11" t="s">
        <v>162</v>
      </c>
    </row>
    <row r="3" ht="25" customHeight="1" spans="1:10">
      <c r="A3" s="11">
        <v>2</v>
      </c>
      <c r="B3" s="11" t="s">
        <v>163</v>
      </c>
      <c r="C3" s="11" t="s">
        <v>164</v>
      </c>
      <c r="D3" s="11" t="s">
        <v>20</v>
      </c>
      <c r="E3" s="12">
        <v>33.7</v>
      </c>
      <c r="F3" s="11">
        <v>1</v>
      </c>
      <c r="G3" s="11">
        <v>1</v>
      </c>
      <c r="H3" s="12">
        <f t="shared" ref="H3:H37" si="0">PRODUCT(E3*G3)</f>
        <v>33.7</v>
      </c>
      <c r="I3" s="11" t="s">
        <v>162</v>
      </c>
    </row>
    <row r="4" ht="39" customHeight="1" spans="1:10">
      <c r="A4" s="11">
        <v>3</v>
      </c>
      <c r="B4" s="11" t="s">
        <v>165</v>
      </c>
      <c r="C4" s="11" t="s">
        <v>166</v>
      </c>
      <c r="D4" s="11" t="s">
        <v>11</v>
      </c>
      <c r="E4" s="12">
        <v>2.3</v>
      </c>
      <c r="F4" s="11">
        <v>6</v>
      </c>
      <c r="G4" s="11">
        <v>6</v>
      </c>
      <c r="H4" s="12">
        <f t="shared" si="0"/>
        <v>13.8</v>
      </c>
      <c r="I4" s="11" t="s">
        <v>162</v>
      </c>
    </row>
    <row r="5" ht="25" customHeight="1" spans="1:10">
      <c r="A5" s="22">
        <v>4</v>
      </c>
      <c r="B5" s="22" t="s">
        <v>24</v>
      </c>
      <c r="C5" s="22" t="s">
        <v>167</v>
      </c>
      <c r="D5" s="22"/>
      <c r="E5" s="23">
        <v>3.64</v>
      </c>
      <c r="F5" s="22">
        <v>2</v>
      </c>
      <c r="G5" s="22"/>
      <c r="H5" s="23">
        <f t="shared" si="0"/>
        <v>0</v>
      </c>
      <c r="I5" s="22" t="s">
        <v>162</v>
      </c>
      <c r="J5" t="s">
        <v>168</v>
      </c>
    </row>
    <row r="6" ht="42" customHeight="1" spans="1:10">
      <c r="A6" s="11">
        <v>5</v>
      </c>
      <c r="B6" s="11" t="s">
        <v>169</v>
      </c>
      <c r="C6" s="11" t="s">
        <v>170</v>
      </c>
      <c r="D6" s="11" t="s">
        <v>67</v>
      </c>
      <c r="E6" s="12">
        <v>2.3</v>
      </c>
      <c r="F6" s="11">
        <v>1</v>
      </c>
      <c r="G6" s="11">
        <v>1</v>
      </c>
      <c r="H6" s="12">
        <f t="shared" si="0"/>
        <v>2.3</v>
      </c>
      <c r="I6" s="11" t="s">
        <v>162</v>
      </c>
    </row>
    <row r="7" ht="40" customHeight="1" spans="1:10">
      <c r="A7" s="11">
        <v>6</v>
      </c>
      <c r="B7" s="11" t="s">
        <v>171</v>
      </c>
      <c r="C7" s="11" t="s">
        <v>172</v>
      </c>
      <c r="D7" s="11" t="s">
        <v>67</v>
      </c>
      <c r="E7" s="12">
        <v>5.7</v>
      </c>
      <c r="F7" s="11">
        <v>3</v>
      </c>
      <c r="G7" s="11">
        <v>3</v>
      </c>
      <c r="H7" s="12">
        <f t="shared" si="0"/>
        <v>17.1</v>
      </c>
      <c r="I7" s="11" t="s">
        <v>162</v>
      </c>
    </row>
    <row r="8" ht="41" customHeight="1" spans="1:10">
      <c r="A8" s="22">
        <v>7</v>
      </c>
      <c r="B8" s="22" t="s">
        <v>173</v>
      </c>
      <c r="C8" s="22" t="s">
        <v>174</v>
      </c>
      <c r="D8" s="22"/>
      <c r="E8" s="23">
        <v>1.53</v>
      </c>
      <c r="F8" s="22">
        <v>1</v>
      </c>
      <c r="G8" s="22"/>
      <c r="H8" s="23">
        <f t="shared" si="0"/>
        <v>0</v>
      </c>
      <c r="I8" s="22" t="s">
        <v>162</v>
      </c>
    </row>
    <row r="9" ht="25" customHeight="1" spans="1:10">
      <c r="A9" s="11">
        <v>8</v>
      </c>
      <c r="B9" s="11" t="s">
        <v>175</v>
      </c>
      <c r="C9" s="11" t="s">
        <v>176</v>
      </c>
      <c r="D9" s="11" t="s">
        <v>67</v>
      </c>
      <c r="E9" s="12">
        <v>4.3</v>
      </c>
      <c r="F9" s="11">
        <v>4</v>
      </c>
      <c r="G9" s="11">
        <v>4</v>
      </c>
      <c r="H9" s="12">
        <f t="shared" si="0"/>
        <v>17.2</v>
      </c>
      <c r="I9" s="11" t="s">
        <v>162</v>
      </c>
    </row>
    <row r="10" ht="43" customHeight="1" spans="1:10">
      <c r="A10" s="11">
        <v>9</v>
      </c>
      <c r="B10" s="11" t="s">
        <v>177</v>
      </c>
      <c r="C10" s="11" t="s">
        <v>178</v>
      </c>
      <c r="D10" s="11" t="s">
        <v>67</v>
      </c>
      <c r="E10" s="12">
        <v>1.1</v>
      </c>
      <c r="F10" s="11">
        <v>2</v>
      </c>
      <c r="G10" s="11">
        <v>2</v>
      </c>
      <c r="H10" s="12">
        <f t="shared" si="0"/>
        <v>2.2</v>
      </c>
      <c r="I10" s="11" t="s">
        <v>162</v>
      </c>
    </row>
    <row r="11" ht="38" customHeight="1" spans="1:10">
      <c r="A11" s="11">
        <v>10</v>
      </c>
      <c r="B11" s="11" t="s">
        <v>179</v>
      </c>
      <c r="C11" s="11" t="s">
        <v>180</v>
      </c>
      <c r="D11" s="11" t="s">
        <v>67</v>
      </c>
      <c r="E11" s="12">
        <v>12.3</v>
      </c>
      <c r="F11" s="11">
        <v>1</v>
      </c>
      <c r="G11" s="11">
        <v>1</v>
      </c>
      <c r="H11" s="12">
        <f t="shared" si="0"/>
        <v>12.3</v>
      </c>
      <c r="I11" s="11" t="s">
        <v>162</v>
      </c>
    </row>
    <row r="12" ht="25" customHeight="1" spans="1:10">
      <c r="A12" s="22">
        <v>11</v>
      </c>
      <c r="B12" s="22" t="s">
        <v>181</v>
      </c>
      <c r="C12" s="22"/>
      <c r="D12" s="22"/>
      <c r="E12" s="23"/>
      <c r="F12" s="22">
        <v>2</v>
      </c>
      <c r="G12" s="22"/>
      <c r="H12" s="23">
        <f t="shared" si="0"/>
        <v>0</v>
      </c>
      <c r="I12" s="22" t="s">
        <v>162</v>
      </c>
    </row>
    <row r="13" ht="48" customHeight="1" spans="1:10">
      <c r="A13" s="22">
        <v>12</v>
      </c>
      <c r="B13" s="22" t="s">
        <v>182</v>
      </c>
      <c r="C13" s="22"/>
      <c r="D13" s="22"/>
      <c r="E13" s="23"/>
      <c r="F13" s="22">
        <v>1</v>
      </c>
      <c r="G13" s="22"/>
      <c r="H13" s="23">
        <f t="shared" si="0"/>
        <v>0</v>
      </c>
      <c r="I13" s="22" t="s">
        <v>162</v>
      </c>
    </row>
    <row r="14" ht="46" customHeight="1" spans="1:10">
      <c r="A14" s="22">
        <v>13</v>
      </c>
      <c r="B14" s="22" t="s">
        <v>183</v>
      </c>
      <c r="C14" s="22"/>
      <c r="D14" s="22"/>
      <c r="E14" s="23"/>
      <c r="F14" s="22">
        <v>1</v>
      </c>
      <c r="G14" s="22"/>
      <c r="H14" s="23">
        <f t="shared" si="0"/>
        <v>0</v>
      </c>
      <c r="I14" s="22" t="s">
        <v>162</v>
      </c>
    </row>
    <row r="15" ht="33" customHeight="1" spans="1:10">
      <c r="A15" s="11">
        <v>14</v>
      </c>
      <c r="B15" s="11" t="s">
        <v>184</v>
      </c>
      <c r="C15" s="11" t="s">
        <v>185</v>
      </c>
      <c r="D15" s="11" t="s">
        <v>67</v>
      </c>
      <c r="E15" s="12">
        <v>2.06</v>
      </c>
      <c r="F15" s="11">
        <v>2</v>
      </c>
      <c r="G15" s="11">
        <v>2</v>
      </c>
      <c r="H15" s="12">
        <f t="shared" si="0"/>
        <v>4.12</v>
      </c>
      <c r="I15" s="11" t="s">
        <v>162</v>
      </c>
    </row>
    <row r="16" ht="46" customHeight="1" spans="1:10">
      <c r="A16" s="11">
        <v>15</v>
      </c>
      <c r="B16" s="11" t="s">
        <v>186</v>
      </c>
      <c r="C16" s="11" t="s">
        <v>187</v>
      </c>
      <c r="D16" s="11" t="s">
        <v>67</v>
      </c>
      <c r="E16" s="12">
        <v>1.52</v>
      </c>
      <c r="F16" s="11">
        <v>1</v>
      </c>
      <c r="G16" s="11">
        <v>1</v>
      </c>
      <c r="H16" s="12">
        <f t="shared" si="0"/>
        <v>1.52</v>
      </c>
      <c r="I16" s="11" t="s">
        <v>162</v>
      </c>
    </row>
    <row r="17" ht="39" customHeight="1" spans="1:9">
      <c r="A17" s="11">
        <v>16</v>
      </c>
      <c r="B17" s="11" t="s">
        <v>188</v>
      </c>
      <c r="C17" s="11" t="s">
        <v>189</v>
      </c>
      <c r="D17" s="11" t="s">
        <v>20</v>
      </c>
      <c r="E17" s="12">
        <v>1.5</v>
      </c>
      <c r="F17" s="11">
        <v>6</v>
      </c>
      <c r="G17" s="11">
        <v>6</v>
      </c>
      <c r="H17" s="12">
        <f t="shared" si="0"/>
        <v>9</v>
      </c>
      <c r="I17" s="11" t="s">
        <v>162</v>
      </c>
    </row>
    <row r="18" ht="25" customHeight="1" spans="1:9">
      <c r="A18" s="11">
        <v>17</v>
      </c>
      <c r="B18" s="11" t="s">
        <v>190</v>
      </c>
      <c r="C18" s="11"/>
      <c r="D18" s="11" t="s">
        <v>20</v>
      </c>
      <c r="E18" s="12">
        <v>4</v>
      </c>
      <c r="F18" s="11">
        <v>1</v>
      </c>
      <c r="G18" s="11">
        <v>1</v>
      </c>
      <c r="H18" s="12">
        <f t="shared" si="0"/>
        <v>4</v>
      </c>
      <c r="I18" s="11" t="s">
        <v>162</v>
      </c>
    </row>
    <row r="19" ht="25" customHeight="1" spans="1:9">
      <c r="A19" s="11">
        <v>18</v>
      </c>
      <c r="B19" s="11" t="s">
        <v>191</v>
      </c>
      <c r="C19" s="11" t="s">
        <v>192</v>
      </c>
      <c r="D19" s="11" t="s">
        <v>67</v>
      </c>
      <c r="E19" s="12">
        <v>0.6</v>
      </c>
      <c r="F19" s="11">
        <v>5</v>
      </c>
      <c r="G19" s="11">
        <v>5</v>
      </c>
      <c r="H19" s="12">
        <f t="shared" si="0"/>
        <v>3</v>
      </c>
      <c r="I19" s="11" t="s">
        <v>162</v>
      </c>
    </row>
    <row r="20" ht="25" customHeight="1" spans="1:9">
      <c r="A20" s="11">
        <v>19</v>
      </c>
      <c r="B20" s="11" t="s">
        <v>193</v>
      </c>
      <c r="C20" s="11" t="s">
        <v>194</v>
      </c>
      <c r="D20" s="11" t="s">
        <v>67</v>
      </c>
      <c r="E20" s="12">
        <v>1.7</v>
      </c>
      <c r="F20" s="11">
        <v>3</v>
      </c>
      <c r="G20" s="11">
        <v>3</v>
      </c>
      <c r="H20" s="12">
        <f t="shared" si="0"/>
        <v>5.1</v>
      </c>
      <c r="I20" s="11" t="s">
        <v>162</v>
      </c>
    </row>
    <row r="21" ht="25" customHeight="1" spans="1:9">
      <c r="A21" s="11">
        <v>20</v>
      </c>
      <c r="B21" s="11" t="s">
        <v>193</v>
      </c>
      <c r="C21" s="11" t="s">
        <v>195</v>
      </c>
      <c r="D21" s="11" t="s">
        <v>67</v>
      </c>
      <c r="E21" s="12">
        <v>1.5</v>
      </c>
      <c r="F21" s="11">
        <v>8</v>
      </c>
      <c r="G21" s="14">
        <v>26</v>
      </c>
      <c r="H21" s="12">
        <f t="shared" si="0"/>
        <v>39</v>
      </c>
      <c r="I21" s="11" t="s">
        <v>162</v>
      </c>
    </row>
    <row r="22" ht="25" customHeight="1" spans="1:9">
      <c r="A22" s="11">
        <v>21</v>
      </c>
      <c r="B22" s="11" t="s">
        <v>196</v>
      </c>
      <c r="C22" s="11" t="s">
        <v>197</v>
      </c>
      <c r="D22" s="11" t="s">
        <v>67</v>
      </c>
      <c r="E22" s="12">
        <v>2.5</v>
      </c>
      <c r="F22" s="11">
        <v>2</v>
      </c>
      <c r="G22" s="11">
        <v>2</v>
      </c>
      <c r="H22" s="12">
        <f t="shared" si="0"/>
        <v>5</v>
      </c>
      <c r="I22" s="11" t="s">
        <v>162</v>
      </c>
    </row>
    <row r="23" ht="37" customHeight="1" spans="1:9">
      <c r="A23" s="11">
        <v>22</v>
      </c>
      <c r="B23" s="11" t="s">
        <v>198</v>
      </c>
      <c r="C23" s="11" t="s">
        <v>199</v>
      </c>
      <c r="D23" s="11" t="s">
        <v>67</v>
      </c>
      <c r="E23" s="12">
        <v>5.8</v>
      </c>
      <c r="F23" s="11">
        <v>1</v>
      </c>
      <c r="G23" s="11">
        <v>1</v>
      </c>
      <c r="H23" s="12">
        <f t="shared" si="0"/>
        <v>5.8</v>
      </c>
      <c r="I23" s="11" t="s">
        <v>162</v>
      </c>
    </row>
    <row r="24" ht="30" customHeight="1" spans="1:9">
      <c r="A24" s="11">
        <v>23</v>
      </c>
      <c r="B24" s="11" t="s">
        <v>200</v>
      </c>
      <c r="C24" s="11" t="s">
        <v>201</v>
      </c>
      <c r="D24" s="11" t="s">
        <v>67</v>
      </c>
      <c r="E24" s="12">
        <v>5.4</v>
      </c>
      <c r="F24" s="11">
        <v>2</v>
      </c>
      <c r="G24" s="11">
        <v>2</v>
      </c>
      <c r="H24" s="12">
        <f t="shared" si="0"/>
        <v>10.8</v>
      </c>
      <c r="I24" s="11" t="s">
        <v>162</v>
      </c>
    </row>
    <row r="25" s="31" customFormat="1" ht="30" customHeight="1" spans="1:9">
      <c r="A25" s="14"/>
      <c r="B25" s="14" t="s">
        <v>202</v>
      </c>
      <c r="C25" s="14"/>
      <c r="D25" s="14" t="s">
        <v>20</v>
      </c>
      <c r="E25" s="15">
        <v>9.3</v>
      </c>
      <c r="F25" s="14">
        <v>1</v>
      </c>
      <c r="G25" s="14">
        <v>1</v>
      </c>
      <c r="H25" s="12">
        <f t="shared" si="0"/>
        <v>9.3</v>
      </c>
      <c r="I25" s="14"/>
    </row>
    <row r="26" ht="25" customHeight="1" spans="1:9">
      <c r="A26" s="11">
        <v>24</v>
      </c>
      <c r="B26" s="11" t="s">
        <v>203</v>
      </c>
      <c r="C26" s="11" t="s">
        <v>204</v>
      </c>
      <c r="D26" s="11" t="s">
        <v>11</v>
      </c>
      <c r="E26" s="12">
        <v>5</v>
      </c>
      <c r="F26" s="11">
        <v>1</v>
      </c>
      <c r="G26" s="11">
        <v>1</v>
      </c>
      <c r="H26" s="12">
        <f t="shared" si="0"/>
        <v>5</v>
      </c>
      <c r="I26" s="11" t="s">
        <v>162</v>
      </c>
    </row>
    <row r="27" ht="25" customHeight="1" spans="1:9">
      <c r="A27" s="11">
        <v>25</v>
      </c>
      <c r="B27" s="11" t="s">
        <v>205</v>
      </c>
      <c r="C27" s="11" t="s">
        <v>206</v>
      </c>
      <c r="D27" s="11" t="s">
        <v>161</v>
      </c>
      <c r="E27" s="12">
        <v>2.4</v>
      </c>
      <c r="F27" s="11">
        <v>3</v>
      </c>
      <c r="G27" s="11">
        <v>3</v>
      </c>
      <c r="H27" s="12">
        <f t="shared" si="0"/>
        <v>7.2</v>
      </c>
      <c r="I27" s="11" t="s">
        <v>162</v>
      </c>
    </row>
    <row r="28" ht="25" customHeight="1" spans="1:9">
      <c r="A28" s="11">
        <v>26</v>
      </c>
      <c r="B28" s="11" t="s">
        <v>207</v>
      </c>
      <c r="C28" s="11">
        <v>2619802505</v>
      </c>
      <c r="D28" s="11" t="s">
        <v>208</v>
      </c>
      <c r="E28" s="12">
        <v>6.8</v>
      </c>
      <c r="F28" s="11">
        <v>1</v>
      </c>
      <c r="G28" s="11">
        <v>1</v>
      </c>
      <c r="H28" s="12">
        <f t="shared" si="0"/>
        <v>6.8</v>
      </c>
      <c r="I28" s="11" t="s">
        <v>162</v>
      </c>
    </row>
    <row r="29" ht="39" customHeight="1" spans="1:9">
      <c r="A29" s="11">
        <v>27</v>
      </c>
      <c r="B29" s="11" t="s">
        <v>109</v>
      </c>
      <c r="C29" s="11" t="s">
        <v>209</v>
      </c>
      <c r="D29" s="11" t="s">
        <v>20</v>
      </c>
      <c r="E29" s="12">
        <v>9.4</v>
      </c>
      <c r="F29" s="11">
        <v>1</v>
      </c>
      <c r="G29" s="11">
        <v>1</v>
      </c>
      <c r="H29" s="12">
        <f t="shared" si="0"/>
        <v>9.4</v>
      </c>
      <c r="I29" s="11" t="s">
        <v>162</v>
      </c>
    </row>
    <row r="30" ht="25" customHeight="1" spans="1:9">
      <c r="A30" s="22">
        <v>28</v>
      </c>
      <c r="B30" s="22" t="s">
        <v>210</v>
      </c>
      <c r="C30" s="22" t="s">
        <v>211</v>
      </c>
      <c r="D30" s="22"/>
      <c r="E30" s="23"/>
      <c r="F30" s="22">
        <v>7</v>
      </c>
      <c r="G30" s="22"/>
      <c r="H30" s="23">
        <f t="shared" si="0"/>
        <v>0</v>
      </c>
      <c r="I30" s="22" t="s">
        <v>162</v>
      </c>
    </row>
    <row r="31" ht="25" customHeight="1" spans="1:9">
      <c r="A31" s="11">
        <v>29</v>
      </c>
      <c r="B31" s="11" t="s">
        <v>126</v>
      </c>
      <c r="C31" s="11"/>
      <c r="D31" s="11"/>
      <c r="E31" s="12"/>
      <c r="F31" s="11">
        <v>1</v>
      </c>
      <c r="G31" s="11">
        <v>0</v>
      </c>
      <c r="H31" s="12">
        <f t="shared" si="0"/>
        <v>0</v>
      </c>
      <c r="I31" s="11" t="s">
        <v>162</v>
      </c>
    </row>
    <row r="32" ht="36" customHeight="1" spans="1:9">
      <c r="A32" s="11">
        <v>30</v>
      </c>
      <c r="B32" s="11" t="s">
        <v>212</v>
      </c>
      <c r="C32" s="11" t="s">
        <v>213</v>
      </c>
      <c r="D32" s="11" t="s">
        <v>208</v>
      </c>
      <c r="E32" s="12">
        <v>11.2</v>
      </c>
      <c r="F32" s="11">
        <v>19</v>
      </c>
      <c r="G32" s="11">
        <v>19</v>
      </c>
      <c r="H32" s="12">
        <f t="shared" si="0"/>
        <v>212.8</v>
      </c>
      <c r="I32" s="11" t="s">
        <v>162</v>
      </c>
    </row>
    <row r="33" ht="39" customHeight="1" spans="1:9">
      <c r="A33" s="11">
        <v>31</v>
      </c>
      <c r="B33" s="11" t="s">
        <v>214</v>
      </c>
      <c r="C33" s="11" t="s">
        <v>215</v>
      </c>
      <c r="D33" s="11" t="s">
        <v>208</v>
      </c>
      <c r="E33" s="12">
        <v>1.6</v>
      </c>
      <c r="F33" s="11">
        <v>8</v>
      </c>
      <c r="G33" s="11">
        <v>8</v>
      </c>
      <c r="H33" s="12">
        <f t="shared" si="0"/>
        <v>12.8</v>
      </c>
      <c r="I33" s="11" t="s">
        <v>162</v>
      </c>
    </row>
    <row r="34" ht="39" customHeight="1" spans="1:9">
      <c r="A34" s="14"/>
      <c r="B34" s="14" t="s">
        <v>216</v>
      </c>
      <c r="C34" s="14" t="s">
        <v>217</v>
      </c>
      <c r="D34" s="14" t="s">
        <v>208</v>
      </c>
      <c r="E34" s="15">
        <v>1.5</v>
      </c>
      <c r="F34" s="14">
        <v>3</v>
      </c>
      <c r="G34" s="14">
        <v>3</v>
      </c>
      <c r="H34" s="15">
        <f t="shared" si="0"/>
        <v>4.5</v>
      </c>
      <c r="I34" s="14"/>
    </row>
    <row r="35" ht="36" customHeight="1" spans="1:9">
      <c r="A35" s="11">
        <v>32</v>
      </c>
      <c r="B35" s="11" t="s">
        <v>218</v>
      </c>
      <c r="C35" s="11" t="s">
        <v>219</v>
      </c>
      <c r="D35" s="11" t="s">
        <v>208</v>
      </c>
      <c r="E35" s="12">
        <v>18.2</v>
      </c>
      <c r="F35" s="11">
        <v>6</v>
      </c>
      <c r="G35" s="11">
        <v>6</v>
      </c>
      <c r="H35" s="12">
        <f t="shared" si="0"/>
        <v>109.2</v>
      </c>
      <c r="I35" s="11" t="s">
        <v>162</v>
      </c>
    </row>
    <row r="36" ht="25" customHeight="1" spans="1:9">
      <c r="A36" s="11">
        <v>33</v>
      </c>
      <c r="B36" s="11" t="s">
        <v>220</v>
      </c>
      <c r="C36" s="11"/>
      <c r="D36" s="11" t="s">
        <v>20</v>
      </c>
      <c r="E36" s="12">
        <v>110</v>
      </c>
      <c r="F36" s="11">
        <v>3</v>
      </c>
      <c r="G36" s="11">
        <v>3</v>
      </c>
      <c r="H36" s="12">
        <f t="shared" si="0"/>
        <v>330</v>
      </c>
      <c r="I36" s="11" t="s">
        <v>162</v>
      </c>
    </row>
    <row r="37" ht="25" customHeight="1" spans="1:9">
      <c r="A37" s="11">
        <v>34</v>
      </c>
      <c r="B37" s="11" t="s">
        <v>221</v>
      </c>
      <c r="C37" s="11" t="s">
        <v>222</v>
      </c>
      <c r="D37" s="11" t="s">
        <v>161</v>
      </c>
      <c r="E37" s="12">
        <v>2.9</v>
      </c>
      <c r="F37" s="11">
        <v>3</v>
      </c>
      <c r="G37" s="11">
        <v>3</v>
      </c>
      <c r="H37" s="12">
        <v>2</v>
      </c>
      <c r="I37" s="11" t="s">
        <v>162</v>
      </c>
    </row>
    <row r="38" ht="25" customHeight="1" spans="1:9">
      <c r="A38" s="11">
        <v>35</v>
      </c>
      <c r="B38" s="11" t="s">
        <v>223</v>
      </c>
      <c r="C38" s="11" t="s">
        <v>224</v>
      </c>
      <c r="D38" s="11" t="s">
        <v>208</v>
      </c>
      <c r="E38" s="12">
        <v>2.7</v>
      </c>
      <c r="F38" s="11">
        <v>2</v>
      </c>
      <c r="G38" s="11">
        <v>2</v>
      </c>
      <c r="H38" s="12">
        <f>PRODUCT(E38*G38)</f>
        <v>5.4</v>
      </c>
      <c r="I38" s="11" t="s">
        <v>162</v>
      </c>
    </row>
    <row r="39" ht="25" customHeight="1" spans="1:9">
      <c r="A39" s="11">
        <v>36</v>
      </c>
      <c r="B39" s="11" t="s">
        <v>225</v>
      </c>
      <c r="C39" s="11" t="s">
        <v>226</v>
      </c>
      <c r="D39" s="11" t="s">
        <v>208</v>
      </c>
      <c r="E39" s="12">
        <v>4.7</v>
      </c>
      <c r="F39" s="11">
        <v>2</v>
      </c>
      <c r="G39" s="11">
        <v>2</v>
      </c>
      <c r="H39" s="12">
        <f>PRODUCT(E39*G39)</f>
        <v>9.4</v>
      </c>
      <c r="I39" s="11" t="s">
        <v>162</v>
      </c>
    </row>
    <row r="40" s="30" customFormat="1" ht="25" customHeight="1" spans="1:9">
      <c r="E40" s="33"/>
      <c r="F40" s="30"/>
      <c r="G40" s="30" t="s">
        <v>227</v>
      </c>
      <c r="H40" s="33">
        <f>SUM(H2:H39)</f>
        <v>920.94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topLeftCell="A23" workbookViewId="0">
      <selection activeCell="A1" sqref="A1:G58"/>
    </sheetView>
  </sheetViews>
  <sheetFormatPr defaultColWidth="9.14285714285714" defaultRowHeight="15" outlineLevelCol="6"/>
  <cols>
    <col min="2" max="2" width="72.4285714285714" customWidth="1"/>
    <col min="3" max="3" width="21.4285714285714" customWidth="1"/>
    <col min="4" max="4" width="11.4285714285714" customWidth="1"/>
    <col min="5" max="5" width="8.71428571428571" customWidth="1"/>
    <col min="6" max="6" width="9.85714285714286" customWidth="1"/>
    <col min="7" max="7" width="13.2857142857143" customWidth="1"/>
  </cols>
  <sheetData>
    <row r="1" spans="1:7">
      <c r="B1" t="s">
        <v>228</v>
      </c>
      <c r="C1" t="s">
        <v>229</v>
      </c>
      <c r="D1" t="s">
        <v>3</v>
      </c>
      <c r="E1" t="s">
        <v>154</v>
      </c>
      <c r="F1" t="s">
        <v>230</v>
      </c>
      <c r="G1" t="s">
        <v>231</v>
      </c>
    </row>
    <row r="4" spans="1:7">
      <c r="A4">
        <v>1</v>
      </c>
      <c r="B4" t="s">
        <v>232</v>
      </c>
      <c r="C4" t="s">
        <v>233</v>
      </c>
      <c r="D4" t="s">
        <v>11</v>
      </c>
      <c r="E4">
        <v>33</v>
      </c>
      <c r="F4">
        <v>1</v>
      </c>
      <c r="G4">
        <f>PRODUCT(F4*E4)</f>
        <v>33</v>
      </c>
    </row>
    <row r="5" spans="1:7">
      <c r="A5">
        <v>2</v>
      </c>
      <c r="B5" t="s">
        <v>232</v>
      </c>
      <c r="C5" t="s">
        <v>234</v>
      </c>
      <c r="D5" t="s">
        <v>11</v>
      </c>
      <c r="E5">
        <v>19.6</v>
      </c>
      <c r="F5">
        <v>1</v>
      </c>
      <c r="G5">
        <f t="shared" ref="G5:G57" si="0">PRODUCT(F5*E5)</f>
        <v>19.6</v>
      </c>
    </row>
    <row r="6" spans="1:7">
      <c r="A6">
        <v>3</v>
      </c>
      <c r="B6" t="s">
        <v>235</v>
      </c>
      <c r="C6" t="s">
        <v>236</v>
      </c>
      <c r="D6" t="s">
        <v>26</v>
      </c>
      <c r="E6">
        <v>3.6</v>
      </c>
      <c r="F6">
        <v>2</v>
      </c>
      <c r="G6">
        <f t="shared" si="0"/>
        <v>7.2</v>
      </c>
    </row>
    <row r="7" spans="1:7">
      <c r="A7">
        <v>4</v>
      </c>
      <c r="B7" t="s">
        <v>237</v>
      </c>
      <c r="C7" t="s">
        <v>238</v>
      </c>
      <c r="D7" t="s">
        <v>26</v>
      </c>
      <c r="E7">
        <v>13.4</v>
      </c>
      <c r="F7">
        <v>1</v>
      </c>
      <c r="G7">
        <f t="shared" si="0"/>
        <v>13.4</v>
      </c>
    </row>
    <row r="8" spans="1:7">
      <c r="A8">
        <v>5</v>
      </c>
      <c r="B8" t="s">
        <v>239</v>
      </c>
      <c r="C8" t="s">
        <v>240</v>
      </c>
      <c r="D8" t="s">
        <v>26</v>
      </c>
      <c r="E8">
        <v>10.8</v>
      </c>
      <c r="F8">
        <v>6</v>
      </c>
      <c r="G8">
        <f t="shared" si="0"/>
        <v>64.8</v>
      </c>
    </row>
    <row r="9" spans="1:7">
      <c r="A9">
        <v>6</v>
      </c>
      <c r="B9" t="s">
        <v>241</v>
      </c>
      <c r="C9" t="s">
        <v>242</v>
      </c>
      <c r="D9" t="s">
        <v>20</v>
      </c>
      <c r="E9">
        <v>15.9</v>
      </c>
      <c r="F9">
        <v>2</v>
      </c>
      <c r="G9">
        <f t="shared" si="0"/>
        <v>31.8</v>
      </c>
    </row>
    <row r="10" spans="1:7">
      <c r="A10">
        <v>7</v>
      </c>
      <c r="B10" t="s">
        <v>243</v>
      </c>
      <c r="C10" t="s">
        <v>244</v>
      </c>
      <c r="D10" t="s">
        <v>20</v>
      </c>
      <c r="E10">
        <v>7</v>
      </c>
      <c r="F10">
        <v>1</v>
      </c>
      <c r="G10">
        <f t="shared" si="0"/>
        <v>7</v>
      </c>
    </row>
    <row r="11" spans="1:7">
      <c r="A11">
        <v>8</v>
      </c>
      <c r="B11" t="s">
        <v>245</v>
      </c>
      <c r="D11" t="s">
        <v>20</v>
      </c>
      <c r="E11">
        <v>50</v>
      </c>
      <c r="F11">
        <v>2</v>
      </c>
      <c r="G11">
        <f t="shared" si="0"/>
        <v>100</v>
      </c>
    </row>
    <row r="12" spans="1:7">
      <c r="A12">
        <v>9</v>
      </c>
      <c r="B12" t="s">
        <v>246</v>
      </c>
      <c r="D12" t="s">
        <v>20</v>
      </c>
      <c r="E12">
        <v>37.2</v>
      </c>
      <c r="F12">
        <v>1</v>
      </c>
      <c r="G12">
        <f t="shared" si="0"/>
        <v>37.2</v>
      </c>
    </row>
    <row r="13" spans="1:7">
      <c r="A13">
        <v>10</v>
      </c>
      <c r="B13" t="s">
        <v>247</v>
      </c>
      <c r="D13" t="s">
        <v>20</v>
      </c>
      <c r="E13">
        <v>28.3</v>
      </c>
      <c r="F13">
        <v>1</v>
      </c>
      <c r="G13">
        <f t="shared" si="0"/>
        <v>28.3</v>
      </c>
    </row>
    <row r="14" spans="1:7">
      <c r="A14">
        <v>11</v>
      </c>
      <c r="B14" t="s">
        <v>248</v>
      </c>
      <c r="D14" t="s">
        <v>11</v>
      </c>
      <c r="E14">
        <v>21.9</v>
      </c>
      <c r="F14">
        <v>36</v>
      </c>
      <c r="G14">
        <f t="shared" si="0"/>
        <v>788.4</v>
      </c>
    </row>
    <row r="15" spans="1:7">
      <c r="A15">
        <v>12</v>
      </c>
      <c r="B15" t="s">
        <v>249</v>
      </c>
      <c r="D15" t="s">
        <v>20</v>
      </c>
      <c r="E15">
        <v>12.2</v>
      </c>
      <c r="F15">
        <v>1</v>
      </c>
      <c r="G15">
        <f t="shared" si="0"/>
        <v>12.2</v>
      </c>
    </row>
    <row r="16" spans="1:7">
      <c r="A16">
        <v>13</v>
      </c>
      <c r="B16" t="s">
        <v>250</v>
      </c>
      <c r="D16" t="s">
        <v>11</v>
      </c>
      <c r="E16">
        <v>8.5</v>
      </c>
      <c r="F16">
        <v>1</v>
      </c>
      <c r="G16">
        <f t="shared" si="0"/>
        <v>8.5</v>
      </c>
    </row>
    <row r="17" spans="1:7">
      <c r="A17">
        <v>14</v>
      </c>
      <c r="B17" t="s">
        <v>251</v>
      </c>
      <c r="C17" t="s">
        <v>252</v>
      </c>
      <c r="E17">
        <v>28.8</v>
      </c>
      <c r="F17">
        <v>5</v>
      </c>
      <c r="G17">
        <f t="shared" si="0"/>
        <v>144</v>
      </c>
    </row>
    <row r="18" spans="1:7">
      <c r="A18">
        <v>15</v>
      </c>
      <c r="B18" t="s">
        <v>253</v>
      </c>
      <c r="C18" t="s">
        <v>254</v>
      </c>
      <c r="D18" t="s">
        <v>26</v>
      </c>
      <c r="E18">
        <v>3.8</v>
      </c>
      <c r="F18">
        <v>10</v>
      </c>
      <c r="G18">
        <f t="shared" si="0"/>
        <v>38</v>
      </c>
    </row>
    <row r="19" spans="1:7">
      <c r="A19">
        <v>16</v>
      </c>
      <c r="B19" t="s">
        <v>255</v>
      </c>
      <c r="C19" t="s">
        <v>256</v>
      </c>
      <c r="D19" t="s">
        <v>11</v>
      </c>
      <c r="E19">
        <v>8.5</v>
      </c>
      <c r="F19">
        <v>1</v>
      </c>
      <c r="G19">
        <f t="shared" si="0"/>
        <v>8.5</v>
      </c>
    </row>
    <row r="20" spans="1:7">
      <c r="A20">
        <v>17</v>
      </c>
      <c r="B20" t="s">
        <v>257</v>
      </c>
      <c r="C20" t="s">
        <v>258</v>
      </c>
      <c r="D20" t="s">
        <v>20</v>
      </c>
      <c r="E20">
        <v>9.2</v>
      </c>
      <c r="F20">
        <v>3</v>
      </c>
      <c r="G20">
        <f t="shared" si="0"/>
        <v>27.6</v>
      </c>
    </row>
    <row r="21" spans="1:7">
      <c r="A21">
        <v>18</v>
      </c>
      <c r="B21" t="s">
        <v>259</v>
      </c>
      <c r="C21" t="s">
        <v>260</v>
      </c>
      <c r="D21" t="s">
        <v>26</v>
      </c>
      <c r="E21">
        <v>2.6</v>
      </c>
      <c r="F21">
        <v>2</v>
      </c>
      <c r="G21">
        <f t="shared" si="0"/>
        <v>5.2</v>
      </c>
    </row>
    <row r="22" spans="1:7">
      <c r="A22">
        <v>19</v>
      </c>
      <c r="B22" t="s">
        <v>261</v>
      </c>
      <c r="C22" t="s">
        <v>23</v>
      </c>
      <c r="D22" t="s">
        <v>11</v>
      </c>
      <c r="E22">
        <v>9.2</v>
      </c>
      <c r="F22">
        <v>7</v>
      </c>
      <c r="G22">
        <f t="shared" si="0"/>
        <v>64.4</v>
      </c>
    </row>
    <row r="23" spans="1:7">
      <c r="A23">
        <v>20</v>
      </c>
      <c r="B23" t="s">
        <v>262</v>
      </c>
      <c r="C23" t="s">
        <v>263</v>
      </c>
      <c r="D23" t="s">
        <v>20</v>
      </c>
      <c r="E23">
        <v>8.8</v>
      </c>
      <c r="F23">
        <v>1</v>
      </c>
      <c r="G23">
        <f t="shared" si="0"/>
        <v>8.8</v>
      </c>
    </row>
    <row r="24" spans="1:7">
      <c r="A24">
        <v>21</v>
      </c>
      <c r="B24" t="s">
        <v>264</v>
      </c>
      <c r="C24" t="s">
        <v>265</v>
      </c>
      <c r="D24" t="s">
        <v>11</v>
      </c>
      <c r="E24">
        <v>17.2</v>
      </c>
      <c r="F24">
        <v>1</v>
      </c>
      <c r="G24">
        <f t="shared" si="0"/>
        <v>17.2</v>
      </c>
    </row>
    <row r="25" spans="1:7">
      <c r="A25">
        <v>22</v>
      </c>
      <c r="B25" t="s">
        <v>266</v>
      </c>
      <c r="C25" t="s">
        <v>267</v>
      </c>
      <c r="D25" t="s">
        <v>67</v>
      </c>
      <c r="E25">
        <v>17.8</v>
      </c>
      <c r="F25">
        <v>60</v>
      </c>
      <c r="G25">
        <f t="shared" si="0"/>
        <v>1068</v>
      </c>
    </row>
    <row r="26" spans="1:7">
      <c r="A26">
        <v>23</v>
      </c>
      <c r="B26" t="s">
        <v>268</v>
      </c>
      <c r="C26" t="s">
        <v>269</v>
      </c>
      <c r="D26" t="s">
        <v>11</v>
      </c>
      <c r="E26">
        <v>11.5</v>
      </c>
      <c r="F26">
        <v>23</v>
      </c>
      <c r="G26">
        <f t="shared" si="0"/>
        <v>264.5</v>
      </c>
    </row>
    <row r="27" spans="1:7">
      <c r="A27">
        <v>24</v>
      </c>
      <c r="B27" t="s">
        <v>270</v>
      </c>
      <c r="C27" t="s">
        <v>271</v>
      </c>
      <c r="D27" t="s">
        <v>20</v>
      </c>
      <c r="E27">
        <v>22.5</v>
      </c>
      <c r="F27">
        <v>4</v>
      </c>
      <c r="G27">
        <f t="shared" si="0"/>
        <v>90</v>
      </c>
    </row>
    <row r="28" spans="1:7">
      <c r="A28">
        <v>25</v>
      </c>
      <c r="B28" t="s">
        <v>272</v>
      </c>
      <c r="C28" t="s">
        <v>273</v>
      </c>
      <c r="D28" t="s">
        <v>20</v>
      </c>
      <c r="E28">
        <v>36</v>
      </c>
      <c r="F28">
        <v>2</v>
      </c>
      <c r="G28">
        <f t="shared" si="0"/>
        <v>72</v>
      </c>
    </row>
    <row r="29" spans="1:7">
      <c r="A29">
        <v>26</v>
      </c>
      <c r="B29" t="s">
        <v>274</v>
      </c>
      <c r="C29" t="s">
        <v>275</v>
      </c>
      <c r="D29" t="s">
        <v>11</v>
      </c>
      <c r="E29">
        <v>2.1</v>
      </c>
      <c r="F29">
        <v>45</v>
      </c>
      <c r="G29">
        <f t="shared" si="0"/>
        <v>94.5</v>
      </c>
    </row>
    <row r="30" spans="1:7">
      <c r="A30">
        <v>27</v>
      </c>
      <c r="B30" t="s">
        <v>276</v>
      </c>
      <c r="C30" t="s">
        <v>277</v>
      </c>
      <c r="D30" t="s">
        <v>11</v>
      </c>
      <c r="E30">
        <v>2.1</v>
      </c>
      <c r="F30">
        <v>6</v>
      </c>
      <c r="G30">
        <f t="shared" si="0"/>
        <v>12.6</v>
      </c>
    </row>
    <row r="31" spans="1:7">
      <c r="A31">
        <v>28</v>
      </c>
      <c r="B31" t="s">
        <v>278</v>
      </c>
      <c r="C31" t="s">
        <v>277</v>
      </c>
      <c r="D31" t="s">
        <v>11</v>
      </c>
      <c r="E31">
        <v>2.1</v>
      </c>
      <c r="F31">
        <v>23</v>
      </c>
      <c r="G31">
        <f t="shared" si="0"/>
        <v>48.3</v>
      </c>
    </row>
    <row r="32" spans="1:7">
      <c r="A32">
        <v>29</v>
      </c>
      <c r="B32" t="s">
        <v>279</v>
      </c>
      <c r="C32" t="s">
        <v>277</v>
      </c>
      <c r="D32" t="s">
        <v>11</v>
      </c>
      <c r="E32">
        <v>2.1</v>
      </c>
      <c r="F32">
        <v>12</v>
      </c>
      <c r="G32">
        <f t="shared" si="0"/>
        <v>25.2</v>
      </c>
    </row>
    <row r="33" spans="1:7">
      <c r="A33">
        <v>30</v>
      </c>
      <c r="B33" t="s">
        <v>280</v>
      </c>
      <c r="C33" t="s">
        <v>281</v>
      </c>
      <c r="D33" t="s">
        <v>20</v>
      </c>
      <c r="E33">
        <v>2.1</v>
      </c>
      <c r="F33">
        <v>11</v>
      </c>
      <c r="G33">
        <f t="shared" si="0"/>
        <v>23.1</v>
      </c>
    </row>
    <row r="34" spans="1:7">
      <c r="A34">
        <v>31</v>
      </c>
      <c r="B34" t="s">
        <v>274</v>
      </c>
      <c r="C34" t="s">
        <v>282</v>
      </c>
      <c r="D34" t="s">
        <v>20</v>
      </c>
      <c r="E34">
        <v>2.1</v>
      </c>
      <c r="F34">
        <v>8</v>
      </c>
      <c r="G34">
        <f t="shared" si="0"/>
        <v>16.8</v>
      </c>
    </row>
    <row r="35" spans="1:7">
      <c r="A35">
        <v>32</v>
      </c>
      <c r="B35" t="s">
        <v>283</v>
      </c>
      <c r="C35" t="s">
        <v>284</v>
      </c>
      <c r="D35" t="s">
        <v>20</v>
      </c>
      <c r="E35">
        <v>2.1</v>
      </c>
      <c r="F35">
        <v>2</v>
      </c>
      <c r="G35">
        <f t="shared" si="0"/>
        <v>4.2</v>
      </c>
    </row>
    <row r="36" spans="1:7">
      <c r="A36">
        <v>33</v>
      </c>
      <c r="B36" t="s">
        <v>274</v>
      </c>
      <c r="C36" t="s">
        <v>284</v>
      </c>
      <c r="D36" t="s">
        <v>20</v>
      </c>
      <c r="E36">
        <v>2.1</v>
      </c>
      <c r="F36">
        <v>3</v>
      </c>
      <c r="G36">
        <f t="shared" si="0"/>
        <v>6.3</v>
      </c>
    </row>
    <row r="37" spans="1:7">
      <c r="A37">
        <v>34</v>
      </c>
      <c r="B37" t="s">
        <v>280</v>
      </c>
      <c r="C37" t="s">
        <v>285</v>
      </c>
      <c r="D37" t="s">
        <v>20</v>
      </c>
      <c r="E37">
        <v>2.1</v>
      </c>
      <c r="F37">
        <v>7</v>
      </c>
      <c r="G37">
        <f t="shared" si="0"/>
        <v>14.7</v>
      </c>
    </row>
    <row r="38" spans="1:7">
      <c r="A38">
        <v>35</v>
      </c>
      <c r="B38" t="s">
        <v>274</v>
      </c>
      <c r="C38" t="s">
        <v>286</v>
      </c>
      <c r="D38" t="s">
        <v>20</v>
      </c>
      <c r="E38">
        <v>2.1</v>
      </c>
      <c r="F38">
        <v>2</v>
      </c>
      <c r="G38">
        <f t="shared" si="0"/>
        <v>4.2</v>
      </c>
    </row>
    <row r="39" spans="1:7">
      <c r="A39">
        <v>36</v>
      </c>
      <c r="B39" t="s">
        <v>287</v>
      </c>
      <c r="C39" t="s">
        <v>288</v>
      </c>
      <c r="D39" t="s">
        <v>289</v>
      </c>
      <c r="E39">
        <v>2.1</v>
      </c>
      <c r="F39">
        <v>0</v>
      </c>
      <c r="G39">
        <f t="shared" si="0"/>
        <v>0</v>
      </c>
    </row>
    <row r="40" spans="1:7">
      <c r="A40">
        <v>37</v>
      </c>
      <c r="B40" t="s">
        <v>290</v>
      </c>
      <c r="C40" t="s">
        <v>291</v>
      </c>
      <c r="D40" t="s">
        <v>11</v>
      </c>
      <c r="E40">
        <v>2</v>
      </c>
      <c r="F40">
        <v>3</v>
      </c>
      <c r="G40">
        <f t="shared" si="0"/>
        <v>6</v>
      </c>
    </row>
    <row r="41" spans="1:7">
      <c r="A41">
        <v>38</v>
      </c>
      <c r="B41" t="s">
        <v>292</v>
      </c>
      <c r="C41" t="s">
        <v>293</v>
      </c>
      <c r="D41" t="s">
        <v>11</v>
      </c>
      <c r="E41">
        <v>2</v>
      </c>
      <c r="F41">
        <v>1</v>
      </c>
      <c r="G41">
        <f t="shared" si="0"/>
        <v>2</v>
      </c>
    </row>
    <row r="42" spans="1:7">
      <c r="A42">
        <v>39</v>
      </c>
      <c r="B42" t="s">
        <v>294</v>
      </c>
      <c r="C42" t="s">
        <v>295</v>
      </c>
      <c r="D42" t="s">
        <v>11</v>
      </c>
      <c r="E42">
        <v>2</v>
      </c>
      <c r="F42">
        <v>2</v>
      </c>
      <c r="G42">
        <f t="shared" si="0"/>
        <v>4</v>
      </c>
    </row>
    <row r="43" spans="1:7">
      <c r="A43">
        <v>40</v>
      </c>
      <c r="B43" t="s">
        <v>292</v>
      </c>
      <c r="C43" t="s">
        <v>296</v>
      </c>
      <c r="D43" t="s">
        <v>20</v>
      </c>
      <c r="E43">
        <v>2</v>
      </c>
      <c r="F43">
        <v>1</v>
      </c>
      <c r="G43">
        <f t="shared" si="0"/>
        <v>2</v>
      </c>
    </row>
    <row r="44" spans="1:7">
      <c r="A44">
        <v>41</v>
      </c>
      <c r="B44" t="s">
        <v>292</v>
      </c>
      <c r="C44" t="s">
        <v>297</v>
      </c>
      <c r="D44" t="s">
        <v>20</v>
      </c>
      <c r="E44">
        <v>2</v>
      </c>
      <c r="F44">
        <v>1</v>
      </c>
      <c r="G44">
        <f t="shared" si="0"/>
        <v>2</v>
      </c>
    </row>
    <row r="45" spans="1:7">
      <c r="A45">
        <v>42</v>
      </c>
      <c r="B45" t="s">
        <v>298</v>
      </c>
      <c r="C45" t="s">
        <v>297</v>
      </c>
      <c r="D45" t="s">
        <v>20</v>
      </c>
      <c r="E45">
        <v>2</v>
      </c>
      <c r="F45">
        <v>2</v>
      </c>
      <c r="G45">
        <f t="shared" si="0"/>
        <v>4</v>
      </c>
    </row>
    <row r="46" spans="1:7">
      <c r="A46">
        <v>43</v>
      </c>
      <c r="B46" t="s">
        <v>299</v>
      </c>
      <c r="C46" t="s">
        <v>300</v>
      </c>
      <c r="D46" t="s">
        <v>11</v>
      </c>
      <c r="E46">
        <v>3.1</v>
      </c>
      <c r="F46">
        <v>4</v>
      </c>
      <c r="G46">
        <f t="shared" si="0"/>
        <v>12.4</v>
      </c>
    </row>
    <row r="47" spans="1:7">
      <c r="A47">
        <v>44</v>
      </c>
      <c r="B47" t="s">
        <v>301</v>
      </c>
      <c r="C47" t="s">
        <v>300</v>
      </c>
      <c r="D47" t="s">
        <v>20</v>
      </c>
      <c r="E47">
        <v>3.1</v>
      </c>
      <c r="F47">
        <v>7</v>
      </c>
      <c r="G47">
        <f t="shared" si="0"/>
        <v>21.7</v>
      </c>
    </row>
    <row r="48" spans="1:7">
      <c r="A48">
        <v>45</v>
      </c>
      <c r="B48" t="s">
        <v>299</v>
      </c>
      <c r="C48" t="s">
        <v>302</v>
      </c>
      <c r="D48" t="s">
        <v>20</v>
      </c>
      <c r="E48">
        <v>3.1</v>
      </c>
      <c r="F48">
        <v>4</v>
      </c>
      <c r="G48">
        <f t="shared" si="0"/>
        <v>12.4</v>
      </c>
    </row>
    <row r="49" spans="1:7">
      <c r="A49">
        <v>46</v>
      </c>
      <c r="B49" t="s">
        <v>301</v>
      </c>
      <c r="C49" t="s">
        <v>302</v>
      </c>
      <c r="D49" t="s">
        <v>20</v>
      </c>
      <c r="E49">
        <v>3.1</v>
      </c>
      <c r="F49">
        <v>1</v>
      </c>
      <c r="G49">
        <f t="shared" si="0"/>
        <v>3.1</v>
      </c>
    </row>
    <row r="50" spans="1:7">
      <c r="A50">
        <v>47</v>
      </c>
      <c r="B50" t="s">
        <v>303</v>
      </c>
      <c r="C50" t="s">
        <v>304</v>
      </c>
      <c r="D50" t="s">
        <v>20</v>
      </c>
      <c r="E50">
        <v>3.1</v>
      </c>
      <c r="F50">
        <v>1</v>
      </c>
      <c r="G50">
        <f t="shared" si="0"/>
        <v>3.1</v>
      </c>
    </row>
    <row r="51" spans="1:7">
      <c r="A51">
        <v>48</v>
      </c>
      <c r="B51" t="s">
        <v>305</v>
      </c>
      <c r="C51" t="s">
        <v>304</v>
      </c>
      <c r="D51" t="s">
        <v>20</v>
      </c>
      <c r="E51">
        <v>3.1</v>
      </c>
      <c r="F51">
        <v>5</v>
      </c>
      <c r="G51">
        <f t="shared" si="0"/>
        <v>15.5</v>
      </c>
    </row>
    <row r="52" spans="1:7">
      <c r="A52">
        <v>49</v>
      </c>
      <c r="B52" t="s">
        <v>306</v>
      </c>
      <c r="C52" t="s">
        <v>307</v>
      </c>
      <c r="D52" t="s">
        <v>20</v>
      </c>
      <c r="E52">
        <v>3.1</v>
      </c>
      <c r="F52">
        <v>5</v>
      </c>
      <c r="G52">
        <f t="shared" si="0"/>
        <v>15.5</v>
      </c>
    </row>
    <row r="53" spans="1:7">
      <c r="A53">
        <v>50</v>
      </c>
      <c r="B53" t="s">
        <v>308</v>
      </c>
      <c r="C53" t="s">
        <v>49</v>
      </c>
      <c r="D53" t="s">
        <v>11</v>
      </c>
      <c r="E53">
        <v>3.7</v>
      </c>
      <c r="F53">
        <v>8</v>
      </c>
      <c r="G53">
        <f t="shared" si="0"/>
        <v>29.6</v>
      </c>
    </row>
    <row r="54" spans="1:7">
      <c r="A54">
        <v>51</v>
      </c>
      <c r="B54" t="s">
        <v>309</v>
      </c>
      <c r="C54" t="s">
        <v>52</v>
      </c>
      <c r="D54" t="s">
        <v>11</v>
      </c>
      <c r="E54">
        <v>3.7</v>
      </c>
      <c r="F54">
        <v>3</v>
      </c>
      <c r="G54">
        <f t="shared" si="0"/>
        <v>11.1</v>
      </c>
    </row>
    <row r="55" spans="1:7">
      <c r="A55">
        <v>52</v>
      </c>
      <c r="B55" t="s">
        <v>310</v>
      </c>
      <c r="C55" t="s">
        <v>311</v>
      </c>
      <c r="D55" t="s">
        <v>67</v>
      </c>
      <c r="E55">
        <v>4.701</v>
      </c>
      <c r="F55">
        <v>8</v>
      </c>
      <c r="G55">
        <f t="shared" si="0"/>
        <v>37.608</v>
      </c>
    </row>
    <row r="56" spans="1:7">
      <c r="A56">
        <v>53</v>
      </c>
      <c r="B56" t="s">
        <v>312</v>
      </c>
      <c r="C56" t="s">
        <v>313</v>
      </c>
      <c r="D56" t="s">
        <v>26</v>
      </c>
      <c r="E56">
        <v>3.9</v>
      </c>
      <c r="F56">
        <v>16</v>
      </c>
      <c r="G56">
        <f t="shared" si="0"/>
        <v>62.4</v>
      </c>
    </row>
    <row r="57" spans="1:7">
      <c r="A57">
        <v>54</v>
      </c>
      <c r="B57" t="s">
        <v>314</v>
      </c>
      <c r="C57" t="s">
        <v>315</v>
      </c>
      <c r="D57" t="s">
        <v>67</v>
      </c>
      <c r="E57">
        <v>4.9</v>
      </c>
      <c r="F57">
        <v>4</v>
      </c>
      <c r="G57">
        <f t="shared" si="0"/>
        <v>19.6</v>
      </c>
    </row>
    <row r="58" s="30" customFormat="1" spans="1:7">
      <c r="F58" s="30" t="s">
        <v>316</v>
      </c>
      <c r="G58" s="30">
        <f>SUM(G4:G57)</f>
        <v>3473.508</v>
      </c>
    </row>
  </sheetData>
  <pageMargins left="0.75" right="0.75" top="1" bottom="1" header="0.5" footer="0.5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1"/>
  <sheetViews>
    <sheetView workbookViewId="0">
      <selection activeCell="A2" sqref="A2:B21"/>
    </sheetView>
  </sheetViews>
  <sheetFormatPr defaultColWidth="9.14285714285714" defaultRowHeight="15" outlineLevelCol="2"/>
  <cols>
    <col min="1" max="1" width="4.71428571428571" customWidth="1"/>
    <col min="2" max="2" width="88" customWidth="1"/>
    <col min="3" max="3" width="54.4285714285714" customWidth="1"/>
  </cols>
  <sheetData>
    <row r="2" spans="1:3">
      <c r="A2">
        <v>1</v>
      </c>
      <c r="B2" t="s">
        <v>317</v>
      </c>
      <c r="C2" t="s">
        <v>311</v>
      </c>
    </row>
    <row r="3" spans="1:3">
      <c r="A3">
        <v>2</v>
      </c>
      <c r="B3" t="s">
        <v>318</v>
      </c>
      <c r="C3" t="s">
        <v>313</v>
      </c>
    </row>
    <row r="4" spans="1:3">
      <c r="A4">
        <v>3</v>
      </c>
      <c r="B4" t="s">
        <v>319</v>
      </c>
      <c r="C4" t="s">
        <v>315</v>
      </c>
    </row>
    <row r="5" spans="1:3">
      <c r="A5">
        <v>4</v>
      </c>
      <c r="B5" t="s">
        <v>320</v>
      </c>
      <c r="C5" t="s">
        <v>180</v>
      </c>
    </row>
    <row r="6" spans="1:3">
      <c r="A6">
        <v>5</v>
      </c>
      <c r="B6" t="s">
        <v>321</v>
      </c>
      <c r="C6" t="s">
        <v>31</v>
      </c>
    </row>
    <row r="7" spans="1:3">
      <c r="A7">
        <v>6</v>
      </c>
      <c r="B7" t="s">
        <v>322</v>
      </c>
      <c r="C7" t="s">
        <v>33</v>
      </c>
    </row>
    <row r="8" spans="1:3">
      <c r="A8">
        <v>7</v>
      </c>
      <c r="B8" t="s">
        <v>323</v>
      </c>
      <c r="C8" t="s">
        <v>35</v>
      </c>
    </row>
    <row r="9" spans="1:3">
      <c r="A9">
        <v>8</v>
      </c>
      <c r="B9" t="s">
        <v>324</v>
      </c>
      <c r="C9" t="s">
        <v>37</v>
      </c>
    </row>
    <row r="10" spans="1:3">
      <c r="A10">
        <v>9</v>
      </c>
      <c r="B10" t="s">
        <v>325</v>
      </c>
      <c r="C10" t="s">
        <v>133</v>
      </c>
    </row>
    <row r="11" spans="1:3">
      <c r="A11">
        <v>10</v>
      </c>
      <c r="B11" t="s">
        <v>326</v>
      </c>
      <c r="C11" t="s">
        <v>136</v>
      </c>
    </row>
    <row r="12" spans="1:3">
      <c r="A12">
        <v>11</v>
      </c>
      <c r="B12" t="s">
        <v>327</v>
      </c>
      <c r="C12" t="s">
        <v>39</v>
      </c>
    </row>
    <row r="13" spans="1:3">
      <c r="A13">
        <v>12</v>
      </c>
      <c r="B13" t="s">
        <v>328</v>
      </c>
      <c r="C13" t="s">
        <v>70</v>
      </c>
    </row>
    <row r="14" spans="1:3">
      <c r="A14">
        <v>13</v>
      </c>
      <c r="B14" t="s">
        <v>329</v>
      </c>
      <c r="C14" t="s">
        <v>74</v>
      </c>
    </row>
    <row r="15" spans="1:3">
      <c r="A15">
        <v>14</v>
      </c>
      <c r="B15" t="s">
        <v>330</v>
      </c>
      <c r="C15" t="s">
        <v>84</v>
      </c>
    </row>
    <row r="16" spans="1:3">
      <c r="A16">
        <v>15</v>
      </c>
      <c r="B16" t="s">
        <v>331</v>
      </c>
      <c r="C16" t="s">
        <v>86</v>
      </c>
    </row>
    <row r="17" spans="1:3">
      <c r="A17">
        <v>16</v>
      </c>
      <c r="B17" t="s">
        <v>332</v>
      </c>
      <c r="C17" t="s">
        <v>88</v>
      </c>
    </row>
    <row r="18" spans="1:3">
      <c r="A18">
        <v>17</v>
      </c>
      <c r="B18" t="s">
        <v>333</v>
      </c>
      <c r="C18" t="s">
        <v>192</v>
      </c>
    </row>
    <row r="19" spans="1:3">
      <c r="A19">
        <v>18</v>
      </c>
      <c r="B19" t="s">
        <v>334</v>
      </c>
      <c r="C19" t="s">
        <v>194</v>
      </c>
    </row>
    <row r="20" spans="1:3">
      <c r="A20">
        <v>19</v>
      </c>
      <c r="B20" t="s">
        <v>335</v>
      </c>
      <c r="C20" t="s">
        <v>195</v>
      </c>
    </row>
    <row r="21" spans="1:3">
      <c r="A21">
        <v>20</v>
      </c>
      <c r="B21" t="s">
        <v>336</v>
      </c>
      <c r="C21" t="s">
        <v>197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9"/>
  <sheetViews>
    <sheetView tabSelected="1" zoomScale="150" zoomScaleNormal="150" zoomScaleSheetLayoutView="60" topLeftCell="D1" workbookViewId="0">
      <pane ySplit="1" topLeftCell="A131" activePane="bottomLeft" state="frozen"/>
      <selection/>
      <selection pane="bottomLeft" activeCell="C1" sqref="C$1:O$1048576"/>
    </sheetView>
  </sheetViews>
  <sheetFormatPr defaultColWidth="10.2857142857143" defaultRowHeight="15"/>
  <cols>
    <col min="1" max="1" width="4.95238095238095" style="4" customWidth="1"/>
    <col min="2" max="2" width="59.3333333333333" style="4" customWidth="1"/>
    <col min="3" max="3" width="18" style="4" customWidth="1"/>
    <col min="4" max="4" width="12.3809523809524" style="4" customWidth="1"/>
    <col min="5" max="5" width="11.4285714285714" style="5" customWidth="1"/>
    <col min="6" max="6" width="8.76190476190476" style="4" customWidth="1"/>
    <col min="7" max="7" width="10.2857142857143" style="4" customWidth="1"/>
    <col min="8" max="8" width="9.33333333333333" style="4" customWidth="1"/>
    <col min="9" max="9" width="10.1904761904762" style="6" customWidth="1"/>
    <col min="10" max="10" width="11.9047619047619" style="4" customWidth="1"/>
    <col min="11" max="12" width="10.2857142857143" style="4" customWidth="1"/>
    <col min="13" max="13" width="10.952380952381" style="4" customWidth="1"/>
    <col min="14" max="14" width="13.047619047619" style="4" customWidth="1"/>
    <col min="15" max="15" width="10.2857142857143" style="4"/>
    <col min="16" max="16" width="11.6190476190476" style="4" customWidth="1"/>
    <col min="17" max="16384" width="10.2857142857143" style="4"/>
  </cols>
  <sheetData>
    <row r="1" s="1" customFormat="1" ht="90" spans="1:17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9" t="s">
        <v>8</v>
      </c>
      <c r="J1" s="10" t="s">
        <v>337</v>
      </c>
      <c r="K1" s="10" t="s">
        <v>338</v>
      </c>
      <c r="L1" s="10" t="s">
        <v>339</v>
      </c>
      <c r="M1" s="10" t="s">
        <v>340</v>
      </c>
      <c r="N1" s="10" t="s">
        <v>341</v>
      </c>
      <c r="O1" s="10" t="s">
        <v>342</v>
      </c>
      <c r="P1" s="1" t="s">
        <v>343</v>
      </c>
      <c r="Q1" s="1" t="s">
        <v>344</v>
      </c>
    </row>
    <row r="2" ht="20" customHeight="1" spans="1:17">
      <c r="A2" s="11">
        <v>1</v>
      </c>
      <c r="B2" s="11" t="s">
        <v>9</v>
      </c>
      <c r="C2" s="11" t="s">
        <v>10</v>
      </c>
      <c r="D2" s="11" t="s">
        <v>11</v>
      </c>
      <c r="E2" s="12">
        <v>10.5</v>
      </c>
      <c r="F2" s="11">
        <v>1</v>
      </c>
      <c r="G2" s="11">
        <v>1</v>
      </c>
      <c r="H2" s="11">
        <f>PRODUCT(G2*E2)</f>
        <v>10.5</v>
      </c>
      <c r="I2" s="9"/>
      <c r="J2" s="13"/>
      <c r="K2" s="13"/>
      <c r="L2" s="13"/>
      <c r="M2" s="13"/>
      <c r="N2" s="13"/>
      <c r="O2" s="13"/>
    </row>
    <row r="3" ht="20" customHeight="1" spans="1:17">
      <c r="A3" s="11">
        <v>2</v>
      </c>
      <c r="B3" s="11" t="s">
        <v>12</v>
      </c>
      <c r="C3" s="11" t="s">
        <v>13</v>
      </c>
      <c r="D3" s="11" t="s">
        <v>11</v>
      </c>
      <c r="E3" s="12">
        <v>23.6</v>
      </c>
      <c r="F3" s="11">
        <v>1</v>
      </c>
      <c r="G3" s="11">
        <v>1</v>
      </c>
      <c r="H3" s="11">
        <f t="shared" ref="H3:H34" si="0">PRODUCT(G3*E3)</f>
        <v>23.6</v>
      </c>
      <c r="I3" s="9"/>
      <c r="J3" s="13"/>
      <c r="K3" s="13">
        <v>85000</v>
      </c>
      <c r="L3" s="13"/>
      <c r="M3" s="13"/>
      <c r="N3" s="13"/>
      <c r="O3" s="13"/>
    </row>
    <row r="4" ht="20" customHeight="1" spans="1:17">
      <c r="A4" s="11">
        <v>3</v>
      </c>
      <c r="B4" s="11" t="s">
        <v>14</v>
      </c>
      <c r="C4" s="11" t="s">
        <v>15</v>
      </c>
      <c r="D4" s="11" t="s">
        <v>11</v>
      </c>
      <c r="E4" s="12">
        <v>22</v>
      </c>
      <c r="F4" s="11">
        <v>3</v>
      </c>
      <c r="G4" s="11">
        <v>3</v>
      </c>
      <c r="H4" s="11">
        <f t="shared" si="0"/>
        <v>66</v>
      </c>
      <c r="I4" s="9"/>
      <c r="J4" s="13"/>
      <c r="K4" s="13"/>
      <c r="L4" s="13"/>
      <c r="M4" s="13"/>
      <c r="N4" s="13"/>
      <c r="O4" s="13"/>
    </row>
    <row r="5" ht="20" customHeight="1" spans="1:17">
      <c r="A5" s="11">
        <v>4</v>
      </c>
      <c r="B5" s="11" t="s">
        <v>16</v>
      </c>
      <c r="C5" s="11" t="s">
        <v>17</v>
      </c>
      <c r="D5" s="11" t="s">
        <v>11</v>
      </c>
      <c r="E5" s="12">
        <v>26</v>
      </c>
      <c r="F5" s="11">
        <v>1</v>
      </c>
      <c r="G5" s="11">
        <v>1</v>
      </c>
      <c r="H5" s="11">
        <f t="shared" si="0"/>
        <v>26</v>
      </c>
      <c r="I5" s="9"/>
      <c r="J5" s="13"/>
      <c r="K5" s="13"/>
      <c r="L5" s="13"/>
      <c r="M5" s="13"/>
      <c r="N5" s="13"/>
      <c r="O5" s="13"/>
    </row>
    <row r="6" ht="20" customHeight="1" spans="1:17">
      <c r="A6" s="11">
        <v>5</v>
      </c>
      <c r="B6" s="11" t="s">
        <v>18</v>
      </c>
      <c r="C6" s="11" t="s">
        <v>19</v>
      </c>
      <c r="D6" s="11" t="s">
        <v>20</v>
      </c>
      <c r="E6" s="12">
        <v>46</v>
      </c>
      <c r="F6" s="11">
        <v>2</v>
      </c>
      <c r="G6" s="11">
        <v>2</v>
      </c>
      <c r="H6" s="11">
        <f t="shared" si="0"/>
        <v>92</v>
      </c>
      <c r="I6" s="9"/>
      <c r="J6" s="13"/>
      <c r="K6" s="13">
        <v>110000</v>
      </c>
      <c r="L6" s="13"/>
      <c r="M6" s="13"/>
      <c r="N6" s="13" t="s">
        <v>345</v>
      </c>
      <c r="O6" s="13">
        <v>45000</v>
      </c>
    </row>
    <row r="7" s="2" customFormat="1" ht="20" customHeight="1" spans="1:17">
      <c r="A7" s="11">
        <v>6</v>
      </c>
      <c r="B7" s="14" t="s">
        <v>21</v>
      </c>
      <c r="C7" s="14" t="s">
        <v>22</v>
      </c>
      <c r="D7" s="14" t="s">
        <v>20</v>
      </c>
      <c r="E7" s="15">
        <v>46</v>
      </c>
      <c r="F7" s="14">
        <v>0</v>
      </c>
      <c r="G7" s="14">
        <v>9</v>
      </c>
      <c r="H7" s="11">
        <f t="shared" si="0"/>
        <v>414</v>
      </c>
      <c r="I7" s="16"/>
      <c r="J7" s="17"/>
      <c r="K7" s="17"/>
      <c r="L7" s="17"/>
      <c r="M7" s="17"/>
      <c r="N7" s="17" t="s">
        <v>208</v>
      </c>
      <c r="O7" s="17">
        <v>56200</v>
      </c>
    </row>
    <row r="8" s="2" customFormat="1" ht="20" customHeight="1" spans="1:17">
      <c r="A8" s="11">
        <v>7</v>
      </c>
      <c r="B8" s="14" t="s">
        <v>21</v>
      </c>
      <c r="C8" s="14" t="s">
        <v>23</v>
      </c>
      <c r="D8" s="14" t="s">
        <v>11</v>
      </c>
      <c r="E8" s="15">
        <v>46</v>
      </c>
      <c r="F8" s="14">
        <v>0</v>
      </c>
      <c r="G8" s="14">
        <v>1</v>
      </c>
      <c r="H8" s="11">
        <f t="shared" si="0"/>
        <v>46</v>
      </c>
      <c r="I8" s="16"/>
      <c r="J8" s="17"/>
      <c r="K8" s="17"/>
      <c r="L8" s="17"/>
      <c r="M8" s="17"/>
      <c r="N8" s="17"/>
      <c r="O8" s="17"/>
    </row>
    <row r="9" ht="20" customHeight="1" spans="1:17">
      <c r="A9" s="11">
        <v>8</v>
      </c>
      <c r="B9" s="11" t="s">
        <v>24</v>
      </c>
      <c r="C9" s="11" t="s">
        <v>25</v>
      </c>
      <c r="D9" s="11" t="s">
        <v>26</v>
      </c>
      <c r="E9" s="12">
        <v>3.8</v>
      </c>
      <c r="F9" s="11">
        <v>1</v>
      </c>
      <c r="G9" s="11">
        <v>1</v>
      </c>
      <c r="H9" s="11">
        <f t="shared" si="0"/>
        <v>3.8</v>
      </c>
      <c r="I9" s="9"/>
      <c r="J9" s="13"/>
      <c r="K9" s="13"/>
      <c r="L9" s="13"/>
      <c r="M9" s="13"/>
      <c r="N9" s="13" t="s">
        <v>345</v>
      </c>
      <c r="O9" s="13">
        <v>6000</v>
      </c>
    </row>
    <row r="10" ht="20" customHeight="1" spans="1:17">
      <c r="A10" s="11">
        <v>9</v>
      </c>
      <c r="B10" s="11" t="s">
        <v>27</v>
      </c>
      <c r="C10" s="11" t="s">
        <v>28</v>
      </c>
      <c r="D10" s="11" t="s">
        <v>11</v>
      </c>
      <c r="E10" s="12">
        <v>5.5</v>
      </c>
      <c r="F10" s="11">
        <v>1</v>
      </c>
      <c r="G10" s="11">
        <v>1</v>
      </c>
      <c r="H10" s="11">
        <f t="shared" si="0"/>
        <v>5.5</v>
      </c>
      <c r="I10" s="9"/>
      <c r="J10" s="13"/>
      <c r="K10" s="13">
        <v>25000</v>
      </c>
      <c r="L10" s="13"/>
      <c r="M10" s="13">
        <v>20000</v>
      </c>
      <c r="N10" s="13" t="s">
        <v>345</v>
      </c>
      <c r="O10" s="13">
        <v>12000</v>
      </c>
    </row>
    <row r="11" ht="20" customHeight="1" spans="1:17">
      <c r="A11" s="11">
        <v>10</v>
      </c>
      <c r="B11" s="11" t="s">
        <v>29</v>
      </c>
      <c r="C11" s="11" t="s">
        <v>28</v>
      </c>
      <c r="D11" s="11" t="s">
        <v>26</v>
      </c>
      <c r="E11" s="12">
        <v>5.5</v>
      </c>
      <c r="F11" s="11">
        <v>62</v>
      </c>
      <c r="G11" s="11">
        <v>62</v>
      </c>
      <c r="H11" s="11">
        <f t="shared" si="0"/>
        <v>341</v>
      </c>
      <c r="I11" s="9"/>
      <c r="J11" s="13"/>
      <c r="K11" s="13"/>
      <c r="L11" s="13"/>
      <c r="M11" s="13"/>
      <c r="N11" s="13" t="s">
        <v>208</v>
      </c>
      <c r="O11" s="13">
        <v>18000</v>
      </c>
    </row>
    <row r="12" ht="20" customHeight="1" spans="1:17">
      <c r="A12" s="11">
        <v>11</v>
      </c>
      <c r="B12" s="11" t="s">
        <v>30</v>
      </c>
      <c r="C12" s="11" t="s">
        <v>31</v>
      </c>
      <c r="D12" s="11" t="s">
        <v>26</v>
      </c>
      <c r="E12" s="12">
        <v>1.3</v>
      </c>
      <c r="F12" s="11">
        <v>4</v>
      </c>
      <c r="G12" s="11">
        <v>4</v>
      </c>
      <c r="H12" s="11">
        <f t="shared" si="0"/>
        <v>5.2</v>
      </c>
      <c r="I12" s="9"/>
      <c r="J12" s="13"/>
      <c r="K12" s="13"/>
      <c r="L12" s="13"/>
      <c r="M12" s="13"/>
      <c r="N12" s="13"/>
      <c r="O12" s="13"/>
    </row>
    <row r="13" ht="20" customHeight="1" spans="1:17">
      <c r="A13" s="11">
        <v>12</v>
      </c>
      <c r="B13" s="11" t="s">
        <v>32</v>
      </c>
      <c r="C13" s="11" t="s">
        <v>33</v>
      </c>
      <c r="D13" s="11" t="s">
        <v>26</v>
      </c>
      <c r="E13" s="12">
        <v>1.52</v>
      </c>
      <c r="F13" s="11">
        <v>1</v>
      </c>
      <c r="G13" s="11">
        <v>1</v>
      </c>
      <c r="H13" s="11">
        <f t="shared" si="0"/>
        <v>1.52</v>
      </c>
      <c r="I13" s="9"/>
      <c r="J13" s="13"/>
      <c r="K13" s="13"/>
      <c r="L13" s="13"/>
      <c r="M13" s="13"/>
      <c r="N13" s="13"/>
      <c r="O13" s="13"/>
    </row>
    <row r="14" ht="20" customHeight="1" spans="1:17">
      <c r="A14" s="11">
        <v>13</v>
      </c>
      <c r="B14" s="11" t="s">
        <v>34</v>
      </c>
      <c r="C14" s="11" t="s">
        <v>35</v>
      </c>
      <c r="D14" s="11" t="s">
        <v>26</v>
      </c>
      <c r="E14" s="12">
        <v>3.5</v>
      </c>
      <c r="F14" s="11">
        <v>5</v>
      </c>
      <c r="G14" s="11">
        <v>5</v>
      </c>
      <c r="H14" s="11">
        <f t="shared" si="0"/>
        <v>17.5</v>
      </c>
      <c r="I14" s="9"/>
      <c r="J14" s="13"/>
      <c r="K14" s="13"/>
      <c r="L14" s="13"/>
      <c r="M14" s="13"/>
      <c r="N14" s="13"/>
      <c r="O14" s="13"/>
    </row>
    <row r="15" ht="20" customHeight="1" spans="1:17">
      <c r="A15" s="11">
        <v>14</v>
      </c>
      <c r="B15" s="11" t="s">
        <v>36</v>
      </c>
      <c r="C15" s="11" t="s">
        <v>37</v>
      </c>
      <c r="D15" s="11" t="s">
        <v>26</v>
      </c>
      <c r="E15" s="12">
        <v>9.7</v>
      </c>
      <c r="F15" s="11">
        <v>1</v>
      </c>
      <c r="G15" s="11">
        <v>1</v>
      </c>
      <c r="H15" s="11">
        <f t="shared" si="0"/>
        <v>9.7</v>
      </c>
      <c r="I15" s="9"/>
      <c r="J15" s="13"/>
      <c r="K15" s="13"/>
      <c r="L15" s="13"/>
      <c r="M15" s="13"/>
      <c r="N15" s="13"/>
      <c r="O15" s="13"/>
    </row>
    <row r="16" ht="20" customHeight="1" spans="1:17">
      <c r="A16" s="11">
        <v>15</v>
      </c>
      <c r="B16" s="11" t="s">
        <v>38</v>
      </c>
      <c r="C16" s="11" t="s">
        <v>39</v>
      </c>
      <c r="D16" s="11" t="s">
        <v>26</v>
      </c>
      <c r="E16" s="12">
        <v>1.8</v>
      </c>
      <c r="F16" s="11">
        <v>2</v>
      </c>
      <c r="G16" s="11">
        <v>2</v>
      </c>
      <c r="H16" s="11">
        <f t="shared" si="0"/>
        <v>3.6</v>
      </c>
      <c r="I16" s="9"/>
      <c r="J16" s="13"/>
      <c r="K16" s="13"/>
      <c r="L16" s="13"/>
      <c r="M16" s="13"/>
      <c r="N16" s="13"/>
      <c r="O16" s="13"/>
    </row>
    <row r="17" ht="20" customHeight="1" spans="1:17">
      <c r="A17" s="11">
        <v>16</v>
      </c>
      <c r="B17" s="11" t="s">
        <v>40</v>
      </c>
      <c r="C17" s="11" t="s">
        <v>41</v>
      </c>
      <c r="D17" s="11" t="s">
        <v>26</v>
      </c>
      <c r="E17" s="12">
        <v>0.8</v>
      </c>
      <c r="F17" s="11">
        <v>1</v>
      </c>
      <c r="G17" s="11">
        <v>1</v>
      </c>
      <c r="H17" s="11">
        <f t="shared" si="0"/>
        <v>0.8</v>
      </c>
      <c r="I17" s="9"/>
      <c r="J17" s="13"/>
      <c r="K17" s="13"/>
      <c r="L17" s="13"/>
      <c r="M17" s="13"/>
      <c r="N17" s="13"/>
      <c r="O17" s="13"/>
    </row>
    <row r="18" ht="20" customHeight="1" spans="1:17">
      <c r="A18" s="11">
        <v>17</v>
      </c>
      <c r="B18" s="11" t="s">
        <v>42</v>
      </c>
      <c r="C18" s="11" t="s">
        <v>43</v>
      </c>
      <c r="D18" s="11" t="s">
        <v>26</v>
      </c>
      <c r="E18" s="12">
        <v>0.7</v>
      </c>
      <c r="F18" s="11">
        <v>6</v>
      </c>
      <c r="G18" s="11">
        <v>6</v>
      </c>
      <c r="H18" s="11">
        <f t="shared" si="0"/>
        <v>4.2</v>
      </c>
      <c r="I18" s="9"/>
      <c r="J18" s="13"/>
      <c r="K18" s="13"/>
      <c r="L18" s="13"/>
      <c r="M18" s="13"/>
      <c r="N18" s="13"/>
      <c r="O18" s="13"/>
    </row>
    <row r="19" ht="20" customHeight="1" spans="1:17">
      <c r="A19" s="11">
        <v>18</v>
      </c>
      <c r="B19" s="11" t="s">
        <v>44</v>
      </c>
      <c r="C19" s="11" t="s">
        <v>45</v>
      </c>
      <c r="D19" s="11" t="s">
        <v>26</v>
      </c>
      <c r="E19" s="12">
        <v>1.8</v>
      </c>
      <c r="F19" s="11">
        <v>1</v>
      </c>
      <c r="G19" s="11">
        <v>1</v>
      </c>
      <c r="H19" s="11">
        <f t="shared" si="0"/>
        <v>1.8</v>
      </c>
      <c r="I19" s="9"/>
      <c r="J19" s="13"/>
      <c r="K19" s="13"/>
      <c r="L19" s="13"/>
      <c r="M19" s="13"/>
      <c r="N19" s="13" t="s">
        <v>345</v>
      </c>
      <c r="O19" s="13">
        <v>4500</v>
      </c>
    </row>
    <row r="20" ht="20" customHeight="1" spans="1:17">
      <c r="A20" s="11">
        <v>19</v>
      </c>
      <c r="B20" s="11" t="s">
        <v>46</v>
      </c>
      <c r="C20" s="11" t="s">
        <v>47</v>
      </c>
      <c r="D20" s="11" t="s">
        <v>11</v>
      </c>
      <c r="E20" s="12">
        <v>1.9</v>
      </c>
      <c r="F20" s="11">
        <v>5</v>
      </c>
      <c r="G20" s="14">
        <v>0</v>
      </c>
      <c r="H20" s="11">
        <f t="shared" si="0"/>
        <v>0</v>
      </c>
      <c r="I20" s="9"/>
      <c r="J20" s="13"/>
      <c r="K20" s="13"/>
      <c r="L20" s="13"/>
      <c r="M20" s="13"/>
      <c r="N20" s="13"/>
      <c r="O20" s="13"/>
    </row>
    <row r="21" ht="20" customHeight="1" spans="1:17">
      <c r="A21" s="11">
        <v>20</v>
      </c>
      <c r="B21" s="11" t="s">
        <v>48</v>
      </c>
      <c r="C21" s="11" t="s">
        <v>49</v>
      </c>
      <c r="D21" s="11" t="s">
        <v>26</v>
      </c>
      <c r="E21" s="12">
        <v>3.3</v>
      </c>
      <c r="F21" s="11">
        <v>31</v>
      </c>
      <c r="G21" s="11">
        <v>31</v>
      </c>
      <c r="H21" s="11">
        <f t="shared" si="0"/>
        <v>102.3</v>
      </c>
      <c r="I21" s="9"/>
      <c r="J21" s="13"/>
      <c r="K21" s="13"/>
      <c r="L21" s="13"/>
      <c r="M21" s="13"/>
      <c r="N21" s="13" t="s">
        <v>208</v>
      </c>
      <c r="O21" s="13">
        <v>12800</v>
      </c>
    </row>
    <row r="22" ht="20" customHeight="1" spans="1:17">
      <c r="A22" s="11">
        <v>21</v>
      </c>
      <c r="B22" s="11" t="s">
        <v>48</v>
      </c>
      <c r="C22" s="11" t="s">
        <v>50</v>
      </c>
      <c r="D22" s="11" t="s">
        <v>26</v>
      </c>
      <c r="E22" s="12">
        <v>3.3</v>
      </c>
      <c r="F22" s="11">
        <v>14</v>
      </c>
      <c r="G22" s="11">
        <v>14</v>
      </c>
      <c r="H22" s="11">
        <f t="shared" si="0"/>
        <v>46.2</v>
      </c>
      <c r="I22" s="9"/>
      <c r="J22" s="13"/>
      <c r="K22" s="13"/>
      <c r="L22" s="13"/>
      <c r="M22" s="13"/>
      <c r="N22" s="13" t="s">
        <v>208</v>
      </c>
      <c r="O22" s="13">
        <v>12800</v>
      </c>
    </row>
    <row r="23" ht="20" customHeight="1" spans="1:17">
      <c r="A23" s="11">
        <v>22</v>
      </c>
      <c r="B23" s="11" t="s">
        <v>48</v>
      </c>
      <c r="C23" s="11" t="s">
        <v>51</v>
      </c>
      <c r="D23" s="11" t="s">
        <v>26</v>
      </c>
      <c r="E23" s="12">
        <v>3.3</v>
      </c>
      <c r="F23" s="11">
        <v>1</v>
      </c>
      <c r="G23" s="11">
        <v>1</v>
      </c>
      <c r="H23" s="11">
        <f t="shared" si="0"/>
        <v>3.3</v>
      </c>
      <c r="I23" s="9"/>
      <c r="J23" s="13"/>
      <c r="K23" s="13"/>
      <c r="L23" s="13"/>
      <c r="M23" s="13"/>
      <c r="N23" s="13" t="s">
        <v>345</v>
      </c>
      <c r="O23" s="13">
        <v>10100</v>
      </c>
    </row>
    <row r="24" ht="20" customHeight="1" spans="1:17">
      <c r="A24" s="11">
        <v>23</v>
      </c>
      <c r="B24" s="11" t="s">
        <v>48</v>
      </c>
      <c r="C24" s="11" t="s">
        <v>52</v>
      </c>
      <c r="D24" s="11" t="s">
        <v>26</v>
      </c>
      <c r="E24" s="12">
        <v>3.3</v>
      </c>
      <c r="F24" s="11">
        <v>1</v>
      </c>
      <c r="G24" s="11">
        <v>1</v>
      </c>
      <c r="H24" s="11">
        <f t="shared" si="0"/>
        <v>3.3</v>
      </c>
      <c r="I24" s="9"/>
      <c r="J24" s="13"/>
      <c r="K24" s="13"/>
      <c r="L24" s="13"/>
      <c r="M24" s="13"/>
      <c r="N24" s="13" t="s">
        <v>345</v>
      </c>
      <c r="O24" s="13">
        <v>9600</v>
      </c>
    </row>
    <row r="25" ht="20" customHeight="1" spans="1:17">
      <c r="A25" s="11">
        <v>24</v>
      </c>
      <c r="B25" s="11" t="s">
        <v>53</v>
      </c>
      <c r="C25" s="11" t="s">
        <v>54</v>
      </c>
      <c r="D25" s="11" t="s">
        <v>26</v>
      </c>
      <c r="E25" s="12">
        <v>1</v>
      </c>
      <c r="F25" s="11">
        <v>8</v>
      </c>
      <c r="G25" s="11">
        <v>8</v>
      </c>
      <c r="H25" s="11">
        <f t="shared" si="0"/>
        <v>8</v>
      </c>
      <c r="I25" s="9"/>
      <c r="J25" s="13"/>
      <c r="K25" s="13"/>
      <c r="L25" s="13"/>
      <c r="M25" s="13"/>
      <c r="N25" s="13"/>
      <c r="O25" s="13"/>
    </row>
    <row r="26" ht="20" customHeight="1" spans="1:17">
      <c r="A26" s="11">
        <v>25</v>
      </c>
      <c r="B26" s="11" t="s">
        <v>55</v>
      </c>
      <c r="C26" s="11" t="s">
        <v>56</v>
      </c>
      <c r="D26" s="11" t="s">
        <v>26</v>
      </c>
      <c r="E26" s="12">
        <v>1.3</v>
      </c>
      <c r="F26" s="11">
        <v>1</v>
      </c>
      <c r="G26" s="11">
        <v>1</v>
      </c>
      <c r="H26" s="11">
        <f t="shared" si="0"/>
        <v>1.3</v>
      </c>
      <c r="I26" s="9"/>
      <c r="J26" s="13"/>
      <c r="K26" s="13"/>
      <c r="L26" s="13"/>
      <c r="M26" s="13"/>
      <c r="N26" s="13"/>
      <c r="O26" s="13"/>
    </row>
    <row r="27" s="3" customFormat="1" ht="20" customHeight="1" spans="1:17">
      <c r="A27" s="11">
        <v>26</v>
      </c>
      <c r="B27" s="18" t="s">
        <v>57</v>
      </c>
      <c r="C27" s="18" t="s">
        <v>58</v>
      </c>
      <c r="D27" s="18" t="s">
        <v>20</v>
      </c>
      <c r="E27" s="19">
        <v>0.9</v>
      </c>
      <c r="F27" s="18">
        <v>1</v>
      </c>
      <c r="G27" s="18">
        <v>1</v>
      </c>
      <c r="H27" s="11">
        <f t="shared" si="0"/>
        <v>0.9</v>
      </c>
      <c r="I27" s="20"/>
      <c r="J27" s="21"/>
      <c r="K27" s="21"/>
      <c r="L27" s="21"/>
      <c r="M27" s="21"/>
      <c r="N27" s="21" t="s">
        <v>67</v>
      </c>
      <c r="O27" s="21">
        <v>9000</v>
      </c>
    </row>
    <row r="28" ht="20" customHeight="1" spans="1:17">
      <c r="A28" s="11">
        <v>27</v>
      </c>
      <c r="B28" s="11" t="s">
        <v>59</v>
      </c>
      <c r="C28" s="11" t="s">
        <v>60</v>
      </c>
      <c r="D28" s="11" t="s">
        <v>26</v>
      </c>
      <c r="E28" s="12">
        <v>2.9</v>
      </c>
      <c r="F28" s="11">
        <v>1</v>
      </c>
      <c r="G28" s="11">
        <v>1</v>
      </c>
      <c r="H28" s="11">
        <f t="shared" si="0"/>
        <v>2.9</v>
      </c>
      <c r="I28" s="9"/>
      <c r="J28" s="13"/>
      <c r="K28" s="13"/>
      <c r="L28" s="13"/>
      <c r="M28" s="13"/>
      <c r="N28" s="13" t="s">
        <v>67</v>
      </c>
      <c r="O28" s="13">
        <v>10000</v>
      </c>
    </row>
    <row r="29" ht="20" customHeight="1" spans="1:17">
      <c r="A29" s="11">
        <v>28</v>
      </c>
      <c r="B29" s="11" t="s">
        <v>61</v>
      </c>
      <c r="C29" s="11" t="s">
        <v>62</v>
      </c>
      <c r="D29" s="11" t="s">
        <v>63</v>
      </c>
      <c r="E29" s="12">
        <v>7.5</v>
      </c>
      <c r="F29" s="11">
        <v>1</v>
      </c>
      <c r="G29" s="11">
        <v>1</v>
      </c>
      <c r="H29" s="11">
        <f t="shared" si="0"/>
        <v>7.5</v>
      </c>
      <c r="I29" s="9"/>
      <c r="J29" s="13"/>
      <c r="K29" s="13"/>
      <c r="L29" s="13"/>
      <c r="M29" s="13"/>
      <c r="N29" s="13"/>
      <c r="O29" s="13"/>
    </row>
    <row r="30" ht="20" customHeight="1" spans="1:17">
      <c r="A30" s="11">
        <v>29</v>
      </c>
      <c r="B30" s="11" t="s">
        <v>61</v>
      </c>
      <c r="C30" s="11" t="s">
        <v>64</v>
      </c>
      <c r="D30" s="11" t="s">
        <v>26</v>
      </c>
      <c r="E30" s="12">
        <v>7.5</v>
      </c>
      <c r="F30" s="11">
        <v>1</v>
      </c>
      <c r="G30" s="11">
        <v>1</v>
      </c>
      <c r="H30" s="11">
        <f t="shared" si="0"/>
        <v>7.5</v>
      </c>
      <c r="I30" s="9"/>
      <c r="J30" s="13"/>
      <c r="K30" s="13"/>
      <c r="L30" s="13"/>
      <c r="M30" s="13"/>
      <c r="N30" s="13"/>
      <c r="O30" s="13"/>
    </row>
    <row r="31" ht="79" customHeight="1" spans="1:17">
      <c r="A31" s="11">
        <v>30</v>
      </c>
      <c r="B31" s="11" t="s">
        <v>65</v>
      </c>
      <c r="C31" s="11" t="s">
        <v>66</v>
      </c>
      <c r="D31" s="11" t="s">
        <v>67</v>
      </c>
      <c r="E31" s="12">
        <v>0.7</v>
      </c>
      <c r="F31" s="11">
        <v>95</v>
      </c>
      <c r="G31" s="14">
        <v>124</v>
      </c>
      <c r="H31" s="11">
        <f t="shared" si="0"/>
        <v>86.8</v>
      </c>
      <c r="I31" s="9" t="s">
        <v>68</v>
      </c>
      <c r="J31" s="13"/>
      <c r="K31" s="13">
        <v>6000</v>
      </c>
      <c r="L31" s="13"/>
      <c r="M31" s="13">
        <v>4500</v>
      </c>
      <c r="N31" s="13" t="s">
        <v>67</v>
      </c>
      <c r="O31" s="13">
        <v>6000</v>
      </c>
      <c r="P31" s="4">
        <v>30700</v>
      </c>
      <c r="Q31" s="4">
        <v>12000</v>
      </c>
    </row>
    <row r="32" ht="32" customHeight="1" spans="1:17">
      <c r="A32" s="11">
        <v>31</v>
      </c>
      <c r="B32" s="22" t="s">
        <v>69</v>
      </c>
      <c r="C32" s="22" t="s">
        <v>70</v>
      </c>
      <c r="D32" s="22" t="s">
        <v>71</v>
      </c>
      <c r="E32" s="23">
        <v>27</v>
      </c>
      <c r="F32" s="22">
        <v>9</v>
      </c>
      <c r="G32" s="22">
        <v>9</v>
      </c>
      <c r="H32" s="11">
        <f t="shared" si="0"/>
        <v>243</v>
      </c>
      <c r="I32" s="9" t="s">
        <v>72</v>
      </c>
      <c r="J32" s="13"/>
      <c r="K32" s="13"/>
      <c r="L32" s="13"/>
      <c r="M32" s="13"/>
      <c r="N32" s="13"/>
      <c r="O32" s="13"/>
    </row>
    <row r="33" ht="20" customHeight="1" spans="1:15">
      <c r="A33" s="11">
        <v>32</v>
      </c>
      <c r="B33" s="11" t="s">
        <v>73</v>
      </c>
      <c r="C33" s="11" t="s">
        <v>74</v>
      </c>
      <c r="D33" s="11" t="s">
        <v>71</v>
      </c>
      <c r="E33" s="12">
        <v>11.6</v>
      </c>
      <c r="F33" s="11">
        <v>1</v>
      </c>
      <c r="G33" s="11">
        <v>1</v>
      </c>
      <c r="H33" s="11">
        <f t="shared" si="0"/>
        <v>11.6</v>
      </c>
      <c r="I33" s="9"/>
      <c r="J33" s="13"/>
      <c r="K33" s="13"/>
      <c r="L33" s="13"/>
      <c r="M33" s="13"/>
      <c r="N33" s="13" t="s">
        <v>345</v>
      </c>
      <c r="O33" s="13">
        <v>12000</v>
      </c>
    </row>
    <row r="34" ht="33" customHeight="1" spans="1:15">
      <c r="A34" s="11">
        <v>33</v>
      </c>
      <c r="B34" s="11" t="s">
        <v>75</v>
      </c>
      <c r="C34" s="11" t="s">
        <v>76</v>
      </c>
      <c r="D34" s="11" t="s">
        <v>20</v>
      </c>
      <c r="E34" s="12">
        <v>0.6</v>
      </c>
      <c r="F34" s="11">
        <v>2</v>
      </c>
      <c r="G34" s="11">
        <v>2</v>
      </c>
      <c r="H34" s="11">
        <f t="shared" si="0"/>
        <v>1.2</v>
      </c>
      <c r="I34" s="9"/>
      <c r="J34" s="13"/>
      <c r="K34" s="13"/>
      <c r="L34" s="13"/>
      <c r="M34" s="13"/>
      <c r="N34" s="13" t="s">
        <v>67</v>
      </c>
      <c r="O34" s="13">
        <v>2500</v>
      </c>
    </row>
    <row r="35" ht="33" customHeight="1" spans="1:15">
      <c r="A35" s="11">
        <v>34</v>
      </c>
      <c r="B35" s="11" t="s">
        <v>77</v>
      </c>
      <c r="C35" s="11" t="s">
        <v>78</v>
      </c>
      <c r="D35" s="11" t="s">
        <v>26</v>
      </c>
      <c r="E35" s="12">
        <v>3.5</v>
      </c>
      <c r="F35" s="11">
        <v>1</v>
      </c>
      <c r="G35" s="11">
        <v>1</v>
      </c>
      <c r="H35" s="11">
        <f t="shared" ref="H35:H66" si="1">PRODUCT(G35*E35)</f>
        <v>3.5</v>
      </c>
      <c r="I35" s="9"/>
      <c r="J35" s="13"/>
      <c r="K35" s="13"/>
      <c r="L35" s="13"/>
      <c r="M35" s="13"/>
      <c r="N35" s="13"/>
      <c r="O35" s="13"/>
    </row>
    <row r="36" ht="31" customHeight="1" spans="1:15">
      <c r="A36" s="11">
        <v>35</v>
      </c>
      <c r="B36" s="11" t="s">
        <v>79</v>
      </c>
      <c r="C36" s="11" t="s">
        <v>80</v>
      </c>
      <c r="D36" s="11" t="s">
        <v>26</v>
      </c>
      <c r="E36" s="12">
        <v>0.77</v>
      </c>
      <c r="F36" s="11">
        <v>1</v>
      </c>
      <c r="G36" s="11">
        <v>1</v>
      </c>
      <c r="H36" s="11">
        <f t="shared" si="1"/>
        <v>0.77</v>
      </c>
      <c r="I36" s="9"/>
      <c r="J36" s="13"/>
      <c r="K36" s="13"/>
      <c r="L36" s="13"/>
      <c r="M36" s="13"/>
      <c r="N36" s="13"/>
      <c r="O36" s="13"/>
    </row>
    <row r="37" ht="31" customHeight="1" spans="1:15">
      <c r="A37" s="11">
        <v>36</v>
      </c>
      <c r="B37" s="11" t="s">
        <v>81</v>
      </c>
      <c r="C37" s="11" t="s">
        <v>82</v>
      </c>
      <c r="D37" s="11" t="s">
        <v>26</v>
      </c>
      <c r="E37" s="12">
        <v>1.24</v>
      </c>
      <c r="F37" s="11">
        <v>1</v>
      </c>
      <c r="G37" s="11">
        <v>1</v>
      </c>
      <c r="H37" s="11">
        <f t="shared" si="1"/>
        <v>1.24</v>
      </c>
      <c r="I37" s="9"/>
      <c r="J37" s="13"/>
      <c r="K37" s="13"/>
      <c r="L37" s="13"/>
      <c r="M37" s="13"/>
      <c r="N37" s="13"/>
      <c r="O37" s="13"/>
    </row>
    <row r="38" ht="20" customHeight="1" spans="1:15">
      <c r="A38" s="11">
        <v>37</v>
      </c>
      <c r="B38" s="11" t="s">
        <v>83</v>
      </c>
      <c r="C38" s="14" t="s">
        <v>84</v>
      </c>
      <c r="D38" s="11" t="s">
        <v>20</v>
      </c>
      <c r="E38" s="12">
        <v>5.6</v>
      </c>
      <c r="F38" s="11">
        <v>7</v>
      </c>
      <c r="G38" s="11">
        <v>7</v>
      </c>
      <c r="H38" s="11">
        <f t="shared" si="1"/>
        <v>39.2</v>
      </c>
      <c r="I38" s="9"/>
      <c r="J38" s="13"/>
      <c r="K38" s="13"/>
      <c r="L38" s="13"/>
      <c r="M38" s="13"/>
      <c r="N38" s="13"/>
      <c r="O38" s="13"/>
    </row>
    <row r="39" ht="20" customHeight="1" spans="1:15">
      <c r="A39" s="11">
        <v>38</v>
      </c>
      <c r="B39" s="11" t="s">
        <v>85</v>
      </c>
      <c r="C39" s="11" t="s">
        <v>86</v>
      </c>
      <c r="D39" s="11" t="s">
        <v>11</v>
      </c>
      <c r="E39" s="12">
        <v>8.8</v>
      </c>
      <c r="F39" s="11">
        <v>8</v>
      </c>
      <c r="G39" s="11">
        <v>8</v>
      </c>
      <c r="H39" s="11">
        <f t="shared" si="1"/>
        <v>70.4</v>
      </c>
      <c r="I39" s="9"/>
      <c r="J39" s="13"/>
      <c r="K39" s="13"/>
      <c r="L39" s="13"/>
      <c r="M39" s="13"/>
      <c r="N39" s="13"/>
      <c r="O39" s="13"/>
    </row>
    <row r="40" ht="20" customHeight="1" spans="1:15">
      <c r="A40" s="11">
        <v>39</v>
      </c>
      <c r="B40" s="11" t="s">
        <v>87</v>
      </c>
      <c r="C40" s="11" t="s">
        <v>88</v>
      </c>
      <c r="D40" s="11" t="s">
        <v>89</v>
      </c>
      <c r="E40" s="19">
        <v>32.6</v>
      </c>
      <c r="F40" s="11">
        <v>1</v>
      </c>
      <c r="G40" s="11">
        <v>1</v>
      </c>
      <c r="H40" s="11">
        <f t="shared" si="1"/>
        <v>32.6</v>
      </c>
      <c r="I40" s="9"/>
      <c r="J40" s="13"/>
      <c r="K40" s="13"/>
      <c r="L40" s="13"/>
      <c r="M40" s="13"/>
      <c r="N40" s="13"/>
      <c r="O40" s="13"/>
    </row>
    <row r="41" ht="27" customHeight="1" spans="1:15">
      <c r="A41" s="11">
        <v>40</v>
      </c>
      <c r="B41" s="11" t="s">
        <v>90</v>
      </c>
      <c r="C41" s="11"/>
      <c r="D41" s="11" t="s">
        <v>11</v>
      </c>
      <c r="E41" s="11">
        <v>41</v>
      </c>
      <c r="F41" s="11">
        <v>3</v>
      </c>
      <c r="G41" s="14">
        <v>5</v>
      </c>
      <c r="H41" s="11">
        <f t="shared" si="1"/>
        <v>205</v>
      </c>
      <c r="I41" s="9" t="s">
        <v>91</v>
      </c>
      <c r="J41" s="13"/>
      <c r="K41" s="13"/>
      <c r="L41" s="13"/>
      <c r="M41" s="13">
        <v>75000</v>
      </c>
      <c r="N41" s="13" t="s">
        <v>208</v>
      </c>
      <c r="O41" s="13">
        <v>90000</v>
      </c>
    </row>
    <row r="42" ht="29" customHeight="1" spans="1:15">
      <c r="A42" s="11">
        <v>41</v>
      </c>
      <c r="B42" s="11" t="s">
        <v>92</v>
      </c>
      <c r="C42" s="11"/>
      <c r="D42" s="11" t="s">
        <v>11</v>
      </c>
      <c r="E42" s="11">
        <v>68</v>
      </c>
      <c r="F42" s="11">
        <v>8</v>
      </c>
      <c r="G42" s="14">
        <v>12</v>
      </c>
      <c r="H42" s="11">
        <f t="shared" si="1"/>
        <v>816</v>
      </c>
      <c r="I42" s="9" t="s">
        <v>91</v>
      </c>
      <c r="J42" s="13"/>
      <c r="K42" s="13"/>
      <c r="L42" s="13"/>
      <c r="M42" s="13">
        <v>115000</v>
      </c>
      <c r="N42" s="13" t="s">
        <v>345</v>
      </c>
      <c r="O42" s="13">
        <v>84000</v>
      </c>
    </row>
    <row r="43" ht="20" customHeight="1" spans="1:15">
      <c r="A43" s="11">
        <v>42</v>
      </c>
      <c r="B43" s="11" t="s">
        <v>93</v>
      </c>
      <c r="C43" s="11"/>
      <c r="D43" s="11" t="s">
        <v>11</v>
      </c>
      <c r="E43" s="11">
        <v>90.5</v>
      </c>
      <c r="F43" s="11">
        <v>1</v>
      </c>
      <c r="G43" s="11">
        <v>1</v>
      </c>
      <c r="H43" s="11">
        <f t="shared" si="1"/>
        <v>90.5</v>
      </c>
      <c r="I43" s="9"/>
      <c r="J43" s="13"/>
      <c r="K43" s="13">
        <v>150000</v>
      </c>
      <c r="L43" s="13"/>
      <c r="M43" s="13">
        <v>130000</v>
      </c>
      <c r="N43" s="13"/>
      <c r="O43" s="13"/>
    </row>
    <row r="44" ht="20" customHeight="1" spans="1:15">
      <c r="A44" s="11">
        <v>43</v>
      </c>
      <c r="B44" s="11" t="s">
        <v>94</v>
      </c>
      <c r="C44" s="11"/>
      <c r="D44" s="11" t="s">
        <v>11</v>
      </c>
      <c r="E44" s="11">
        <v>30</v>
      </c>
      <c r="F44" s="11">
        <v>2</v>
      </c>
      <c r="G44" s="11">
        <v>2</v>
      </c>
      <c r="H44" s="11">
        <f t="shared" si="1"/>
        <v>60</v>
      </c>
      <c r="I44" s="9"/>
      <c r="J44" s="13"/>
      <c r="K44" s="13">
        <v>55000</v>
      </c>
      <c r="L44" s="13"/>
      <c r="M44" s="13">
        <v>50000</v>
      </c>
      <c r="N44" s="13" t="s">
        <v>208</v>
      </c>
      <c r="O44" s="13">
        <v>60000</v>
      </c>
    </row>
    <row r="45" ht="32" customHeight="1" spans="1:15">
      <c r="A45" s="11">
        <v>44</v>
      </c>
      <c r="B45" s="11" t="s">
        <v>95</v>
      </c>
      <c r="C45" s="11"/>
      <c r="D45" s="11" t="s">
        <v>11</v>
      </c>
      <c r="E45" s="11">
        <v>47.6</v>
      </c>
      <c r="F45" s="11">
        <v>13</v>
      </c>
      <c r="G45" s="14">
        <v>15</v>
      </c>
      <c r="H45" s="11">
        <f t="shared" si="1"/>
        <v>714</v>
      </c>
      <c r="I45" s="9" t="s">
        <v>91</v>
      </c>
      <c r="J45" s="13"/>
      <c r="K45" s="13">
        <v>95000</v>
      </c>
      <c r="L45" s="13"/>
      <c r="M45" s="13">
        <v>75000</v>
      </c>
      <c r="N45" s="13" t="s">
        <v>345</v>
      </c>
      <c r="O45" s="13">
        <v>57600</v>
      </c>
    </row>
    <row r="46" ht="20" customHeight="1" spans="1:15">
      <c r="A46" s="11">
        <v>45</v>
      </c>
      <c r="B46" s="11" t="s">
        <v>96</v>
      </c>
      <c r="C46" s="11" t="s">
        <v>97</v>
      </c>
      <c r="D46" s="11" t="s">
        <v>20</v>
      </c>
      <c r="E46" s="12">
        <v>45</v>
      </c>
      <c r="F46" s="11">
        <v>3</v>
      </c>
      <c r="G46" s="14">
        <v>0</v>
      </c>
      <c r="H46" s="11">
        <f t="shared" si="1"/>
        <v>0</v>
      </c>
      <c r="I46" s="9"/>
      <c r="J46" s="13"/>
      <c r="K46" s="13"/>
      <c r="L46" s="13"/>
      <c r="M46" s="13"/>
      <c r="N46" s="13" t="s">
        <v>345</v>
      </c>
      <c r="O46" s="13">
        <v>90000</v>
      </c>
    </row>
    <row r="47" ht="20" customHeight="1" spans="1:15">
      <c r="A47" s="11">
        <v>46</v>
      </c>
      <c r="B47" s="11" t="s">
        <v>98</v>
      </c>
      <c r="C47" s="11"/>
      <c r="D47" s="11"/>
      <c r="E47" s="12">
        <v>0</v>
      </c>
      <c r="F47" s="11">
        <v>4</v>
      </c>
      <c r="G47" s="14">
        <v>0</v>
      </c>
      <c r="H47" s="11">
        <f t="shared" si="1"/>
        <v>0</v>
      </c>
      <c r="I47" s="9"/>
      <c r="J47" s="13"/>
      <c r="K47" s="13"/>
      <c r="L47" s="13"/>
      <c r="M47" s="13"/>
      <c r="N47" s="13"/>
      <c r="O47" s="13"/>
    </row>
    <row r="48" ht="31" customHeight="1" spans="1:15">
      <c r="A48" s="11">
        <v>47</v>
      </c>
      <c r="B48" s="11" t="s">
        <v>99</v>
      </c>
      <c r="C48" s="11" t="s">
        <v>100</v>
      </c>
      <c r="D48" s="11" t="s">
        <v>20</v>
      </c>
      <c r="E48" s="12">
        <v>1.8</v>
      </c>
      <c r="F48" s="11">
        <v>36</v>
      </c>
      <c r="G48" s="14">
        <v>40</v>
      </c>
      <c r="H48" s="11">
        <f t="shared" si="1"/>
        <v>72</v>
      </c>
      <c r="I48" s="9" t="s">
        <v>68</v>
      </c>
      <c r="J48" s="13"/>
      <c r="K48" s="13"/>
      <c r="L48" s="13"/>
      <c r="M48" s="13"/>
      <c r="N48" s="13" t="s">
        <v>345</v>
      </c>
      <c r="O48" s="13">
        <v>8000</v>
      </c>
    </row>
    <row r="49" ht="20" customHeight="1" spans="1:16">
      <c r="A49" s="11">
        <v>48</v>
      </c>
      <c r="B49" s="11" t="s">
        <v>101</v>
      </c>
      <c r="C49" s="11" t="s">
        <v>102</v>
      </c>
      <c r="D49" s="11" t="s">
        <v>67</v>
      </c>
      <c r="E49" s="12">
        <v>4.1</v>
      </c>
      <c r="F49" s="11">
        <v>2</v>
      </c>
      <c r="G49" s="11">
        <v>2</v>
      </c>
      <c r="H49" s="11">
        <f t="shared" si="1"/>
        <v>8.2</v>
      </c>
      <c r="I49" s="9"/>
      <c r="J49" s="13"/>
      <c r="K49" s="13">
        <v>14000</v>
      </c>
      <c r="L49" s="13"/>
      <c r="M49" s="13"/>
      <c r="N49" s="13" t="s">
        <v>67</v>
      </c>
      <c r="O49" s="13">
        <v>14400</v>
      </c>
    </row>
    <row r="50" ht="20" customHeight="1" spans="1:16">
      <c r="A50" s="11">
        <v>49</v>
      </c>
      <c r="B50" s="14" t="s">
        <v>101</v>
      </c>
      <c r="C50" s="14" t="s">
        <v>102</v>
      </c>
      <c r="D50" s="14" t="s">
        <v>20</v>
      </c>
      <c r="E50" s="15">
        <v>4.1</v>
      </c>
      <c r="F50" s="14">
        <v>0</v>
      </c>
      <c r="G50" s="14">
        <v>1</v>
      </c>
      <c r="H50" s="11">
        <f t="shared" si="1"/>
        <v>4.1</v>
      </c>
      <c r="I50" s="9"/>
      <c r="J50" s="13"/>
      <c r="K50" s="13"/>
      <c r="L50" s="13"/>
      <c r="M50" s="13"/>
      <c r="N50" s="13" t="s">
        <v>345</v>
      </c>
      <c r="O50" s="13">
        <v>9600</v>
      </c>
    </row>
    <row r="51" ht="20" customHeight="1" spans="1:16">
      <c r="A51" s="11">
        <v>50</v>
      </c>
      <c r="B51" s="11" t="s">
        <v>103</v>
      </c>
      <c r="C51" s="11" t="s">
        <v>104</v>
      </c>
      <c r="D51" s="11" t="s">
        <v>26</v>
      </c>
      <c r="E51" s="12">
        <v>2.8</v>
      </c>
      <c r="F51" s="11">
        <v>7</v>
      </c>
      <c r="G51" s="11">
        <v>7</v>
      </c>
      <c r="H51" s="11">
        <f t="shared" si="1"/>
        <v>19.6</v>
      </c>
      <c r="I51" s="9"/>
      <c r="J51" s="13"/>
      <c r="K51" s="13"/>
      <c r="L51" s="13"/>
      <c r="M51" s="13"/>
      <c r="N51" s="13"/>
      <c r="O51" s="13"/>
    </row>
    <row r="52" ht="20" customHeight="1" spans="1:16">
      <c r="A52" s="11">
        <v>51</v>
      </c>
      <c r="B52" s="11" t="s">
        <v>105</v>
      </c>
      <c r="C52" s="11" t="s">
        <v>106</v>
      </c>
      <c r="D52" s="11" t="s">
        <v>20</v>
      </c>
      <c r="E52" s="12">
        <v>1.2</v>
      </c>
      <c r="F52" s="11">
        <v>3</v>
      </c>
      <c r="G52" s="14">
        <v>6</v>
      </c>
      <c r="H52" s="11">
        <f t="shared" si="1"/>
        <v>7.2</v>
      </c>
      <c r="I52" s="9"/>
      <c r="J52" s="13"/>
      <c r="K52" s="13"/>
      <c r="L52" s="13"/>
      <c r="M52" s="13"/>
      <c r="N52" s="13" t="s">
        <v>208</v>
      </c>
      <c r="O52" s="13">
        <v>9000</v>
      </c>
    </row>
    <row r="53" s="2" customFormat="1" ht="20" customHeight="1" spans="1:16">
      <c r="A53" s="11">
        <v>52</v>
      </c>
      <c r="B53" s="14" t="s">
        <v>107</v>
      </c>
      <c r="C53" s="14" t="s">
        <v>108</v>
      </c>
      <c r="D53" s="14" t="s">
        <v>20</v>
      </c>
      <c r="E53" s="15">
        <v>11.2</v>
      </c>
      <c r="F53" s="14">
        <v>0</v>
      </c>
      <c r="G53" s="14">
        <v>1</v>
      </c>
      <c r="H53" s="11">
        <f t="shared" si="1"/>
        <v>11.2</v>
      </c>
      <c r="I53" s="16"/>
      <c r="J53" s="17"/>
      <c r="K53" s="17"/>
      <c r="L53" s="17"/>
      <c r="M53" s="17"/>
      <c r="N53" s="17"/>
      <c r="O53" s="17"/>
    </row>
    <row r="54" ht="20" customHeight="1" spans="1:16">
      <c r="A54" s="11">
        <v>53</v>
      </c>
      <c r="B54" s="11" t="s">
        <v>109</v>
      </c>
      <c r="C54" s="11" t="s">
        <v>110</v>
      </c>
      <c r="D54" s="11" t="s">
        <v>20</v>
      </c>
      <c r="E54" s="12">
        <v>11</v>
      </c>
      <c r="F54" s="11">
        <v>1</v>
      </c>
      <c r="G54" s="14">
        <v>2</v>
      </c>
      <c r="H54" s="11">
        <f t="shared" si="1"/>
        <v>22</v>
      </c>
      <c r="I54" s="9"/>
      <c r="J54" s="13"/>
      <c r="K54" s="13"/>
      <c r="L54" s="13"/>
      <c r="M54" s="13"/>
      <c r="N54" s="13" t="s">
        <v>345</v>
      </c>
      <c r="O54" s="13">
        <v>22500</v>
      </c>
    </row>
    <row r="55" ht="20" customHeight="1" spans="1:16">
      <c r="A55" s="11">
        <v>54</v>
      </c>
      <c r="B55" s="11" t="s">
        <v>111</v>
      </c>
      <c r="C55" s="11" t="s">
        <v>112</v>
      </c>
      <c r="D55" s="11" t="s">
        <v>67</v>
      </c>
      <c r="E55" s="12">
        <v>19</v>
      </c>
      <c r="F55" s="11">
        <v>2</v>
      </c>
      <c r="G55" s="11">
        <v>2</v>
      </c>
      <c r="H55" s="11">
        <f t="shared" si="1"/>
        <v>38</v>
      </c>
      <c r="I55" s="9"/>
      <c r="J55" s="13"/>
      <c r="K55" s="13"/>
      <c r="L55" s="13"/>
      <c r="M55" s="13"/>
      <c r="N55" s="13"/>
      <c r="O55" s="13"/>
    </row>
    <row r="56" s="2" customFormat="1" ht="20" customHeight="1" spans="1:16">
      <c r="A56" s="11">
        <v>55</v>
      </c>
      <c r="B56" s="14" t="s">
        <v>111</v>
      </c>
      <c r="C56" s="14" t="s">
        <v>112</v>
      </c>
      <c r="D56" s="14" t="s">
        <v>11</v>
      </c>
      <c r="E56" s="15">
        <v>19</v>
      </c>
      <c r="F56" s="14">
        <v>0</v>
      </c>
      <c r="G56" s="14">
        <v>1</v>
      </c>
      <c r="H56" s="11">
        <f t="shared" si="1"/>
        <v>19</v>
      </c>
      <c r="I56" s="16"/>
      <c r="J56" s="17"/>
      <c r="K56" s="17"/>
      <c r="L56" s="17"/>
      <c r="M56" s="17"/>
      <c r="N56" s="17"/>
      <c r="O56" s="17"/>
    </row>
    <row r="57" ht="20" customHeight="1" spans="1:16">
      <c r="A57" s="11">
        <v>56</v>
      </c>
      <c r="B57" s="11" t="s">
        <v>113</v>
      </c>
      <c r="C57" s="11" t="s">
        <v>114</v>
      </c>
      <c r="D57" s="11" t="s">
        <v>20</v>
      </c>
      <c r="E57" s="12">
        <v>5.5</v>
      </c>
      <c r="F57" s="11">
        <v>15</v>
      </c>
      <c r="G57" s="14">
        <v>13</v>
      </c>
      <c r="H57" s="11">
        <f t="shared" si="1"/>
        <v>71.5</v>
      </c>
      <c r="I57" s="9"/>
      <c r="J57" s="13"/>
      <c r="K57" s="13"/>
      <c r="L57" s="13"/>
      <c r="M57" s="13"/>
      <c r="N57" s="13"/>
      <c r="O57" s="13"/>
    </row>
    <row r="58" s="2" customFormat="1" ht="20" customHeight="1" spans="1:16">
      <c r="A58" s="11">
        <v>57</v>
      </c>
      <c r="B58" s="14" t="s">
        <v>113</v>
      </c>
      <c r="C58" s="14" t="s">
        <v>115</v>
      </c>
      <c r="D58" s="14" t="s">
        <v>20</v>
      </c>
      <c r="E58" s="15">
        <v>5.5</v>
      </c>
      <c r="F58" s="14">
        <v>0</v>
      </c>
      <c r="G58" s="14">
        <v>1</v>
      </c>
      <c r="H58" s="11">
        <f t="shared" si="1"/>
        <v>5.5</v>
      </c>
      <c r="I58" s="16"/>
      <c r="J58" s="17"/>
      <c r="K58" s="17"/>
      <c r="L58" s="17"/>
      <c r="M58" s="17"/>
      <c r="N58" s="17"/>
      <c r="O58" s="17"/>
    </row>
    <row r="59" s="2" customFormat="1" ht="20" customHeight="1" spans="1:16">
      <c r="A59" s="11">
        <v>58</v>
      </c>
      <c r="B59" s="14" t="s">
        <v>116</v>
      </c>
      <c r="C59" s="14"/>
      <c r="D59" s="14" t="s">
        <v>20</v>
      </c>
      <c r="E59" s="15">
        <v>12</v>
      </c>
      <c r="F59" s="14">
        <v>0</v>
      </c>
      <c r="G59" s="14">
        <v>3</v>
      </c>
      <c r="H59" s="11">
        <f t="shared" si="1"/>
        <v>36</v>
      </c>
      <c r="I59" s="16"/>
      <c r="J59" s="17"/>
      <c r="K59" s="17"/>
      <c r="L59" s="17"/>
      <c r="M59" s="17"/>
      <c r="N59" s="17" t="s">
        <v>67</v>
      </c>
      <c r="O59" s="17">
        <v>27500</v>
      </c>
      <c r="P59" s="2">
        <v>105900</v>
      </c>
    </row>
    <row r="60" ht="20" customHeight="1" spans="1:16">
      <c r="A60" s="11">
        <v>59</v>
      </c>
      <c r="B60" s="11" t="s">
        <v>117</v>
      </c>
      <c r="C60" s="11" t="s">
        <v>118</v>
      </c>
      <c r="D60" s="11" t="s">
        <v>26</v>
      </c>
      <c r="E60" s="12">
        <v>16</v>
      </c>
      <c r="F60" s="11">
        <v>6</v>
      </c>
      <c r="G60" s="14">
        <v>3</v>
      </c>
      <c r="H60" s="11">
        <f t="shared" si="1"/>
        <v>48</v>
      </c>
      <c r="I60" s="9"/>
      <c r="J60" s="13"/>
      <c r="K60" s="13"/>
      <c r="L60" s="13"/>
      <c r="M60" s="13"/>
      <c r="N60" s="13" t="s">
        <v>345</v>
      </c>
      <c r="O60" s="13">
        <v>29000</v>
      </c>
    </row>
    <row r="61" ht="20" customHeight="1" spans="1:16">
      <c r="A61" s="11">
        <v>60</v>
      </c>
      <c r="B61" s="11" t="s">
        <v>117</v>
      </c>
      <c r="C61" s="11" t="s">
        <v>119</v>
      </c>
      <c r="D61" s="11"/>
      <c r="E61" s="12">
        <v>16</v>
      </c>
      <c r="F61" s="11">
        <v>3</v>
      </c>
      <c r="G61" s="14">
        <v>0</v>
      </c>
      <c r="H61" s="11">
        <f t="shared" si="1"/>
        <v>0</v>
      </c>
      <c r="I61" s="9"/>
      <c r="J61" s="13"/>
      <c r="K61" s="13"/>
      <c r="L61" s="13"/>
      <c r="M61" s="13"/>
      <c r="N61" s="13"/>
      <c r="O61" s="13"/>
    </row>
    <row r="62" ht="20" customHeight="1" spans="1:16">
      <c r="A62" s="11">
        <v>61</v>
      </c>
      <c r="B62" s="11" t="s">
        <v>117</v>
      </c>
      <c r="C62" s="11" t="s">
        <v>120</v>
      </c>
      <c r="D62" s="11"/>
      <c r="E62" s="12">
        <v>16</v>
      </c>
      <c r="F62" s="11">
        <v>12</v>
      </c>
      <c r="G62" s="14">
        <v>0</v>
      </c>
      <c r="H62" s="11">
        <f t="shared" si="1"/>
        <v>0</v>
      </c>
      <c r="I62" s="9"/>
      <c r="J62" s="13"/>
      <c r="K62" s="13"/>
      <c r="L62" s="13"/>
      <c r="M62" s="13"/>
      <c r="N62" s="13"/>
      <c r="O62" s="13"/>
    </row>
    <row r="63" s="2" customFormat="1" ht="20" customHeight="1" spans="1:16">
      <c r="A63" s="11">
        <v>62</v>
      </c>
      <c r="B63" s="14" t="s">
        <v>121</v>
      </c>
      <c r="C63" s="14" t="s">
        <v>122</v>
      </c>
      <c r="D63" s="14" t="s">
        <v>26</v>
      </c>
      <c r="E63" s="15">
        <v>20</v>
      </c>
      <c r="F63" s="14">
        <v>0</v>
      </c>
      <c r="G63" s="14">
        <v>1</v>
      </c>
      <c r="H63" s="11">
        <f t="shared" si="1"/>
        <v>20</v>
      </c>
      <c r="I63" s="16"/>
      <c r="J63" s="17"/>
      <c r="K63" s="17"/>
      <c r="L63" s="17"/>
      <c r="M63" s="17"/>
      <c r="N63" s="17"/>
      <c r="O63" s="17"/>
    </row>
    <row r="64" ht="20" customHeight="1" spans="1:16">
      <c r="A64" s="11">
        <v>63</v>
      </c>
      <c r="B64" s="11" t="s">
        <v>123</v>
      </c>
      <c r="C64" s="11" t="s">
        <v>346</v>
      </c>
      <c r="D64" s="11" t="s">
        <v>20</v>
      </c>
      <c r="E64" s="12">
        <v>25</v>
      </c>
      <c r="F64" s="11">
        <v>7</v>
      </c>
      <c r="G64" s="14">
        <v>28</v>
      </c>
      <c r="H64" s="11">
        <f t="shared" si="1"/>
        <v>700</v>
      </c>
      <c r="I64" s="9"/>
      <c r="J64" s="13"/>
      <c r="K64" s="13">
        <v>55000</v>
      </c>
      <c r="L64" s="13"/>
      <c r="M64" s="13">
        <v>48000</v>
      </c>
      <c r="N64" s="13" t="s">
        <v>67</v>
      </c>
      <c r="O64" s="13">
        <v>40000</v>
      </c>
    </row>
    <row r="65" s="2" customFormat="1" ht="20" customHeight="1" spans="1:16">
      <c r="A65" s="11">
        <v>64</v>
      </c>
      <c r="B65" s="14" t="s">
        <v>125</v>
      </c>
      <c r="C65" s="14"/>
      <c r="D65" s="14" t="s">
        <v>11</v>
      </c>
      <c r="E65" s="15">
        <v>28</v>
      </c>
      <c r="F65" s="14">
        <v>0</v>
      </c>
      <c r="G65" s="14">
        <v>10</v>
      </c>
      <c r="H65" s="11">
        <f t="shared" si="1"/>
        <v>280</v>
      </c>
      <c r="I65" s="16"/>
      <c r="J65" s="17"/>
      <c r="K65" s="17"/>
      <c r="L65" s="17"/>
      <c r="M65" s="17"/>
      <c r="N65" s="24" t="s">
        <v>26</v>
      </c>
      <c r="O65" s="24">
        <v>55000</v>
      </c>
    </row>
    <row r="66" ht="20" customHeight="1" spans="1:16">
      <c r="A66" s="11">
        <v>65</v>
      </c>
      <c r="B66" s="11" t="s">
        <v>126</v>
      </c>
      <c r="C66" s="11" t="s">
        <v>127</v>
      </c>
      <c r="D66" s="11"/>
      <c r="E66" s="12">
        <v>0</v>
      </c>
      <c r="F66" s="11">
        <v>1</v>
      </c>
      <c r="G66" s="11">
        <v>0</v>
      </c>
      <c r="H66" s="11">
        <f t="shared" si="1"/>
        <v>0</v>
      </c>
      <c r="I66" s="9"/>
      <c r="J66" s="13"/>
      <c r="K66" s="13"/>
      <c r="L66" s="13"/>
      <c r="M66" s="13"/>
      <c r="N66" s="24" t="s">
        <v>208</v>
      </c>
      <c r="O66" s="25">
        <v>60000</v>
      </c>
    </row>
    <row r="67" ht="20" customHeight="1" spans="1:16">
      <c r="A67" s="11">
        <v>66</v>
      </c>
      <c r="B67" s="11" t="s">
        <v>128</v>
      </c>
      <c r="C67" s="11"/>
      <c r="D67" s="11" t="s">
        <v>20</v>
      </c>
      <c r="E67" s="12">
        <v>12</v>
      </c>
      <c r="F67" s="11">
        <v>66</v>
      </c>
      <c r="G67" s="14">
        <v>51</v>
      </c>
      <c r="H67" s="11">
        <f t="shared" ref="H67:H98" si="2">PRODUCT(G67*E67)</f>
        <v>612</v>
      </c>
      <c r="I67" s="9"/>
      <c r="J67" s="13"/>
      <c r="K67" s="13">
        <v>30000</v>
      </c>
      <c r="L67" s="13"/>
      <c r="M67" s="13">
        <v>28000</v>
      </c>
      <c r="N67" s="25" t="s">
        <v>208</v>
      </c>
      <c r="O67" s="25">
        <v>27500</v>
      </c>
    </row>
    <row r="68" ht="20" customHeight="1" spans="1:16">
      <c r="A68" s="11">
        <v>67</v>
      </c>
      <c r="B68" s="11" t="s">
        <v>129</v>
      </c>
      <c r="C68" s="11" t="s">
        <v>130</v>
      </c>
      <c r="D68" s="11"/>
      <c r="E68" s="12">
        <v>6.6</v>
      </c>
      <c r="F68" s="11">
        <v>16</v>
      </c>
      <c r="G68" s="14">
        <v>12</v>
      </c>
      <c r="H68" s="11">
        <f t="shared" si="2"/>
        <v>79.2</v>
      </c>
      <c r="I68" s="9"/>
      <c r="J68" s="13"/>
      <c r="K68" s="13"/>
      <c r="L68" s="13"/>
      <c r="M68" s="13"/>
      <c r="N68" s="24" t="s">
        <v>345</v>
      </c>
      <c r="O68" s="25">
        <v>9000</v>
      </c>
    </row>
    <row r="69" ht="20" customHeight="1" spans="1:16">
      <c r="A69" s="11">
        <v>68</v>
      </c>
      <c r="B69" s="11" t="s">
        <v>131</v>
      </c>
      <c r="C69" s="11" t="s">
        <v>132</v>
      </c>
      <c r="D69" s="11" t="s">
        <v>26</v>
      </c>
      <c r="E69" s="26">
        <v>5.5</v>
      </c>
      <c r="F69" s="11">
        <v>10</v>
      </c>
      <c r="G69" s="11">
        <v>0</v>
      </c>
      <c r="H69" s="11">
        <f t="shared" si="2"/>
        <v>0</v>
      </c>
      <c r="I69" s="9"/>
      <c r="J69" s="13"/>
      <c r="K69" s="13"/>
      <c r="L69" s="13"/>
      <c r="M69" s="13"/>
      <c r="N69" s="25"/>
      <c r="O69" s="25"/>
    </row>
    <row r="70" s="2" customFormat="1" ht="20" customHeight="1" spans="1:16">
      <c r="A70" s="11">
        <v>69</v>
      </c>
      <c r="B70" s="14" t="s">
        <v>131</v>
      </c>
      <c r="C70" s="14" t="s">
        <v>133</v>
      </c>
      <c r="D70" s="14" t="s">
        <v>67</v>
      </c>
      <c r="E70" s="27">
        <v>5.5</v>
      </c>
      <c r="F70" s="14">
        <v>0</v>
      </c>
      <c r="G70" s="14">
        <v>20</v>
      </c>
      <c r="H70" s="11">
        <f t="shared" si="2"/>
        <v>110</v>
      </c>
      <c r="I70" s="16"/>
      <c r="J70" s="17"/>
      <c r="K70" s="17"/>
      <c r="L70" s="17"/>
      <c r="M70" s="17"/>
      <c r="N70" s="24" t="s">
        <v>347</v>
      </c>
      <c r="O70" s="24">
        <v>9600</v>
      </c>
    </row>
    <row r="71" ht="32" customHeight="1" spans="1:16">
      <c r="A71" s="11">
        <v>70</v>
      </c>
      <c r="B71" s="11" t="s">
        <v>134</v>
      </c>
      <c r="C71" s="11" t="s">
        <v>135</v>
      </c>
      <c r="D71" s="11" t="s">
        <v>26</v>
      </c>
      <c r="E71" s="12">
        <v>5.7</v>
      </c>
      <c r="F71" s="11">
        <v>20</v>
      </c>
      <c r="G71" s="14">
        <v>5</v>
      </c>
      <c r="H71" s="11">
        <f t="shared" si="2"/>
        <v>28.5</v>
      </c>
      <c r="I71" s="9"/>
      <c r="J71" s="13"/>
      <c r="K71" s="13"/>
      <c r="L71" s="13"/>
      <c r="M71" s="13"/>
      <c r="N71" s="25"/>
      <c r="O71" s="25"/>
    </row>
    <row r="72" s="2" customFormat="1" ht="20" customHeight="1" spans="1:16">
      <c r="A72" s="11">
        <v>71</v>
      </c>
      <c r="B72" s="14" t="s">
        <v>134</v>
      </c>
      <c r="C72" s="14" t="s">
        <v>136</v>
      </c>
      <c r="D72" s="14" t="s">
        <v>67</v>
      </c>
      <c r="E72" s="15">
        <v>5.7</v>
      </c>
      <c r="F72" s="14">
        <v>0</v>
      </c>
      <c r="G72" s="14">
        <v>5</v>
      </c>
      <c r="H72" s="11">
        <f t="shared" si="2"/>
        <v>28.5</v>
      </c>
      <c r="I72" s="16"/>
      <c r="J72" s="17"/>
      <c r="K72" s="17"/>
      <c r="L72" s="17"/>
      <c r="M72" s="17"/>
      <c r="N72" s="17"/>
      <c r="O72" s="17"/>
    </row>
    <row r="73" ht="20" customHeight="1" spans="1:16">
      <c r="A73" s="11">
        <v>72</v>
      </c>
      <c r="B73" s="11" t="s">
        <v>137</v>
      </c>
      <c r="C73" s="11"/>
      <c r="D73" s="11" t="s">
        <v>11</v>
      </c>
      <c r="E73" s="12">
        <v>88</v>
      </c>
      <c r="F73" s="11">
        <v>11</v>
      </c>
      <c r="G73" s="14">
        <v>15</v>
      </c>
      <c r="H73" s="11">
        <f t="shared" si="2"/>
        <v>1320</v>
      </c>
      <c r="I73" s="9"/>
      <c r="J73" s="13">
        <v>145000</v>
      </c>
      <c r="K73" s="13"/>
      <c r="L73" s="13"/>
      <c r="M73" s="13">
        <v>175000</v>
      </c>
      <c r="N73" s="13"/>
      <c r="O73" s="13">
        <v>150000</v>
      </c>
    </row>
    <row r="74" ht="20" customHeight="1" spans="1:16">
      <c r="A74" s="11">
        <v>73</v>
      </c>
      <c r="B74" s="11" t="s">
        <v>138</v>
      </c>
      <c r="C74" s="11"/>
      <c r="D74" s="11" t="s">
        <v>11</v>
      </c>
      <c r="E74" s="12">
        <v>125</v>
      </c>
      <c r="F74" s="11">
        <v>19</v>
      </c>
      <c r="G74" s="11">
        <v>19</v>
      </c>
      <c r="H74" s="11">
        <f t="shared" si="2"/>
        <v>2375</v>
      </c>
      <c r="I74" s="9"/>
      <c r="J74" s="13">
        <v>170000</v>
      </c>
      <c r="K74" s="13"/>
      <c r="L74" s="13"/>
      <c r="M74" s="13">
        <v>200000</v>
      </c>
      <c r="N74" s="13" t="s">
        <v>208</v>
      </c>
      <c r="O74" s="13">
        <v>150000</v>
      </c>
    </row>
    <row r="75" ht="20" customHeight="1" spans="1:16">
      <c r="A75" s="11">
        <v>74</v>
      </c>
      <c r="B75" s="11" t="s">
        <v>139</v>
      </c>
      <c r="C75" s="11"/>
      <c r="D75" s="11" t="s">
        <v>11</v>
      </c>
      <c r="E75" s="12">
        <v>192</v>
      </c>
      <c r="F75" s="11">
        <v>16</v>
      </c>
      <c r="G75" s="14">
        <v>13</v>
      </c>
      <c r="H75" s="11">
        <f t="shared" si="2"/>
        <v>2496</v>
      </c>
      <c r="I75" s="9"/>
      <c r="J75" s="13">
        <v>350000</v>
      </c>
      <c r="K75" s="13"/>
      <c r="L75" s="13"/>
      <c r="M75" s="13">
        <v>300000</v>
      </c>
      <c r="N75" s="13"/>
      <c r="O75" s="13"/>
      <c r="P75" s="4">
        <v>588100</v>
      </c>
    </row>
    <row r="76" ht="20" customHeight="1" spans="1:16">
      <c r="A76" s="11">
        <v>75</v>
      </c>
      <c r="B76" s="11" t="s">
        <v>140</v>
      </c>
      <c r="C76" s="11"/>
      <c r="D76" s="11" t="s">
        <v>11</v>
      </c>
      <c r="E76" s="12">
        <v>228</v>
      </c>
      <c r="F76" s="11">
        <v>1</v>
      </c>
      <c r="G76" s="11">
        <v>1</v>
      </c>
      <c r="H76" s="11">
        <f t="shared" si="2"/>
        <v>228</v>
      </c>
      <c r="I76" s="9"/>
      <c r="J76" s="13"/>
      <c r="K76" s="13"/>
      <c r="L76" s="13"/>
      <c r="M76" s="13"/>
      <c r="N76" s="13"/>
      <c r="O76" s="13"/>
    </row>
    <row r="77" ht="20" customHeight="1" spans="1:16">
      <c r="A77" s="11">
        <v>76</v>
      </c>
      <c r="B77" s="11" t="s">
        <v>141</v>
      </c>
      <c r="C77" s="11"/>
      <c r="D77" s="11" t="s">
        <v>11</v>
      </c>
      <c r="E77" s="12">
        <v>0</v>
      </c>
      <c r="F77" s="11">
        <v>1</v>
      </c>
      <c r="G77" s="14">
        <v>0</v>
      </c>
      <c r="H77" s="11">
        <f t="shared" si="2"/>
        <v>0</v>
      </c>
      <c r="I77" s="9"/>
      <c r="J77" s="13"/>
      <c r="K77" s="13"/>
      <c r="L77" s="13"/>
      <c r="M77" s="13">
        <v>50000</v>
      </c>
      <c r="N77" s="13" t="s">
        <v>345</v>
      </c>
      <c r="O77" s="13">
        <v>45000</v>
      </c>
    </row>
    <row r="78" s="2" customFormat="1" ht="20" customHeight="1" spans="1:16">
      <c r="A78" s="11">
        <v>77</v>
      </c>
      <c r="B78" s="14" t="s">
        <v>142</v>
      </c>
      <c r="C78" s="14"/>
      <c r="D78" s="14" t="s">
        <v>11</v>
      </c>
      <c r="E78" s="15">
        <v>22</v>
      </c>
      <c r="F78" s="14">
        <v>0</v>
      </c>
      <c r="G78" s="14">
        <v>5</v>
      </c>
      <c r="H78" s="11">
        <f t="shared" si="2"/>
        <v>110</v>
      </c>
      <c r="I78" s="16"/>
      <c r="J78" s="17"/>
      <c r="K78" s="17"/>
      <c r="L78" s="17"/>
      <c r="M78" s="17"/>
      <c r="N78" s="17"/>
      <c r="O78" s="17"/>
    </row>
    <row r="79" ht="20" customHeight="1" spans="1:16">
      <c r="A79" s="11">
        <v>78</v>
      </c>
      <c r="B79" s="11" t="s">
        <v>143</v>
      </c>
      <c r="C79" s="11"/>
      <c r="D79" s="11" t="s">
        <v>11</v>
      </c>
      <c r="E79" s="12">
        <v>42</v>
      </c>
      <c r="F79" s="11">
        <v>1</v>
      </c>
      <c r="G79" s="28">
        <v>1</v>
      </c>
      <c r="H79" s="11">
        <f t="shared" si="2"/>
        <v>42</v>
      </c>
      <c r="I79" s="9"/>
      <c r="J79" s="13"/>
      <c r="K79" s="13"/>
      <c r="L79" s="13"/>
      <c r="M79" s="13">
        <v>100000</v>
      </c>
      <c r="N79" s="13"/>
      <c r="O79" s="13"/>
    </row>
    <row r="80" ht="20" customHeight="1" spans="1:16">
      <c r="A80" s="11">
        <v>79</v>
      </c>
      <c r="B80" s="11" t="s">
        <v>144</v>
      </c>
      <c r="C80" s="11"/>
      <c r="D80" s="11" t="s">
        <v>11</v>
      </c>
      <c r="E80" s="12">
        <v>64</v>
      </c>
      <c r="F80" s="11">
        <v>5</v>
      </c>
      <c r="G80" s="11">
        <v>5</v>
      </c>
      <c r="H80" s="11">
        <f t="shared" si="2"/>
        <v>320</v>
      </c>
      <c r="I80" s="9"/>
      <c r="J80" s="13"/>
      <c r="K80" s="13"/>
      <c r="L80" s="13"/>
      <c r="M80" s="13"/>
      <c r="N80" s="13"/>
      <c r="O80" s="13"/>
    </row>
    <row r="81" ht="20" customHeight="1" spans="1:17">
      <c r="A81" s="11">
        <v>80</v>
      </c>
      <c r="B81" s="11" t="s">
        <v>145</v>
      </c>
      <c r="C81" s="11"/>
      <c r="D81" s="11" t="s">
        <v>11</v>
      </c>
      <c r="E81" s="12">
        <v>148</v>
      </c>
      <c r="F81" s="11">
        <v>8</v>
      </c>
      <c r="G81" s="11">
        <v>8</v>
      </c>
      <c r="H81" s="11">
        <f t="shared" si="2"/>
        <v>1184</v>
      </c>
      <c r="I81" s="9"/>
      <c r="J81" s="13"/>
      <c r="K81" s="13"/>
      <c r="L81" s="13"/>
      <c r="M81" s="13">
        <v>200000</v>
      </c>
      <c r="N81" s="13" t="s">
        <v>208</v>
      </c>
      <c r="O81" s="13">
        <v>250000</v>
      </c>
    </row>
    <row r="82" ht="37" customHeight="1" spans="1:17">
      <c r="A82" s="11">
        <v>81</v>
      </c>
      <c r="B82" s="11" t="s">
        <v>146</v>
      </c>
      <c r="C82" s="11"/>
      <c r="D82" s="11" t="s">
        <v>11</v>
      </c>
      <c r="E82" s="12">
        <v>172</v>
      </c>
      <c r="F82" s="11">
        <v>2</v>
      </c>
      <c r="G82" s="11">
        <v>2</v>
      </c>
      <c r="H82" s="11">
        <f t="shared" si="2"/>
        <v>344</v>
      </c>
      <c r="I82" s="9" t="s">
        <v>147</v>
      </c>
      <c r="J82" s="13"/>
      <c r="K82" s="13">
        <v>530000</v>
      </c>
      <c r="L82" s="13"/>
      <c r="M82" s="13"/>
      <c r="N82" s="13"/>
      <c r="O82" s="13"/>
    </row>
    <row r="83" ht="45" customHeight="1" spans="1:17">
      <c r="A83" s="11">
        <v>82</v>
      </c>
      <c r="B83" s="11" t="s">
        <v>148</v>
      </c>
      <c r="C83" s="11" t="s">
        <v>149</v>
      </c>
      <c r="D83" s="11" t="s">
        <v>67</v>
      </c>
      <c r="E83" s="12">
        <v>1.2</v>
      </c>
      <c r="F83" s="11">
        <v>798</v>
      </c>
      <c r="G83" s="14">
        <v>798</v>
      </c>
      <c r="H83" s="11">
        <f t="shared" si="2"/>
        <v>957.6</v>
      </c>
      <c r="I83" s="9" t="s">
        <v>150</v>
      </c>
      <c r="J83" s="13"/>
      <c r="K83" s="13"/>
      <c r="L83" s="13"/>
      <c r="M83" s="13"/>
      <c r="N83" s="13" t="s">
        <v>348</v>
      </c>
      <c r="O83" s="13">
        <v>4000</v>
      </c>
      <c r="P83" s="4">
        <v>18150</v>
      </c>
      <c r="Q83" s="4">
        <v>13500</v>
      </c>
    </row>
    <row r="84" ht="34" customHeight="1" spans="1:17">
      <c r="A84" s="11">
        <v>83</v>
      </c>
      <c r="B84" s="11" t="s">
        <v>151</v>
      </c>
      <c r="C84" s="11" t="s">
        <v>152</v>
      </c>
      <c r="D84" s="11" t="s">
        <v>26</v>
      </c>
      <c r="E84" s="12">
        <v>0.7</v>
      </c>
      <c r="F84" s="11">
        <v>18</v>
      </c>
      <c r="G84" s="11">
        <v>18</v>
      </c>
      <c r="H84" s="11">
        <f t="shared" si="2"/>
        <v>12.6</v>
      </c>
      <c r="I84" s="9" t="s">
        <v>68</v>
      </c>
      <c r="J84" s="13"/>
      <c r="K84" s="13"/>
      <c r="L84" s="13"/>
      <c r="M84" s="13"/>
      <c r="N84" s="13" t="s">
        <v>67</v>
      </c>
      <c r="O84" s="13">
        <v>6000</v>
      </c>
    </row>
    <row r="85" spans="1:17">
      <c r="H85" s="11">
        <f t="shared" si="2"/>
        <v>0</v>
      </c>
    </row>
    <row r="86" spans="1:17">
      <c r="A86" s="4">
        <v>84</v>
      </c>
      <c r="B86" s="4" t="s">
        <v>159</v>
      </c>
      <c r="C86" s="4" t="s">
        <v>160</v>
      </c>
      <c r="D86" s="4" t="s">
        <v>161</v>
      </c>
      <c r="E86" s="5">
        <v>11.2</v>
      </c>
      <c r="F86" s="4">
        <v>1</v>
      </c>
      <c r="G86" s="4">
        <v>1</v>
      </c>
      <c r="H86" s="11">
        <f>PRODUCT(G86*E86)</f>
        <v>11.2</v>
      </c>
      <c r="N86" s="4" t="s">
        <v>345</v>
      </c>
      <c r="O86" s="4">
        <v>25000</v>
      </c>
    </row>
    <row r="87" spans="1:17">
      <c r="A87" s="4">
        <v>85</v>
      </c>
      <c r="B87" s="4" t="s">
        <v>163</v>
      </c>
      <c r="C87" s="4" t="s">
        <v>164</v>
      </c>
      <c r="D87" s="4" t="s">
        <v>20</v>
      </c>
      <c r="E87" s="5">
        <v>33.7</v>
      </c>
      <c r="F87" s="4">
        <v>1</v>
      </c>
      <c r="G87" s="4">
        <v>1</v>
      </c>
      <c r="H87" s="11">
        <f>PRODUCT(G87*E87)</f>
        <v>33.7</v>
      </c>
    </row>
    <row r="88" spans="1:17">
      <c r="A88" s="4">
        <v>86</v>
      </c>
      <c r="B88" s="4" t="s">
        <v>165</v>
      </c>
      <c r="C88" s="4" t="s">
        <v>166</v>
      </c>
      <c r="D88" s="4" t="s">
        <v>11</v>
      </c>
      <c r="E88" s="5">
        <v>2.3</v>
      </c>
      <c r="F88" s="4">
        <v>6</v>
      </c>
      <c r="G88" s="4">
        <v>6</v>
      </c>
      <c r="H88" s="11">
        <f>PRODUCT(G88*E88)</f>
        <v>13.8</v>
      </c>
      <c r="N88" s="4" t="s">
        <v>345</v>
      </c>
      <c r="O88" s="4">
        <v>3000</v>
      </c>
    </row>
    <row r="89" spans="1:17">
      <c r="A89" s="4">
        <v>87</v>
      </c>
      <c r="B89" s="4" t="s">
        <v>24</v>
      </c>
      <c r="C89" s="4" t="s">
        <v>167</v>
      </c>
      <c r="E89" s="5">
        <v>3.64</v>
      </c>
      <c r="F89" s="4">
        <v>2</v>
      </c>
      <c r="H89" s="11">
        <f>PRODUCT(G89*E89)</f>
        <v>0</v>
      </c>
      <c r="N89" s="4" t="s">
        <v>67</v>
      </c>
      <c r="O89" s="4">
        <v>12000</v>
      </c>
    </row>
    <row r="90" spans="1:17">
      <c r="A90" s="4">
        <v>88</v>
      </c>
      <c r="B90" s="4" t="s">
        <v>169</v>
      </c>
      <c r="C90" s="4" t="s">
        <v>170</v>
      </c>
      <c r="D90" s="4" t="s">
        <v>67</v>
      </c>
      <c r="E90" s="5">
        <v>2.3</v>
      </c>
      <c r="F90" s="4">
        <v>1</v>
      </c>
      <c r="G90" s="4">
        <v>1</v>
      </c>
      <c r="H90" s="11">
        <f>PRODUCT(G90*E90)</f>
        <v>2.3</v>
      </c>
      <c r="N90" s="4" t="s">
        <v>26</v>
      </c>
      <c r="O90" s="4">
        <v>6000</v>
      </c>
    </row>
    <row r="91" spans="1:17">
      <c r="A91" s="4">
        <v>89</v>
      </c>
      <c r="B91" s="4" t="s">
        <v>349</v>
      </c>
      <c r="C91" s="4" t="s">
        <v>172</v>
      </c>
      <c r="D91" s="4" t="s">
        <v>67</v>
      </c>
      <c r="E91" s="5">
        <v>5.7</v>
      </c>
      <c r="F91" s="4">
        <v>3</v>
      </c>
      <c r="G91" s="4">
        <v>3</v>
      </c>
      <c r="H91" s="11">
        <f>PRODUCT(G91*E91)</f>
        <v>17.1</v>
      </c>
    </row>
    <row r="92" spans="1:17">
      <c r="A92" s="4">
        <v>90</v>
      </c>
      <c r="B92" s="4" t="s">
        <v>350</v>
      </c>
      <c r="C92" s="4" t="s">
        <v>174</v>
      </c>
      <c r="E92" s="5">
        <v>1.53</v>
      </c>
      <c r="F92" s="4">
        <v>1</v>
      </c>
      <c r="H92" s="11">
        <f>PRODUCT(G92*E92)</f>
        <v>0</v>
      </c>
      <c r="N92" s="4" t="s">
        <v>26</v>
      </c>
      <c r="O92" s="4">
        <v>6000</v>
      </c>
    </row>
    <row r="93" spans="1:17">
      <c r="A93" s="4">
        <v>91</v>
      </c>
      <c r="B93" s="4" t="s">
        <v>175</v>
      </c>
      <c r="C93" s="4" t="s">
        <v>176</v>
      </c>
      <c r="D93" s="4" t="s">
        <v>67</v>
      </c>
      <c r="E93" s="5">
        <v>4.3</v>
      </c>
      <c r="F93" s="4">
        <v>4</v>
      </c>
      <c r="G93" s="4">
        <v>4</v>
      </c>
      <c r="H93" s="11">
        <f>PRODUCT(G93*E93)</f>
        <v>17.2</v>
      </c>
    </row>
    <row r="94" spans="1:17">
      <c r="A94" s="4">
        <v>92</v>
      </c>
      <c r="B94" s="4" t="s">
        <v>351</v>
      </c>
      <c r="C94" s="4" t="s">
        <v>178</v>
      </c>
      <c r="D94" s="4" t="s">
        <v>67</v>
      </c>
      <c r="E94" s="5">
        <v>1.1</v>
      </c>
      <c r="F94" s="4">
        <v>2</v>
      </c>
      <c r="G94" s="4">
        <v>2</v>
      </c>
      <c r="H94" s="11">
        <f>PRODUCT(G94*E94)</f>
        <v>2.2</v>
      </c>
      <c r="N94" s="4" t="s">
        <v>67</v>
      </c>
      <c r="O94" s="4">
        <v>6000</v>
      </c>
    </row>
    <row r="95" spans="1:17">
      <c r="A95" s="4">
        <v>93</v>
      </c>
      <c r="B95" s="4" t="s">
        <v>179</v>
      </c>
      <c r="C95" s="4" t="s">
        <v>180</v>
      </c>
      <c r="D95" s="4" t="s">
        <v>67</v>
      </c>
      <c r="E95" s="5">
        <v>12.3</v>
      </c>
      <c r="F95" s="4">
        <v>1</v>
      </c>
      <c r="G95" s="4">
        <v>1</v>
      </c>
      <c r="H95" s="11">
        <f>PRODUCT(G95*E95)</f>
        <v>12.3</v>
      </c>
    </row>
    <row r="96" spans="1:17">
      <c r="A96" s="4">
        <v>94</v>
      </c>
      <c r="B96" s="4" t="s">
        <v>181</v>
      </c>
      <c r="F96" s="4">
        <v>2</v>
      </c>
      <c r="H96" s="11">
        <f>PRODUCT(G96*E96)</f>
        <v>0</v>
      </c>
    </row>
    <row r="97" spans="1:16">
      <c r="A97" s="4">
        <v>95</v>
      </c>
      <c r="B97" s="4" t="s">
        <v>182</v>
      </c>
      <c r="F97" s="4">
        <v>1</v>
      </c>
      <c r="H97" s="11">
        <f>PRODUCT(G97*E97)</f>
        <v>0</v>
      </c>
    </row>
    <row r="98" spans="1:16">
      <c r="A98" s="4">
        <v>96</v>
      </c>
      <c r="B98" s="4" t="s">
        <v>183</v>
      </c>
      <c r="F98" s="4">
        <v>1</v>
      </c>
      <c r="H98" s="11">
        <f t="shared" ref="H98:H129" si="3">PRODUCT(G98*E98)</f>
        <v>0</v>
      </c>
    </row>
    <row r="99" spans="1:16">
      <c r="A99" s="4">
        <v>97</v>
      </c>
      <c r="B99" s="4" t="s">
        <v>184</v>
      </c>
      <c r="C99" s="4" t="s">
        <v>185</v>
      </c>
      <c r="D99" s="4" t="s">
        <v>67</v>
      </c>
      <c r="E99" s="5">
        <v>2.06</v>
      </c>
      <c r="F99" s="4">
        <v>2</v>
      </c>
      <c r="G99" s="4">
        <v>2</v>
      </c>
      <c r="H99" s="11">
        <f t="shared" si="3"/>
        <v>4.12</v>
      </c>
    </row>
    <row r="100" spans="1:16">
      <c r="A100" s="4">
        <v>98</v>
      </c>
      <c r="B100" s="4" t="s">
        <v>186</v>
      </c>
      <c r="C100" s="4" t="s">
        <v>187</v>
      </c>
      <c r="D100" s="4" t="s">
        <v>67</v>
      </c>
      <c r="E100" s="5">
        <v>1.52</v>
      </c>
      <c r="F100" s="4">
        <v>1</v>
      </c>
      <c r="G100" s="4">
        <v>1</v>
      </c>
      <c r="H100" s="11">
        <f t="shared" si="3"/>
        <v>1.52</v>
      </c>
    </row>
    <row r="101" spans="1:16">
      <c r="A101" s="4">
        <v>99</v>
      </c>
      <c r="B101" s="4" t="s">
        <v>188</v>
      </c>
      <c r="C101" s="4" t="s">
        <v>189</v>
      </c>
      <c r="D101" s="4" t="s">
        <v>20</v>
      </c>
      <c r="E101" s="5">
        <v>1.5</v>
      </c>
      <c r="F101" s="4">
        <v>6</v>
      </c>
      <c r="G101" s="4">
        <v>6</v>
      </c>
      <c r="H101" s="11">
        <f t="shared" si="3"/>
        <v>9</v>
      </c>
    </row>
    <row r="102" spans="1:16">
      <c r="A102" s="4">
        <v>100</v>
      </c>
      <c r="B102" s="4" t="s">
        <v>190</v>
      </c>
      <c r="D102" s="4" t="s">
        <v>20</v>
      </c>
      <c r="E102" s="5">
        <v>4</v>
      </c>
      <c r="F102" s="4">
        <v>1</v>
      </c>
      <c r="G102" s="4">
        <v>1</v>
      </c>
      <c r="H102" s="11">
        <f t="shared" si="3"/>
        <v>4</v>
      </c>
      <c r="N102" s="4" t="s">
        <v>208</v>
      </c>
      <c r="O102" s="4">
        <v>30000</v>
      </c>
    </row>
    <row r="103" spans="1:16">
      <c r="A103" s="4">
        <v>101</v>
      </c>
      <c r="B103" s="4" t="s">
        <v>191</v>
      </c>
      <c r="C103" s="4" t="s">
        <v>192</v>
      </c>
      <c r="D103" s="4" t="s">
        <v>67</v>
      </c>
      <c r="E103" s="5">
        <v>0.6</v>
      </c>
      <c r="F103" s="4">
        <v>5</v>
      </c>
      <c r="G103" s="4">
        <v>5</v>
      </c>
      <c r="H103" s="11">
        <f t="shared" si="3"/>
        <v>3</v>
      </c>
    </row>
    <row r="104" spans="1:16">
      <c r="A104" s="4">
        <v>102</v>
      </c>
      <c r="B104" s="4" t="s">
        <v>193</v>
      </c>
      <c r="C104" s="4" t="s">
        <v>194</v>
      </c>
      <c r="D104" s="4" t="s">
        <v>67</v>
      </c>
      <c r="E104" s="5">
        <v>1.7</v>
      </c>
      <c r="F104" s="4">
        <v>3</v>
      </c>
      <c r="G104" s="4">
        <v>3</v>
      </c>
      <c r="H104" s="11">
        <f t="shared" si="3"/>
        <v>5.1</v>
      </c>
    </row>
    <row r="105" spans="1:16">
      <c r="A105" s="4">
        <v>103</v>
      </c>
      <c r="B105" s="4" t="s">
        <v>193</v>
      </c>
      <c r="C105" s="4" t="s">
        <v>195</v>
      </c>
      <c r="D105" s="4" t="s">
        <v>67</v>
      </c>
      <c r="E105" s="5">
        <v>1.5</v>
      </c>
      <c r="F105" s="4">
        <v>8</v>
      </c>
      <c r="G105" s="4">
        <v>26</v>
      </c>
      <c r="H105" s="11">
        <f t="shared" si="3"/>
        <v>39</v>
      </c>
    </row>
    <row r="106" spans="1:16">
      <c r="A106" s="4">
        <v>104</v>
      </c>
      <c r="B106" s="4" t="s">
        <v>196</v>
      </c>
      <c r="C106" s="4" t="s">
        <v>197</v>
      </c>
      <c r="D106" s="4" t="s">
        <v>67</v>
      </c>
      <c r="E106" s="5">
        <v>2.5</v>
      </c>
      <c r="F106" s="4">
        <v>2</v>
      </c>
      <c r="G106" s="4">
        <v>2</v>
      </c>
      <c r="H106" s="11">
        <f t="shared" si="3"/>
        <v>5</v>
      </c>
    </row>
    <row r="107" spans="1:16">
      <c r="A107" s="4">
        <v>105</v>
      </c>
      <c r="B107" s="4" t="s">
        <v>198</v>
      </c>
      <c r="C107" s="4" t="s">
        <v>199</v>
      </c>
      <c r="D107" s="4" t="s">
        <v>67</v>
      </c>
      <c r="E107" s="5">
        <v>5.8</v>
      </c>
      <c r="F107" s="4">
        <v>1</v>
      </c>
      <c r="G107" s="4">
        <v>1</v>
      </c>
      <c r="H107" s="11">
        <f t="shared" si="3"/>
        <v>5.8</v>
      </c>
      <c r="K107" s="4">
        <v>20000</v>
      </c>
      <c r="M107" s="4">
        <v>18000</v>
      </c>
    </row>
    <row r="108" spans="1:16">
      <c r="A108" s="4">
        <v>106</v>
      </c>
      <c r="B108" s="4" t="s">
        <v>200</v>
      </c>
      <c r="C108" s="4" t="s">
        <v>201</v>
      </c>
      <c r="D108" s="4" t="s">
        <v>67</v>
      </c>
      <c r="E108" s="5">
        <v>5.4</v>
      </c>
      <c r="F108" s="4">
        <v>2</v>
      </c>
      <c r="G108" s="4">
        <v>2</v>
      </c>
      <c r="H108" s="11">
        <f t="shared" si="3"/>
        <v>10.8</v>
      </c>
    </row>
    <row r="109" spans="1:16">
      <c r="A109" s="4">
        <v>107</v>
      </c>
      <c r="B109" s="4" t="s">
        <v>202</v>
      </c>
      <c r="D109" s="4" t="s">
        <v>20</v>
      </c>
      <c r="E109" s="5">
        <v>9.3</v>
      </c>
      <c r="F109" s="4">
        <v>1</v>
      </c>
      <c r="G109" s="4">
        <v>1</v>
      </c>
      <c r="H109" s="11">
        <f t="shared" si="3"/>
        <v>9.3</v>
      </c>
      <c r="K109" s="4">
        <v>30000</v>
      </c>
      <c r="M109" s="4">
        <v>35000</v>
      </c>
      <c r="P109" s="4">
        <v>116150</v>
      </c>
    </row>
    <row r="110" spans="1:16">
      <c r="A110" s="4">
        <v>108</v>
      </c>
      <c r="B110" s="4" t="s">
        <v>203</v>
      </c>
      <c r="C110" s="4" t="s">
        <v>204</v>
      </c>
      <c r="D110" s="4" t="s">
        <v>11</v>
      </c>
      <c r="E110" s="5">
        <v>5</v>
      </c>
      <c r="F110" s="4">
        <v>1</v>
      </c>
      <c r="G110" s="4">
        <v>1</v>
      </c>
      <c r="H110" s="11">
        <f t="shared" si="3"/>
        <v>5</v>
      </c>
      <c r="N110" s="4" t="s">
        <v>345</v>
      </c>
      <c r="O110" s="4">
        <v>16000</v>
      </c>
    </row>
    <row r="111" spans="1:16">
      <c r="A111" s="4">
        <v>109</v>
      </c>
      <c r="B111" s="4" t="s">
        <v>205</v>
      </c>
      <c r="C111" s="4" t="s">
        <v>206</v>
      </c>
      <c r="D111" s="4" t="s">
        <v>161</v>
      </c>
      <c r="E111" s="5">
        <v>2.4</v>
      </c>
      <c r="F111" s="4">
        <v>3</v>
      </c>
      <c r="G111" s="4">
        <v>3</v>
      </c>
      <c r="H111" s="11">
        <f t="shared" si="3"/>
        <v>7.2</v>
      </c>
    </row>
    <row r="112" spans="1:16">
      <c r="A112" s="4">
        <v>110</v>
      </c>
      <c r="B112" s="4" t="s">
        <v>207</v>
      </c>
      <c r="C112" s="4">
        <v>2619802505</v>
      </c>
      <c r="D112" s="4" t="s">
        <v>208</v>
      </c>
      <c r="E112" s="5">
        <v>6.8</v>
      </c>
      <c r="F112" s="4">
        <v>1</v>
      </c>
      <c r="G112" s="4">
        <v>1</v>
      </c>
      <c r="H112" s="11">
        <f t="shared" si="3"/>
        <v>6.8</v>
      </c>
    </row>
    <row r="113" spans="1:15">
      <c r="A113" s="4">
        <v>111</v>
      </c>
      <c r="B113" s="4" t="s">
        <v>109</v>
      </c>
      <c r="C113" s="4" t="s">
        <v>209</v>
      </c>
      <c r="D113" s="4" t="s">
        <v>20</v>
      </c>
      <c r="E113" s="5">
        <v>9.4</v>
      </c>
      <c r="F113" s="4">
        <v>1</v>
      </c>
      <c r="G113" s="4">
        <v>1</v>
      </c>
      <c r="H113" s="11">
        <f t="shared" si="3"/>
        <v>9.4</v>
      </c>
      <c r="N113" s="4" t="s">
        <v>208</v>
      </c>
      <c r="O113" s="4">
        <v>30000</v>
      </c>
    </row>
    <row r="114" spans="1:15">
      <c r="A114" s="4">
        <v>112</v>
      </c>
      <c r="B114" s="4" t="s">
        <v>210</v>
      </c>
      <c r="C114" s="4" t="s">
        <v>211</v>
      </c>
      <c r="F114" s="4">
        <v>7</v>
      </c>
      <c r="H114" s="11">
        <f t="shared" si="3"/>
        <v>0</v>
      </c>
    </row>
    <row r="115" spans="1:15">
      <c r="A115" s="4">
        <v>113</v>
      </c>
      <c r="B115" s="4" t="s">
        <v>126</v>
      </c>
      <c r="F115" s="4">
        <v>1</v>
      </c>
      <c r="G115" s="4">
        <v>0</v>
      </c>
      <c r="H115" s="11">
        <f t="shared" si="3"/>
        <v>0</v>
      </c>
    </row>
    <row r="116" spans="1:15">
      <c r="A116" s="4">
        <v>114</v>
      </c>
      <c r="B116" s="4" t="s">
        <v>212</v>
      </c>
      <c r="C116" s="4" t="s">
        <v>213</v>
      </c>
      <c r="D116" s="4" t="s">
        <v>208</v>
      </c>
      <c r="E116" s="5">
        <v>11.2</v>
      </c>
      <c r="F116" s="4">
        <v>19</v>
      </c>
      <c r="G116" s="4">
        <v>19</v>
      </c>
      <c r="H116" s="11">
        <f t="shared" si="3"/>
        <v>212.8</v>
      </c>
    </row>
    <row r="117" spans="1:15">
      <c r="A117" s="4">
        <v>115</v>
      </c>
      <c r="B117" s="4" t="s">
        <v>214</v>
      </c>
      <c r="C117" s="4" t="s">
        <v>352</v>
      </c>
      <c r="D117" s="4" t="s">
        <v>208</v>
      </c>
      <c r="E117" s="5">
        <v>1.6</v>
      </c>
      <c r="F117" s="4">
        <v>8</v>
      </c>
      <c r="G117" s="4">
        <v>8</v>
      </c>
      <c r="H117" s="11">
        <f t="shared" si="3"/>
        <v>12.8</v>
      </c>
    </row>
    <row r="118" spans="1:15">
      <c r="A118" s="4">
        <v>116</v>
      </c>
      <c r="B118" s="4" t="s">
        <v>216</v>
      </c>
      <c r="C118" s="4" t="s">
        <v>217</v>
      </c>
      <c r="D118" s="4" t="s">
        <v>208</v>
      </c>
      <c r="E118" s="5">
        <v>1.5</v>
      </c>
      <c r="F118" s="4">
        <v>3</v>
      </c>
      <c r="G118" s="4">
        <v>3</v>
      </c>
      <c r="H118" s="11">
        <f t="shared" si="3"/>
        <v>4.5</v>
      </c>
    </row>
    <row r="119" spans="1:15">
      <c r="A119" s="4">
        <v>117</v>
      </c>
      <c r="B119" s="4" t="s">
        <v>218</v>
      </c>
      <c r="C119" s="4" t="s">
        <v>353</v>
      </c>
      <c r="D119" s="4" t="s">
        <v>208</v>
      </c>
      <c r="E119" s="5">
        <v>18.2</v>
      </c>
      <c r="F119" s="4">
        <v>6</v>
      </c>
      <c r="G119" s="4">
        <v>6</v>
      </c>
      <c r="H119" s="11">
        <f t="shared" si="3"/>
        <v>109.2</v>
      </c>
    </row>
    <row r="120" spans="1:15">
      <c r="A120" s="4">
        <v>118</v>
      </c>
      <c r="B120" s="4" t="s">
        <v>220</v>
      </c>
      <c r="D120" s="4" t="s">
        <v>20</v>
      </c>
      <c r="E120" s="5">
        <v>110</v>
      </c>
      <c r="F120" s="4">
        <v>3</v>
      </c>
      <c r="G120" s="4">
        <v>3</v>
      </c>
      <c r="H120" s="11">
        <f t="shared" si="3"/>
        <v>330</v>
      </c>
    </row>
    <row r="121" spans="1:15">
      <c r="A121" s="4">
        <v>119</v>
      </c>
      <c r="B121" s="4" t="s">
        <v>221</v>
      </c>
      <c r="C121" s="4" t="s">
        <v>354</v>
      </c>
      <c r="D121" s="4" t="s">
        <v>161</v>
      </c>
      <c r="E121" s="5">
        <v>2.9</v>
      </c>
      <c r="F121" s="4">
        <v>3</v>
      </c>
      <c r="G121" s="4">
        <v>3</v>
      </c>
      <c r="H121" s="11">
        <f t="shared" si="3"/>
        <v>8.7</v>
      </c>
    </row>
    <row r="122" spans="1:15">
      <c r="A122" s="4">
        <v>120</v>
      </c>
      <c r="B122" s="4" t="s">
        <v>223</v>
      </c>
      <c r="C122" s="4" t="s">
        <v>355</v>
      </c>
      <c r="D122" s="4" t="s">
        <v>208</v>
      </c>
      <c r="E122" s="5">
        <v>2.7</v>
      </c>
      <c r="F122" s="4">
        <v>2</v>
      </c>
      <c r="G122" s="4">
        <v>2</v>
      </c>
      <c r="H122" s="11">
        <f t="shared" si="3"/>
        <v>5.4</v>
      </c>
    </row>
    <row r="123" spans="1:15">
      <c r="A123" s="4">
        <v>121</v>
      </c>
      <c r="B123" s="4" t="s">
        <v>225</v>
      </c>
      <c r="C123" s="4" t="s">
        <v>356</v>
      </c>
      <c r="D123" s="4" t="s">
        <v>208</v>
      </c>
      <c r="E123" s="5">
        <v>4.7</v>
      </c>
      <c r="F123" s="4">
        <v>2</v>
      </c>
      <c r="G123" s="4">
        <v>2</v>
      </c>
      <c r="H123" s="11">
        <f t="shared" si="3"/>
        <v>9.4</v>
      </c>
    </row>
    <row r="124" spans="1:15">
      <c r="H124" s="11">
        <f t="shared" si="3"/>
        <v>0</v>
      </c>
    </row>
    <row r="125" spans="1:15">
      <c r="A125" s="4">
        <v>122</v>
      </c>
      <c r="B125" s="4" t="s">
        <v>232</v>
      </c>
      <c r="C125" s="4" t="s">
        <v>233</v>
      </c>
      <c r="D125" s="4" t="s">
        <v>11</v>
      </c>
      <c r="E125" s="5">
        <v>33</v>
      </c>
      <c r="G125" s="4">
        <v>1</v>
      </c>
      <c r="H125" s="11">
        <f>PRODUCT(G125*E125)</f>
        <v>33</v>
      </c>
      <c r="I125" s="4"/>
    </row>
    <row r="126" spans="1:15">
      <c r="A126" s="4">
        <v>123</v>
      </c>
      <c r="B126" s="4" t="s">
        <v>232</v>
      </c>
      <c r="C126" s="4" t="s">
        <v>234</v>
      </c>
      <c r="D126" s="4" t="s">
        <v>11</v>
      </c>
      <c r="E126" s="5">
        <v>19.6</v>
      </c>
      <c r="G126" s="4">
        <v>1</v>
      </c>
      <c r="H126" s="11">
        <f>PRODUCT(G126*E126)</f>
        <v>19.6</v>
      </c>
      <c r="I126" s="4"/>
      <c r="N126" s="4" t="s">
        <v>345</v>
      </c>
      <c r="O126" s="4">
        <v>28000</v>
      </c>
    </row>
    <row r="127" spans="1:15">
      <c r="A127" s="4">
        <v>124</v>
      </c>
      <c r="B127" s="4" t="s">
        <v>235</v>
      </c>
      <c r="C127" s="4" t="s">
        <v>236</v>
      </c>
      <c r="D127" s="4" t="s">
        <v>26</v>
      </c>
      <c r="E127" s="5">
        <v>3.6</v>
      </c>
      <c r="G127" s="4">
        <v>2</v>
      </c>
      <c r="H127" s="11">
        <f>PRODUCT(G127*E127)</f>
        <v>7.2</v>
      </c>
      <c r="I127" s="4"/>
      <c r="N127" s="4" t="s">
        <v>345</v>
      </c>
      <c r="O127" s="4">
        <v>9750</v>
      </c>
    </row>
    <row r="128" spans="1:15">
      <c r="A128" s="4">
        <v>125</v>
      </c>
      <c r="B128" s="4" t="s">
        <v>237</v>
      </c>
      <c r="C128" s="4" t="s">
        <v>238</v>
      </c>
      <c r="D128" s="4" t="s">
        <v>26</v>
      </c>
      <c r="E128" s="5">
        <v>13.4</v>
      </c>
      <c r="G128" s="4">
        <v>1</v>
      </c>
      <c r="H128" s="11">
        <f>PRODUCT(G128*E128)</f>
        <v>13.4</v>
      </c>
      <c r="I128" s="4"/>
      <c r="N128" s="4" t="s">
        <v>345</v>
      </c>
      <c r="O128" s="4">
        <v>19500</v>
      </c>
    </row>
    <row r="129" spans="1:17">
      <c r="A129" s="4">
        <v>126</v>
      </c>
      <c r="B129" s="4" t="s">
        <v>239</v>
      </c>
      <c r="C129" s="4" t="s">
        <v>240</v>
      </c>
      <c r="D129" s="4" t="s">
        <v>26</v>
      </c>
      <c r="E129" s="5">
        <v>10.8</v>
      </c>
      <c r="G129" s="4">
        <v>6</v>
      </c>
      <c r="H129" s="11">
        <f t="shared" ref="H129:H160" si="4">PRODUCT(G129*E129)</f>
        <v>64.8</v>
      </c>
      <c r="I129" s="4"/>
      <c r="N129" s="4" t="s">
        <v>345</v>
      </c>
      <c r="O129" s="4">
        <v>15000</v>
      </c>
    </row>
    <row r="130" spans="1:17">
      <c r="A130" s="4">
        <v>127</v>
      </c>
      <c r="B130" s="4" t="s">
        <v>241</v>
      </c>
      <c r="C130" s="4" t="s">
        <v>242</v>
      </c>
      <c r="D130" s="4" t="s">
        <v>20</v>
      </c>
      <c r="E130" s="5">
        <v>15.9</v>
      </c>
      <c r="G130" s="4">
        <v>2</v>
      </c>
      <c r="H130" s="11">
        <f t="shared" si="4"/>
        <v>31.8</v>
      </c>
      <c r="I130" s="4"/>
    </row>
    <row r="131" spans="1:17">
      <c r="A131" s="4">
        <v>128</v>
      </c>
      <c r="B131" s="4" t="s">
        <v>243</v>
      </c>
      <c r="C131" s="4" t="s">
        <v>244</v>
      </c>
      <c r="D131" s="4" t="s">
        <v>20</v>
      </c>
      <c r="E131" s="5">
        <v>7</v>
      </c>
      <c r="G131" s="4">
        <v>1</v>
      </c>
      <c r="H131" s="11">
        <f t="shared" si="4"/>
        <v>7</v>
      </c>
      <c r="I131" s="4"/>
    </row>
    <row r="132" spans="1:17">
      <c r="A132" s="4">
        <v>129</v>
      </c>
      <c r="B132" s="4" t="s">
        <v>245</v>
      </c>
      <c r="D132" s="4" t="s">
        <v>20</v>
      </c>
      <c r="E132" s="5">
        <v>50</v>
      </c>
      <c r="G132" s="4">
        <v>2</v>
      </c>
      <c r="H132" s="11">
        <f t="shared" si="4"/>
        <v>100</v>
      </c>
      <c r="I132" s="4"/>
      <c r="N132" s="4" t="s">
        <v>208</v>
      </c>
      <c r="O132" s="4">
        <v>75000</v>
      </c>
    </row>
    <row r="133" spans="1:17">
      <c r="A133" s="4">
        <v>130</v>
      </c>
      <c r="B133" s="4" t="s">
        <v>246</v>
      </c>
      <c r="D133" s="4" t="s">
        <v>20</v>
      </c>
      <c r="E133" s="5">
        <v>37.2</v>
      </c>
      <c r="G133" s="4">
        <v>1</v>
      </c>
      <c r="H133" s="11">
        <f t="shared" si="4"/>
        <v>37.2</v>
      </c>
      <c r="I133" s="4"/>
      <c r="P133" s="4">
        <v>221150</v>
      </c>
      <c r="Q133" s="4">
        <v>145000</v>
      </c>
    </row>
    <row r="134" spans="1:17">
      <c r="A134" s="4">
        <v>131</v>
      </c>
      <c r="B134" s="4" t="s">
        <v>247</v>
      </c>
      <c r="D134" s="4" t="s">
        <v>20</v>
      </c>
      <c r="E134" s="5">
        <v>28.3</v>
      </c>
      <c r="G134" s="4">
        <v>1</v>
      </c>
      <c r="H134" s="11">
        <f t="shared" si="4"/>
        <v>28.3</v>
      </c>
      <c r="I134" s="4"/>
      <c r="M134" s="4">
        <v>50000</v>
      </c>
      <c r="N134" s="4" t="s">
        <v>345</v>
      </c>
      <c r="O134" s="4">
        <v>37500</v>
      </c>
      <c r="P134" s="4">
        <v>189200</v>
      </c>
      <c r="Q134" s="4">
        <v>90000</v>
      </c>
    </row>
    <row r="135" spans="1:17">
      <c r="A135" s="4">
        <v>132</v>
      </c>
      <c r="B135" s="4" t="s">
        <v>248</v>
      </c>
      <c r="D135" s="4" t="s">
        <v>11</v>
      </c>
      <c r="E135" s="5">
        <v>21.9</v>
      </c>
      <c r="G135" s="4">
        <v>36</v>
      </c>
      <c r="H135" s="11">
        <f t="shared" si="4"/>
        <v>788.4</v>
      </c>
      <c r="I135" s="4"/>
      <c r="J135" s="4">
        <v>35000</v>
      </c>
      <c r="M135" s="4">
        <v>42000</v>
      </c>
      <c r="N135" s="4" t="s">
        <v>345</v>
      </c>
      <c r="O135" s="4">
        <v>30000</v>
      </c>
    </row>
    <row r="136" spans="1:17">
      <c r="A136" s="4">
        <v>133</v>
      </c>
      <c r="B136" s="4" t="s">
        <v>249</v>
      </c>
      <c r="D136" s="4" t="s">
        <v>20</v>
      </c>
      <c r="E136" s="5">
        <v>12.2</v>
      </c>
      <c r="G136" s="4">
        <v>1</v>
      </c>
      <c r="H136" s="11">
        <f t="shared" si="4"/>
        <v>12.2</v>
      </c>
      <c r="I136" s="4"/>
    </row>
    <row r="137" spans="1:17">
      <c r="A137" s="4">
        <v>134</v>
      </c>
      <c r="B137" s="4" t="s">
        <v>250</v>
      </c>
      <c r="D137" s="4" t="s">
        <v>11</v>
      </c>
      <c r="E137" s="5">
        <v>8.5</v>
      </c>
      <c r="G137" s="4">
        <v>1</v>
      </c>
      <c r="H137" s="11">
        <f t="shared" si="4"/>
        <v>8.5</v>
      </c>
      <c r="I137" s="4"/>
    </row>
    <row r="138" spans="1:17">
      <c r="A138" s="4">
        <v>135</v>
      </c>
      <c r="B138" s="4" t="s">
        <v>251</v>
      </c>
      <c r="C138" s="4" t="s">
        <v>252</v>
      </c>
      <c r="E138" s="5">
        <v>28.8</v>
      </c>
      <c r="G138" s="4">
        <v>5</v>
      </c>
      <c r="H138" s="11">
        <f t="shared" si="4"/>
        <v>144</v>
      </c>
      <c r="I138" s="4"/>
    </row>
    <row r="139" spans="1:17">
      <c r="A139" s="4">
        <v>136</v>
      </c>
      <c r="B139" s="4" t="s">
        <v>253</v>
      </c>
      <c r="C139" s="4" t="s">
        <v>254</v>
      </c>
      <c r="D139" s="4" t="s">
        <v>26</v>
      </c>
      <c r="E139" s="5">
        <v>3.8</v>
      </c>
      <c r="G139" s="4">
        <v>10</v>
      </c>
      <c r="H139" s="11">
        <f t="shared" si="4"/>
        <v>38</v>
      </c>
      <c r="I139" s="4"/>
    </row>
    <row r="140" spans="1:17">
      <c r="A140" s="4">
        <v>137</v>
      </c>
      <c r="B140" s="4" t="s">
        <v>255</v>
      </c>
      <c r="C140" s="4" t="s">
        <v>256</v>
      </c>
      <c r="D140" s="4" t="s">
        <v>11</v>
      </c>
      <c r="E140" s="5">
        <v>8.5</v>
      </c>
      <c r="G140" s="4">
        <v>1</v>
      </c>
      <c r="H140" s="11">
        <f t="shared" si="4"/>
        <v>8.5</v>
      </c>
      <c r="I140" s="4"/>
    </row>
    <row r="141" spans="1:17">
      <c r="A141" s="4">
        <v>138</v>
      </c>
      <c r="B141" s="4" t="s">
        <v>257</v>
      </c>
      <c r="C141" s="4" t="s">
        <v>258</v>
      </c>
      <c r="D141" s="4" t="s">
        <v>20</v>
      </c>
      <c r="E141" s="5">
        <v>9.2</v>
      </c>
      <c r="G141" s="4">
        <v>3</v>
      </c>
      <c r="H141" s="11">
        <f t="shared" si="4"/>
        <v>27.6</v>
      </c>
      <c r="I141" s="4"/>
    </row>
    <row r="142" spans="1:17">
      <c r="A142" s="4">
        <v>139</v>
      </c>
      <c r="B142" s="4" t="s">
        <v>259</v>
      </c>
      <c r="C142" s="4" t="s">
        <v>260</v>
      </c>
      <c r="D142" s="4" t="s">
        <v>26</v>
      </c>
      <c r="E142" s="5">
        <v>2.6</v>
      </c>
      <c r="G142" s="4">
        <v>2</v>
      </c>
      <c r="H142" s="11">
        <f t="shared" si="4"/>
        <v>5.2</v>
      </c>
      <c r="I142" s="4"/>
      <c r="N142" s="4" t="s">
        <v>345</v>
      </c>
      <c r="O142" s="4">
        <v>6400</v>
      </c>
    </row>
    <row r="143" spans="1:17">
      <c r="A143" s="4">
        <v>140</v>
      </c>
      <c r="B143" s="4" t="s">
        <v>261</v>
      </c>
      <c r="C143" s="4" t="s">
        <v>23</v>
      </c>
      <c r="D143" s="4" t="s">
        <v>11</v>
      </c>
      <c r="E143" s="5">
        <v>9.2</v>
      </c>
      <c r="G143" s="4">
        <v>7</v>
      </c>
      <c r="H143" s="11">
        <f t="shared" si="4"/>
        <v>64.4</v>
      </c>
      <c r="I143" s="4"/>
      <c r="N143" s="4" t="s">
        <v>345</v>
      </c>
      <c r="O143" s="4">
        <v>17500</v>
      </c>
    </row>
    <row r="144" spans="1:17">
      <c r="A144" s="4">
        <v>141</v>
      </c>
      <c r="B144" s="4" t="s">
        <v>262</v>
      </c>
      <c r="C144" s="4" t="s">
        <v>263</v>
      </c>
      <c r="D144" s="4" t="s">
        <v>20</v>
      </c>
      <c r="E144" s="5">
        <v>8.8</v>
      </c>
      <c r="G144" s="4">
        <v>1</v>
      </c>
      <c r="H144" s="11">
        <f t="shared" si="4"/>
        <v>8.8</v>
      </c>
      <c r="I144" s="4"/>
      <c r="N144" s="4" t="s">
        <v>67</v>
      </c>
      <c r="O144" s="4">
        <v>25000</v>
      </c>
    </row>
    <row r="145" spans="1:17">
      <c r="A145" s="4">
        <v>142</v>
      </c>
      <c r="B145" s="4" t="s">
        <v>264</v>
      </c>
      <c r="C145" s="4" t="s">
        <v>265</v>
      </c>
      <c r="D145" s="4" t="s">
        <v>11</v>
      </c>
      <c r="E145" s="5">
        <v>17.2</v>
      </c>
      <c r="G145" s="4">
        <v>1</v>
      </c>
      <c r="H145" s="11">
        <f t="shared" si="4"/>
        <v>17.2</v>
      </c>
      <c r="I145" s="4"/>
      <c r="N145" s="4" t="s">
        <v>345</v>
      </c>
      <c r="O145" s="4">
        <v>19500</v>
      </c>
    </row>
    <row r="146" ht="30" spans="1:17">
      <c r="A146" s="4">
        <v>143</v>
      </c>
      <c r="B146" s="29" t="s">
        <v>357</v>
      </c>
      <c r="C146" s="4" t="s">
        <v>267</v>
      </c>
      <c r="D146" s="4" t="s">
        <v>67</v>
      </c>
      <c r="E146" s="5">
        <v>17.8</v>
      </c>
      <c r="G146" s="4">
        <v>60</v>
      </c>
      <c r="H146" s="11">
        <f t="shared" si="4"/>
        <v>1068</v>
      </c>
      <c r="I146" s="4"/>
      <c r="K146" s="4">
        <v>48000</v>
      </c>
      <c r="N146" s="4" t="s">
        <v>345</v>
      </c>
      <c r="O146" s="4">
        <v>23000</v>
      </c>
    </row>
    <row r="147" spans="1:17">
      <c r="A147" s="4">
        <v>144</v>
      </c>
      <c r="B147" s="4" t="s">
        <v>268</v>
      </c>
      <c r="C147" s="4" t="s">
        <v>269</v>
      </c>
      <c r="D147" s="4" t="s">
        <v>11</v>
      </c>
      <c r="E147" s="5">
        <v>11.5</v>
      </c>
      <c r="G147" s="4">
        <v>23</v>
      </c>
      <c r="H147" s="11">
        <f t="shared" si="4"/>
        <v>264.5</v>
      </c>
      <c r="I147" s="4"/>
      <c r="N147" s="4" t="s">
        <v>26</v>
      </c>
      <c r="O147" s="4">
        <v>32000</v>
      </c>
    </row>
    <row r="148" spans="1:17">
      <c r="A148" s="4">
        <v>145</v>
      </c>
      <c r="B148" s="4" t="s">
        <v>270</v>
      </c>
      <c r="C148" s="4" t="s">
        <v>271</v>
      </c>
      <c r="D148" s="4" t="s">
        <v>20</v>
      </c>
      <c r="E148" s="5">
        <v>22.5</v>
      </c>
      <c r="G148" s="4">
        <v>4</v>
      </c>
      <c r="H148" s="11">
        <f t="shared" si="4"/>
        <v>90</v>
      </c>
      <c r="I148" s="4"/>
      <c r="N148" s="4" t="s">
        <v>345</v>
      </c>
      <c r="O148" s="4">
        <v>39000</v>
      </c>
    </row>
    <row r="149" spans="1:17">
      <c r="A149" s="4">
        <v>146</v>
      </c>
      <c r="B149" s="4" t="s">
        <v>272</v>
      </c>
      <c r="C149" s="4" t="s">
        <v>273</v>
      </c>
      <c r="D149" s="4" t="s">
        <v>20</v>
      </c>
      <c r="E149" s="5">
        <v>36</v>
      </c>
      <c r="G149" s="4">
        <v>2</v>
      </c>
      <c r="H149" s="11">
        <f t="shared" si="4"/>
        <v>72</v>
      </c>
      <c r="I149" s="4"/>
      <c r="N149" s="4" t="s">
        <v>67</v>
      </c>
      <c r="O149" s="4">
        <v>80000</v>
      </c>
    </row>
    <row r="150" spans="1:17">
      <c r="A150" s="4">
        <v>147</v>
      </c>
      <c r="B150" s="4" t="s">
        <v>274</v>
      </c>
      <c r="C150" s="4" t="s">
        <v>275</v>
      </c>
      <c r="D150" s="4" t="s">
        <v>11</v>
      </c>
      <c r="E150" s="5">
        <v>2.1</v>
      </c>
      <c r="G150" s="4">
        <v>45</v>
      </c>
      <c r="H150" s="11">
        <f t="shared" si="4"/>
        <v>94.5</v>
      </c>
      <c r="I150" s="4"/>
      <c r="N150" s="4" t="s">
        <v>345</v>
      </c>
      <c r="O150" s="4">
        <v>4000</v>
      </c>
    </row>
    <row r="151" spans="1:17">
      <c r="A151" s="4">
        <v>148</v>
      </c>
      <c r="B151" s="4" t="s">
        <v>276</v>
      </c>
      <c r="C151" s="4" t="s">
        <v>277</v>
      </c>
      <c r="D151" s="4" t="s">
        <v>11</v>
      </c>
      <c r="E151" s="5">
        <v>2.1</v>
      </c>
      <c r="G151" s="4">
        <v>6</v>
      </c>
      <c r="H151" s="11">
        <f t="shared" si="4"/>
        <v>12.6</v>
      </c>
      <c r="I151" s="4"/>
      <c r="N151" s="4" t="s">
        <v>345</v>
      </c>
      <c r="O151" s="4">
        <v>4000</v>
      </c>
      <c r="P151" s="4">
        <v>23900</v>
      </c>
    </row>
    <row r="152" spans="1:17">
      <c r="A152" s="4">
        <v>149</v>
      </c>
      <c r="B152" s="4" t="s">
        <v>278</v>
      </c>
      <c r="C152" s="4" t="s">
        <v>277</v>
      </c>
      <c r="D152" s="4" t="s">
        <v>11</v>
      </c>
      <c r="E152" s="5">
        <v>2.1</v>
      </c>
      <c r="G152" s="4">
        <v>23</v>
      </c>
      <c r="H152" s="11">
        <f t="shared" si="4"/>
        <v>48.3</v>
      </c>
      <c r="I152" s="4"/>
      <c r="N152" s="4" t="s">
        <v>345</v>
      </c>
      <c r="O152" s="4">
        <v>4000</v>
      </c>
    </row>
    <row r="153" spans="1:17">
      <c r="A153" s="4">
        <v>150</v>
      </c>
      <c r="B153" s="4" t="s">
        <v>279</v>
      </c>
      <c r="C153" s="4" t="s">
        <v>277</v>
      </c>
      <c r="D153" s="4" t="s">
        <v>11</v>
      </c>
      <c r="E153" s="5">
        <v>2.1</v>
      </c>
      <c r="G153" s="4">
        <v>12</v>
      </c>
      <c r="H153" s="11">
        <f t="shared" si="4"/>
        <v>25.2</v>
      </c>
      <c r="I153" s="4"/>
      <c r="N153" s="4" t="s">
        <v>345</v>
      </c>
      <c r="O153" s="4">
        <v>4000</v>
      </c>
    </row>
    <row r="154" spans="1:17">
      <c r="A154" s="4">
        <v>151</v>
      </c>
      <c r="B154" s="4" t="s">
        <v>280</v>
      </c>
      <c r="C154" s="4" t="s">
        <v>281</v>
      </c>
      <c r="D154" s="4" t="s">
        <v>20</v>
      </c>
      <c r="E154" s="5">
        <v>2.1</v>
      </c>
      <c r="G154" s="4">
        <v>11</v>
      </c>
      <c r="H154" s="11">
        <f t="shared" si="4"/>
        <v>23.1</v>
      </c>
      <c r="I154" s="4"/>
      <c r="N154" s="4" t="s">
        <v>345</v>
      </c>
      <c r="O154" s="4">
        <v>4000</v>
      </c>
      <c r="P154" s="4">
        <v>23450</v>
      </c>
      <c r="Q154" s="4">
        <v>13500</v>
      </c>
    </row>
    <row r="155" spans="1:17">
      <c r="A155" s="4">
        <v>152</v>
      </c>
      <c r="B155" s="4" t="s">
        <v>274</v>
      </c>
      <c r="C155" s="4" t="s">
        <v>282</v>
      </c>
      <c r="D155" s="4" t="s">
        <v>20</v>
      </c>
      <c r="E155" s="5">
        <v>2.1</v>
      </c>
      <c r="G155" s="4">
        <v>8</v>
      </c>
      <c r="H155" s="11">
        <f t="shared" si="4"/>
        <v>16.8</v>
      </c>
      <c r="I155" s="4"/>
      <c r="N155" s="4" t="s">
        <v>67</v>
      </c>
      <c r="O155" s="4">
        <v>6500</v>
      </c>
    </row>
    <row r="156" spans="1:17">
      <c r="A156" s="4">
        <v>153</v>
      </c>
      <c r="B156" s="4" t="s">
        <v>283</v>
      </c>
      <c r="C156" s="4" t="s">
        <v>284</v>
      </c>
      <c r="D156" s="4" t="s">
        <v>20</v>
      </c>
      <c r="E156" s="5">
        <v>2.1</v>
      </c>
      <c r="G156" s="4">
        <v>2</v>
      </c>
      <c r="H156" s="11">
        <f t="shared" si="4"/>
        <v>4.2</v>
      </c>
      <c r="I156" s="4"/>
      <c r="N156" s="4" t="s">
        <v>345</v>
      </c>
      <c r="O156" s="4">
        <v>4500</v>
      </c>
    </row>
    <row r="157" spans="1:17">
      <c r="A157" s="4">
        <v>154</v>
      </c>
      <c r="B157" s="4" t="s">
        <v>274</v>
      </c>
      <c r="C157" s="4" t="s">
        <v>284</v>
      </c>
      <c r="D157" s="4" t="s">
        <v>20</v>
      </c>
      <c r="E157" s="5">
        <v>2.1</v>
      </c>
      <c r="G157" s="4">
        <v>3</v>
      </c>
      <c r="H157" s="11">
        <f t="shared" si="4"/>
        <v>6.3</v>
      </c>
      <c r="I157" s="4"/>
    </row>
    <row r="158" spans="1:17">
      <c r="A158" s="4">
        <v>155</v>
      </c>
      <c r="B158" s="4" t="s">
        <v>280</v>
      </c>
      <c r="C158" s="4" t="s">
        <v>285</v>
      </c>
      <c r="D158" s="4" t="s">
        <v>20</v>
      </c>
      <c r="E158" s="5">
        <v>2.1</v>
      </c>
      <c r="G158" s="4">
        <v>7</v>
      </c>
      <c r="H158" s="11">
        <f t="shared" si="4"/>
        <v>14.7</v>
      </c>
      <c r="I158" s="4"/>
      <c r="N158" s="4" t="s">
        <v>67</v>
      </c>
      <c r="O158" s="4">
        <v>6000</v>
      </c>
    </row>
    <row r="159" spans="1:17">
      <c r="A159" s="4">
        <v>156</v>
      </c>
      <c r="B159" s="4" t="s">
        <v>274</v>
      </c>
      <c r="C159" s="4" t="s">
        <v>286</v>
      </c>
      <c r="D159" s="4" t="s">
        <v>20</v>
      </c>
      <c r="E159" s="5">
        <v>2.1</v>
      </c>
      <c r="G159" s="4">
        <v>2</v>
      </c>
      <c r="H159" s="11">
        <f t="shared" si="4"/>
        <v>4.2</v>
      </c>
      <c r="I159" s="4"/>
      <c r="N159" s="4" t="s">
        <v>67</v>
      </c>
      <c r="O159" s="4">
        <v>6500</v>
      </c>
    </row>
    <row r="160" spans="1:17">
      <c r="A160" s="4">
        <v>157</v>
      </c>
      <c r="B160" s="4" t="s">
        <v>287</v>
      </c>
      <c r="C160" s="4" t="s">
        <v>288</v>
      </c>
      <c r="D160" s="4" t="s">
        <v>289</v>
      </c>
      <c r="E160" s="5">
        <v>2.1</v>
      </c>
      <c r="G160" s="4">
        <v>0</v>
      </c>
      <c r="H160" s="11">
        <f t="shared" si="4"/>
        <v>0</v>
      </c>
      <c r="I160" s="4"/>
    </row>
    <row r="161" spans="1:17">
      <c r="A161" s="4">
        <v>158</v>
      </c>
      <c r="B161" s="4" t="s">
        <v>290</v>
      </c>
      <c r="C161" s="4" t="s">
        <v>291</v>
      </c>
      <c r="D161" s="4" t="s">
        <v>11</v>
      </c>
      <c r="E161" s="5">
        <v>2</v>
      </c>
      <c r="G161" s="4">
        <v>3</v>
      </c>
      <c r="H161" s="11">
        <f t="shared" ref="H161:H178" si="5">PRODUCT(G161*E161)</f>
        <v>6</v>
      </c>
      <c r="I161" s="4"/>
    </row>
    <row r="162" spans="1:17">
      <c r="A162" s="4">
        <v>159</v>
      </c>
      <c r="B162" s="4" t="s">
        <v>292</v>
      </c>
      <c r="C162" s="4" t="s">
        <v>293</v>
      </c>
      <c r="D162" s="4" t="s">
        <v>11</v>
      </c>
      <c r="E162" s="5">
        <v>2</v>
      </c>
      <c r="G162" s="4">
        <v>1</v>
      </c>
      <c r="H162" s="11">
        <f t="shared" si="5"/>
        <v>2</v>
      </c>
      <c r="I162" s="4"/>
    </row>
    <row r="163" spans="1:17">
      <c r="A163" s="4">
        <v>160</v>
      </c>
      <c r="B163" s="4" t="s">
        <v>292</v>
      </c>
      <c r="C163" s="4" t="s">
        <v>295</v>
      </c>
      <c r="D163" s="4" t="s">
        <v>11</v>
      </c>
      <c r="E163" s="5">
        <v>2</v>
      </c>
      <c r="G163" s="4">
        <v>2</v>
      </c>
      <c r="H163" s="11">
        <f t="shared" si="5"/>
        <v>4</v>
      </c>
      <c r="I163" s="4"/>
    </row>
    <row r="164" spans="1:17">
      <c r="A164" s="4">
        <v>161</v>
      </c>
      <c r="B164" s="4" t="s">
        <v>292</v>
      </c>
      <c r="C164" s="4" t="s">
        <v>296</v>
      </c>
      <c r="D164" s="4" t="s">
        <v>20</v>
      </c>
      <c r="E164" s="5">
        <v>2</v>
      </c>
      <c r="G164" s="4">
        <v>1</v>
      </c>
      <c r="H164" s="11">
        <f t="shared" si="5"/>
        <v>2</v>
      </c>
      <c r="I164" s="4"/>
      <c r="N164" s="4" t="s">
        <v>26</v>
      </c>
      <c r="O164" s="4">
        <v>6000</v>
      </c>
      <c r="P164" s="4">
        <v>21700</v>
      </c>
      <c r="Q164" s="4">
        <v>17500</v>
      </c>
    </row>
    <row r="165" spans="1:17">
      <c r="A165" s="4">
        <v>162</v>
      </c>
      <c r="B165" s="4" t="s">
        <v>292</v>
      </c>
      <c r="C165" s="4" t="s">
        <v>297</v>
      </c>
      <c r="D165" s="4" t="s">
        <v>20</v>
      </c>
      <c r="E165" s="5">
        <v>2</v>
      </c>
      <c r="G165" s="4">
        <v>1</v>
      </c>
      <c r="H165" s="11">
        <f t="shared" si="5"/>
        <v>2</v>
      </c>
      <c r="I165" s="4"/>
      <c r="N165" s="4" t="s">
        <v>67</v>
      </c>
      <c r="O165" s="4">
        <v>6000</v>
      </c>
    </row>
    <row r="166" spans="1:17">
      <c r="A166" s="4">
        <v>163</v>
      </c>
      <c r="B166" s="4" t="s">
        <v>298</v>
      </c>
      <c r="C166" s="4" t="s">
        <v>297</v>
      </c>
      <c r="D166" s="4" t="s">
        <v>20</v>
      </c>
      <c r="E166" s="5">
        <v>2</v>
      </c>
      <c r="G166" s="4">
        <v>2</v>
      </c>
      <c r="H166" s="11">
        <f t="shared" si="5"/>
        <v>4</v>
      </c>
      <c r="I166" s="4"/>
    </row>
    <row r="167" spans="1:17">
      <c r="A167" s="4">
        <v>164</v>
      </c>
      <c r="B167" s="4" t="s">
        <v>299</v>
      </c>
      <c r="C167" s="4" t="s">
        <v>300</v>
      </c>
      <c r="D167" s="4" t="s">
        <v>11</v>
      </c>
      <c r="E167" s="5">
        <v>3.1</v>
      </c>
      <c r="G167" s="4">
        <v>4</v>
      </c>
      <c r="H167" s="11">
        <f t="shared" si="5"/>
        <v>12.4</v>
      </c>
      <c r="I167" s="4"/>
    </row>
    <row r="168" spans="1:17">
      <c r="A168" s="4">
        <v>165</v>
      </c>
      <c r="B168" s="4" t="s">
        <v>301</v>
      </c>
      <c r="C168" s="4" t="s">
        <v>300</v>
      </c>
      <c r="D168" s="4" t="s">
        <v>20</v>
      </c>
      <c r="E168" s="5">
        <v>3.1</v>
      </c>
      <c r="G168" s="4">
        <v>7</v>
      </c>
      <c r="H168" s="11">
        <f t="shared" si="5"/>
        <v>21.7</v>
      </c>
      <c r="I168" s="4"/>
      <c r="N168" s="4" t="s">
        <v>67</v>
      </c>
      <c r="O168" s="4">
        <v>10000</v>
      </c>
    </row>
    <row r="169" spans="1:17">
      <c r="A169" s="4">
        <v>166</v>
      </c>
      <c r="B169" s="4" t="s">
        <v>299</v>
      </c>
      <c r="C169" s="4" t="s">
        <v>302</v>
      </c>
      <c r="D169" s="4" t="s">
        <v>20</v>
      </c>
      <c r="E169" s="5">
        <v>3.1</v>
      </c>
      <c r="G169" s="4">
        <v>4</v>
      </c>
      <c r="H169" s="11">
        <f t="shared" si="5"/>
        <v>12.4</v>
      </c>
      <c r="I169" s="4"/>
    </row>
    <row r="170" spans="1:17">
      <c r="A170" s="4">
        <v>167</v>
      </c>
      <c r="B170" s="4" t="s">
        <v>301</v>
      </c>
      <c r="C170" s="4" t="s">
        <v>302</v>
      </c>
      <c r="D170" s="4" t="s">
        <v>20</v>
      </c>
      <c r="E170" s="5">
        <v>3.1</v>
      </c>
      <c r="G170" s="4">
        <v>1</v>
      </c>
      <c r="H170" s="11">
        <f t="shared" si="5"/>
        <v>3.1</v>
      </c>
      <c r="I170" s="4"/>
    </row>
    <row r="171" spans="1:17">
      <c r="A171" s="4">
        <v>168</v>
      </c>
      <c r="B171" s="4" t="s">
        <v>303</v>
      </c>
      <c r="C171" s="4" t="s">
        <v>304</v>
      </c>
      <c r="D171" s="4" t="s">
        <v>20</v>
      </c>
      <c r="E171" s="5">
        <v>3.1</v>
      </c>
      <c r="G171" s="4">
        <v>1</v>
      </c>
      <c r="H171" s="11">
        <f t="shared" si="5"/>
        <v>3.1</v>
      </c>
      <c r="I171" s="4"/>
      <c r="N171" s="4" t="s">
        <v>345</v>
      </c>
      <c r="O171" s="4">
        <v>7500</v>
      </c>
    </row>
    <row r="172" spans="1:17">
      <c r="A172" s="4">
        <v>169</v>
      </c>
      <c r="B172" s="4" t="s">
        <v>305</v>
      </c>
      <c r="C172" s="4" t="s">
        <v>304</v>
      </c>
      <c r="D172" s="4" t="s">
        <v>20</v>
      </c>
      <c r="E172" s="5">
        <v>3.1</v>
      </c>
      <c r="G172" s="4">
        <v>5</v>
      </c>
      <c r="H172" s="11">
        <f t="shared" si="5"/>
        <v>15.5</v>
      </c>
      <c r="I172" s="4"/>
    </row>
    <row r="173" spans="1:17">
      <c r="A173" s="4">
        <v>170</v>
      </c>
      <c r="B173" s="4" t="s">
        <v>306</v>
      </c>
      <c r="C173" s="4" t="s">
        <v>307</v>
      </c>
      <c r="D173" s="4" t="s">
        <v>20</v>
      </c>
      <c r="E173" s="5">
        <v>3.1</v>
      </c>
      <c r="G173" s="4">
        <v>5</v>
      </c>
      <c r="H173" s="11">
        <f t="shared" si="5"/>
        <v>15.5</v>
      </c>
      <c r="I173" s="4"/>
    </row>
    <row r="174" spans="1:17">
      <c r="A174" s="4">
        <v>171</v>
      </c>
      <c r="B174" s="4" t="s">
        <v>308</v>
      </c>
      <c r="C174" s="4" t="s">
        <v>49</v>
      </c>
      <c r="D174" s="4" t="s">
        <v>11</v>
      </c>
      <c r="E174" s="5">
        <v>3.7</v>
      </c>
      <c r="G174" s="4">
        <v>8</v>
      </c>
      <c r="H174" s="11">
        <f t="shared" si="5"/>
        <v>29.6</v>
      </c>
      <c r="I174" s="4"/>
      <c r="N174" s="4" t="s">
        <v>67</v>
      </c>
      <c r="O174" s="4">
        <v>12800</v>
      </c>
      <c r="P174" s="4">
        <v>32100</v>
      </c>
      <c r="Q174" s="4">
        <v>24000</v>
      </c>
    </row>
    <row r="175" spans="1:17">
      <c r="A175" s="4">
        <v>172</v>
      </c>
      <c r="B175" s="4" t="s">
        <v>309</v>
      </c>
      <c r="C175" s="4" t="s">
        <v>52</v>
      </c>
      <c r="D175" s="4" t="s">
        <v>11</v>
      </c>
      <c r="E175" s="5">
        <v>3.7</v>
      </c>
      <c r="G175" s="4">
        <v>3</v>
      </c>
      <c r="H175" s="11">
        <f t="shared" si="5"/>
        <v>11.1</v>
      </c>
      <c r="I175" s="4"/>
    </row>
    <row r="176" spans="1:17">
      <c r="A176" s="4">
        <v>173</v>
      </c>
      <c r="B176" s="4" t="s">
        <v>310</v>
      </c>
      <c r="C176" s="4" t="s">
        <v>311</v>
      </c>
      <c r="D176" s="4" t="s">
        <v>67</v>
      </c>
      <c r="E176" s="5">
        <v>4.7</v>
      </c>
      <c r="G176" s="4">
        <v>8</v>
      </c>
      <c r="H176" s="11">
        <f t="shared" si="5"/>
        <v>37.6</v>
      </c>
      <c r="I176" s="4"/>
      <c r="N176" s="4" t="s">
        <v>345</v>
      </c>
      <c r="O176" s="4">
        <v>9600</v>
      </c>
    </row>
    <row r="177" spans="1:15">
      <c r="A177" s="4">
        <v>174</v>
      </c>
      <c r="B177" s="4" t="s">
        <v>312</v>
      </c>
      <c r="C177" s="4" t="s">
        <v>313</v>
      </c>
      <c r="D177" s="4" t="s">
        <v>26</v>
      </c>
      <c r="E177" s="5">
        <v>3.9</v>
      </c>
      <c r="G177" s="4">
        <v>16</v>
      </c>
      <c r="H177" s="11">
        <f t="shared" si="5"/>
        <v>62.4</v>
      </c>
      <c r="I177" s="4"/>
      <c r="N177" s="4" t="s">
        <v>67</v>
      </c>
      <c r="O177" s="4">
        <v>16000</v>
      </c>
    </row>
    <row r="178" spans="1:15">
      <c r="A178" s="4">
        <v>175</v>
      </c>
      <c r="B178" s="4" t="s">
        <v>314</v>
      </c>
      <c r="C178" s="4" t="s">
        <v>315</v>
      </c>
      <c r="D178" s="4" t="s">
        <v>67</v>
      </c>
      <c r="E178" s="5">
        <v>4.9</v>
      </c>
      <c r="G178" s="4">
        <v>4</v>
      </c>
      <c r="H178" s="11">
        <f t="shared" si="5"/>
        <v>19.6</v>
      </c>
      <c r="I178" s="4"/>
      <c r="N178" s="4" t="s">
        <v>345</v>
      </c>
      <c r="O178" s="4">
        <v>7500</v>
      </c>
    </row>
    <row r="179" spans="1:15">
      <c r="F179" s="4" t="s">
        <v>316</v>
      </c>
      <c r="G179" s="4"/>
      <c r="H179" s="4">
        <f>SUM(H2:H178)</f>
        <v>19642.57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Приложение № 2 (ПИТЕР)</vt:lpstr>
      <vt:lpstr>Приложение №3 (Питер)</vt:lpstr>
      <vt:lpstr>нет в списках </vt:lpstr>
      <vt:lpstr>Лист4</vt:lpstr>
      <vt:lpstr>Цены ,2026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U1</cp:lastModifiedBy>
  <dcterms:created xsi:type="dcterms:W3CDTF">2026-09-30T05:30:00Z</dcterms:created>
  <dcterms:modified xsi:type="dcterms:W3CDTF">2026-10-13T06:30:13Z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BDFB382DCF5E4DF88791266E2703F588_13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
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DD0A9E5-8FBE-4C6F-9AFB-4CA0EA941446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Склад 1А, 1Б" sheetId="1" r:id="rId1"/>
  </sheets>
  <calcPr calcId="191029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I52" i="1" l="1"/>
</calcChain>
</file>

<file path=xl/sharedStrings.xml><?xml version="1.0" encoding="utf-8"?>
<sst xmlns="http://schemas.openxmlformats.org/spreadsheetml/2006/main" count="99" uniqueCount="54">
  <si>
    <t>Судовое оборудование/СКЛАД-1А</t>
  </si>
  <si>
    <t>Клапан фланцевый проходной Ду50 Ру 10 + ДУ 50 Ру 25</t>
  </si>
  <si>
    <t>шт</t>
  </si>
  <si>
    <t>Задвижка клинкетная Ду 80 БРОНЗА</t>
  </si>
  <si>
    <t>Головка воздушно-квадрат.(поплавковая) Ду80 (541-03.218)</t>
  </si>
  <si>
    <t>Крышка цилиндра 8НВД48А2У (голые)</t>
  </si>
  <si>
    <t>в сборе</t>
  </si>
  <si>
    <t>Головка воздушно-квадрат.(поплавковая) Ду25 (541-03.232)</t>
  </si>
  <si>
    <t>Головка воздушно-квадрат.(поплавковая) Ду125 (без поплавка) (541-03.220)</t>
  </si>
  <si>
    <t>Клапан невозвратно-приемный фланцевый Ду 50 Ру1 (522-35.4043-01)</t>
  </si>
  <si>
    <t>Головка воздушно-квадрат.(поплавковая) Ду32 (541-03.224; 541-03.233)</t>
  </si>
  <si>
    <t>Скобы разные ( 1 большая+ 2 маленькие )</t>
  </si>
  <si>
    <t>Задвижка клинкетная Ду 100 БРОНЗА</t>
  </si>
  <si>
    <t>Клапан невозвратно-приемный фланцевый Ду 65 Ру1 (522-03.023)</t>
  </si>
  <si>
    <t>Задвижка клинкетная  Ду80 ( в разборе)</t>
  </si>
  <si>
    <t>Клапан фланцевый проходной Ду50 Ру 40 сталь (522-01-322)</t>
  </si>
  <si>
    <t>Противовес 3,2т (Россия)</t>
  </si>
  <si>
    <t>Клапан невозвратно-приемный фланцевый Ду 65  Ру1 (522-35.4044-01)</t>
  </si>
  <si>
    <t>Крышка цилиндра Пилстик (зеленая) на входе</t>
  </si>
  <si>
    <t>Гак</t>
  </si>
  <si>
    <t>Клапан фланцевый проходной Ду 80 Ру 10, 521 -35.3451</t>
  </si>
  <si>
    <t>Клапан фланцевый проходной невозвратный Ду 50 РУ 25 (522-01.164)</t>
  </si>
  <si>
    <t>Задвижка клинкетная  Ду100 без штока и блинов ( в разборе)</t>
  </si>
  <si>
    <t>Клапан фланцевый проходной Ду80 Ру 40 сталь (521-35.3437)</t>
  </si>
  <si>
    <t>Клапан фланцевый проходной Ду80 Ру 40 сталь (522-01.101)</t>
  </si>
  <si>
    <t>Клапан фланцевый проходной Ду 125  (без чертежа)</t>
  </si>
  <si>
    <t>Двигатель б/у на лапах</t>
  </si>
  <si>
    <t>Клапан предохранит. фланцевый угловой Ду32Ру4 (524-03.090)</t>
  </si>
  <si>
    <t>Коробка 2-х клапанная корпус</t>
  </si>
  <si>
    <t>Клапан проходной ДУ 125 корпус</t>
  </si>
  <si>
    <t>Противовес 3,2т (Корея)</t>
  </si>
  <si>
    <t>Судовое оборудование/Склад - 1Б</t>
  </si>
  <si>
    <t>Задвижка клинкетная Ду 250</t>
  </si>
  <si>
    <t>Клапан проходной фланцевый Ду40 - БРАК</t>
  </si>
  <si>
    <t>Грибки АМГ Ду 175 (541-03.316-03)</t>
  </si>
  <si>
    <t>Клапан проходной фланцевый Ду50 - БРАК</t>
  </si>
  <si>
    <t>Клапан проходной фланцевый Ду32 - БРАК</t>
  </si>
  <si>
    <t>Клапана невозвратный проходной фланцевый Ду100 Ру10 (522-03.205)</t>
  </si>
  <si>
    <t>Клапан фланцевый проходной Ду200</t>
  </si>
  <si>
    <t>Клапан угловой фланцевый Ду 40 - БРАК</t>
  </si>
  <si>
    <t>Захлопка Ду50Ру6 - БРАК</t>
  </si>
  <si>
    <t>Грибки АМГ Ду 150 (верхние) (541-03.315-02)</t>
  </si>
  <si>
    <t>Грибки АМГ Ду 150 (нижние) (541-03.316-02)</t>
  </si>
  <si>
    <t>Грибки Ду200 (б/у) (541-03.313-04)</t>
  </si>
  <si>
    <t>Грибки АМГ Ду 200 с нижнем приводом (541-03.313-04)</t>
  </si>
  <si>
    <t>Задвижка клинкетная Ду60</t>
  </si>
  <si>
    <t>Задвижка клинкетная  ДУ 80, сталь</t>
  </si>
  <si>
    <t>Клапан проходной фланцевый Ду65 КОРПУС - БРАК</t>
  </si>
  <si>
    <t>Грибки Ду125 б-у</t>
  </si>
  <si>
    <t>Задвижка клинкетная Ду 50, без клиньев</t>
  </si>
  <si>
    <t>Цена за ед.</t>
  </si>
  <si>
    <t xml:space="preserve">Сумма </t>
  </si>
  <si>
    <t>ИТОГО :</t>
  </si>
  <si>
    <t xml:space="preserve">товар был отгружен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</si>
</sst>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164" fontId="1" fillId="0" borderId="1" xfId="0" applyNumberFormat="1" applyFont="1" applyBorder="1"/>
    <xf numFmtId="0" fontId="1" fillId="0" borderId="0" xfId="0" applyFont="1" applyAlignment="1">
      <alignment wrapText="1"/>
    </xf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zoomScale="150" zoomScaleNormal="150" workbookViewId="0">
      <selection activeCell="F20" sqref="F20"/>
    </sheetView>
  </sheetViews>
  <sheetFormatPr defaultRowHeight="15" x14ac:dyDescent="0.25"/>
  <cols>
    <col min="3" max="3" width="83.28515625" customWidth="1"/>
    <col min="6" max="6" width="12" customWidth="1"/>
    <col min="8" max="8" width="12.5703125" customWidth="1"/>
    <col min="9" max="9" width="13.28515625" style="5" bestFit="1" customWidth="1"/>
  </cols>
  <sheetData>
    <row r="1" spans="1:12" ht="30" x14ac:dyDescent="0.25">
      <c r="F1" s="7" t="s">
        <v>53</v>
      </c>
    </row>
    <row r="2" spans="1:12" x14ac:dyDescent="0.25">
      <c r="A2" s="1" t="s">
        <v>0</v>
      </c>
      <c r="B2" s="1"/>
      <c r="C2" s="1"/>
      <c r="D2" s="2"/>
      <c r="E2" s="2"/>
      <c r="F2" s="8">
        <v>45824</v>
      </c>
      <c r="G2" s="2"/>
      <c r="H2" s="2" t="s">
        <v>50</v>
      </c>
      <c r="I2" s="4" t="s">
        <v>51</v>
      </c>
      <c r="J2" s="2"/>
      <c r="K2" s="2"/>
      <c r="L2" s="2"/>
    </row>
    <row r="3" spans="1:12" x14ac:dyDescent="0.25">
      <c r="A3" s="2">
        <v>375</v>
      </c>
      <c r="B3" s="2"/>
      <c r="C3" s="2" t="s">
        <v>1</v>
      </c>
      <c r="D3" s="2" t="s">
        <v>2</v>
      </c>
      <c r="E3" s="2">
        <v>98</v>
      </c>
      <c r="F3" s="2"/>
      <c r="G3" s="2"/>
      <c r="H3" s="3">
        <v>20000</v>
      </c>
      <c r="I3" s="4">
        <f>PRODUCT(E3*H3)</f>
        <v>1960000</v>
      </c>
      <c r="J3" s="2"/>
      <c r="K3" s="2"/>
      <c r="L3" s="2"/>
    </row>
    <row r="4" spans="1:12" x14ac:dyDescent="0.25">
      <c r="A4" s="2">
        <v>370</v>
      </c>
      <c r="B4" s="2"/>
      <c r="C4" s="2" t="s">
        <v>3</v>
      </c>
      <c r="D4" s="2" t="s">
        <v>2</v>
      </c>
      <c r="E4" s="2">
        <v>44</v>
      </c>
      <c r="F4" s="2"/>
      <c r="G4" s="2"/>
      <c r="H4" s="3">
        <v>24000</v>
      </c>
      <c r="I4" s="4">
        <f t="shared" ref="I4:I51" si="0">PRODUCT(E4*H4)</f>
        <v>1056000</v>
      </c>
      <c r="J4" s="2"/>
      <c r="K4" s="2"/>
      <c r="L4" s="2"/>
    </row>
    <row r="5" spans="1:12" x14ac:dyDescent="0.25">
      <c r="A5" s="2">
        <v>384</v>
      </c>
      <c r="B5" s="2"/>
      <c r="C5" s="2" t="s">
        <v>4</v>
      </c>
      <c r="D5" s="2" t="s">
        <v>2</v>
      </c>
      <c r="E5" s="2">
        <v>19</v>
      </c>
      <c r="F5" s="2"/>
      <c r="G5" s="2"/>
      <c r="H5" s="2">
        <v>14000</v>
      </c>
      <c r="I5" s="4">
        <f t="shared" si="0"/>
        <v>266000</v>
      </c>
      <c r="J5" s="2"/>
      <c r="K5" s="2"/>
      <c r="L5" s="2"/>
    </row>
    <row r="6" spans="1:12" x14ac:dyDescent="0.25">
      <c r="A6" s="2">
        <v>386</v>
      </c>
      <c r="B6" s="2"/>
      <c r="C6" s="2" t="s">
        <v>5</v>
      </c>
      <c r="D6" s="2" t="s">
        <v>2</v>
      </c>
      <c r="E6" s="2">
        <v>8</v>
      </c>
      <c r="F6" s="2"/>
      <c r="G6" s="2"/>
      <c r="H6" s="3">
        <v>80000</v>
      </c>
      <c r="I6" s="4">
        <f t="shared" si="0"/>
        <v>640000</v>
      </c>
      <c r="J6" s="2"/>
      <c r="K6" s="2" t="s">
        <v>6</v>
      </c>
      <c r="L6" s="2"/>
    </row>
    <row r="7" spans="1:12" x14ac:dyDescent="0.25">
      <c r="A7" s="2">
        <v>382</v>
      </c>
      <c r="B7" s="2"/>
      <c r="C7" s="2" t="s">
        <v>7</v>
      </c>
      <c r="D7" s="2" t="s">
        <v>2</v>
      </c>
      <c r="E7" s="2">
        <v>8</v>
      </c>
      <c r="F7" s="2"/>
      <c r="G7" s="2"/>
      <c r="H7" s="2">
        <v>4500</v>
      </c>
      <c r="I7" s="4">
        <f t="shared" si="0"/>
        <v>36000</v>
      </c>
      <c r="J7" s="2"/>
      <c r="K7" s="2"/>
      <c r="L7" s="2"/>
    </row>
    <row r="8" spans="1:12" x14ac:dyDescent="0.25">
      <c r="A8" s="2">
        <v>385</v>
      </c>
      <c r="B8" s="2"/>
      <c r="C8" s="2" t="s">
        <v>8</v>
      </c>
      <c r="D8" s="2" t="s">
        <v>2</v>
      </c>
      <c r="E8" s="2">
        <v>6</v>
      </c>
      <c r="F8" s="2"/>
      <c r="G8" s="2"/>
      <c r="H8" s="2">
        <v>25000</v>
      </c>
      <c r="I8" s="4">
        <f t="shared" si="0"/>
        <v>150000</v>
      </c>
      <c r="J8" s="2"/>
      <c r="K8" s="2"/>
      <c r="L8" s="2"/>
    </row>
    <row r="9" spans="1:12" x14ac:dyDescent="0.25">
      <c r="A9" s="2">
        <v>373</v>
      </c>
      <c r="B9" s="2"/>
      <c r="C9" s="2" t="s">
        <v>9</v>
      </c>
      <c r="D9" s="2" t="s">
        <v>2</v>
      </c>
      <c r="E9" s="2">
        <v>6</v>
      </c>
      <c r="F9" s="2"/>
      <c r="G9" s="2"/>
      <c r="H9" s="2">
        <v>7500</v>
      </c>
      <c r="I9" s="4">
        <f t="shared" si="0"/>
        <v>45000</v>
      </c>
      <c r="J9" s="2"/>
      <c r="K9" s="2"/>
      <c r="L9" s="2"/>
    </row>
    <row r="10" spans="1:12" x14ac:dyDescent="0.25">
      <c r="A10" s="2">
        <v>383</v>
      </c>
      <c r="B10" s="2"/>
      <c r="C10" s="2" t="s">
        <v>10</v>
      </c>
      <c r="D10" s="2" t="s">
        <v>2</v>
      </c>
      <c r="E10" s="2">
        <v>3</v>
      </c>
      <c r="F10" s="2"/>
      <c r="G10" s="2"/>
      <c r="H10" s="2">
        <v>5000</v>
      </c>
      <c r="I10" s="4">
        <f t="shared" si="0"/>
        <v>15000</v>
      </c>
      <c r="J10" s="2"/>
      <c r="K10" s="2"/>
      <c r="L10" s="2"/>
    </row>
    <row r="11" spans="1:12" x14ac:dyDescent="0.25">
      <c r="A11" s="2">
        <v>388</v>
      </c>
      <c r="B11" s="2"/>
      <c r="C11" s="2" t="s">
        <v>11</v>
      </c>
      <c r="D11" s="2" t="s">
        <v>2</v>
      </c>
      <c r="E11" s="2">
        <v>3</v>
      </c>
      <c r="F11" s="2"/>
      <c r="G11" s="2"/>
      <c r="H11" s="2">
        <v>10000</v>
      </c>
      <c r="I11" s="4">
        <f t="shared" si="0"/>
        <v>30000</v>
      </c>
      <c r="J11" s="2"/>
      <c r="K11" s="2"/>
      <c r="L11" s="2"/>
    </row>
    <row r="12" spans="1:12" x14ac:dyDescent="0.25">
      <c r="A12" s="2">
        <v>369</v>
      </c>
      <c r="B12" s="2"/>
      <c r="C12" s="2" t="s">
        <v>12</v>
      </c>
      <c r="D12" s="2" t="s">
        <v>2</v>
      </c>
      <c r="E12" s="2">
        <v>2</v>
      </c>
      <c r="F12" s="2">
        <v>0</v>
      </c>
      <c r="G12" s="2"/>
      <c r="H12" s="3">
        <v>35000</v>
      </c>
      <c r="I12" s="4">
        <f t="shared" si="0"/>
        <v>70000</v>
      </c>
      <c r="J12" s="2"/>
      <c r="K12" s="2"/>
      <c r="L12" s="2"/>
    </row>
    <row r="13" spans="1:12" x14ac:dyDescent="0.25">
      <c r="A13" s="2">
        <v>371</v>
      </c>
      <c r="B13" s="2"/>
      <c r="C13" s="2" t="s">
        <v>13</v>
      </c>
      <c r="D13" s="2" t="s">
        <v>2</v>
      </c>
      <c r="E13" s="2">
        <v>2</v>
      </c>
      <c r="F13" s="2"/>
      <c r="G13" s="2"/>
      <c r="H13" s="3">
        <v>9750</v>
      </c>
      <c r="I13" s="4">
        <f t="shared" si="0"/>
        <v>19500</v>
      </c>
      <c r="J13" s="2"/>
      <c r="K13" s="2"/>
      <c r="L13" s="2"/>
    </row>
    <row r="14" spans="1:12" x14ac:dyDescent="0.25">
      <c r="A14" s="2">
        <v>363</v>
      </c>
      <c r="B14" s="2"/>
      <c r="C14" s="2" t="s">
        <v>14</v>
      </c>
      <c r="D14" s="2" t="s">
        <v>2</v>
      </c>
      <c r="E14" s="2">
        <v>2</v>
      </c>
      <c r="F14" s="2"/>
      <c r="G14" s="2"/>
      <c r="H14" s="2">
        <v>24000</v>
      </c>
      <c r="I14" s="4">
        <f t="shared" si="0"/>
        <v>48000</v>
      </c>
      <c r="J14" s="2"/>
      <c r="K14" s="2"/>
      <c r="L14" s="2"/>
    </row>
    <row r="15" spans="1:12" x14ac:dyDescent="0.25">
      <c r="A15" s="2">
        <v>379</v>
      </c>
      <c r="B15" s="2"/>
      <c r="C15" s="2" t="s">
        <v>15</v>
      </c>
      <c r="D15" s="2" t="s">
        <v>2</v>
      </c>
      <c r="E15" s="2">
        <v>2</v>
      </c>
      <c r="F15" s="2"/>
      <c r="G15" s="2"/>
      <c r="H15" s="2">
        <v>15000</v>
      </c>
      <c r="I15" s="4">
        <f t="shared" si="0"/>
        <v>30000</v>
      </c>
      <c r="J15" s="2"/>
      <c r="K15" s="2"/>
      <c r="L15" s="2"/>
    </row>
    <row r="16" spans="1:12" x14ac:dyDescent="0.25">
      <c r="A16" s="2">
        <v>368</v>
      </c>
      <c r="B16" s="2"/>
      <c r="C16" s="2" t="s">
        <v>16</v>
      </c>
      <c r="D16" s="2" t="s">
        <v>2</v>
      </c>
      <c r="E16" s="2">
        <v>1</v>
      </c>
      <c r="F16" s="2"/>
      <c r="G16" s="2"/>
      <c r="H16" s="2">
        <v>28600</v>
      </c>
      <c r="I16" s="4">
        <f t="shared" si="0"/>
        <v>28600</v>
      </c>
      <c r="J16" s="2"/>
      <c r="K16" s="2"/>
      <c r="L16" s="2"/>
    </row>
    <row r="17" spans="1:12" x14ac:dyDescent="0.25">
      <c r="A17" s="2">
        <v>372</v>
      </c>
      <c r="B17" s="2"/>
      <c r="C17" s="2" t="s">
        <v>17</v>
      </c>
      <c r="D17" s="2" t="s">
        <v>2</v>
      </c>
      <c r="E17" s="2">
        <v>1</v>
      </c>
      <c r="F17" s="2"/>
      <c r="G17" s="2"/>
      <c r="H17" s="2">
        <v>9750</v>
      </c>
      <c r="I17" s="4">
        <f t="shared" si="0"/>
        <v>9750</v>
      </c>
      <c r="J17" s="2"/>
      <c r="K17" s="2"/>
      <c r="L17" s="2"/>
    </row>
    <row r="18" spans="1:12" x14ac:dyDescent="0.25">
      <c r="A18" s="2">
        <v>387</v>
      </c>
      <c r="B18" s="2"/>
      <c r="C18" s="2" t="s">
        <v>18</v>
      </c>
      <c r="D18" s="2" t="s">
        <v>2</v>
      </c>
      <c r="E18" s="2">
        <v>1</v>
      </c>
      <c r="F18" s="2">
        <v>0</v>
      </c>
      <c r="G18" s="2"/>
      <c r="H18" s="2">
        <v>550000</v>
      </c>
      <c r="I18" s="4">
        <f t="shared" si="0"/>
        <v>550000</v>
      </c>
      <c r="J18" s="2"/>
      <c r="K18" s="2"/>
      <c r="L18" s="2"/>
    </row>
    <row r="19" spans="1:12" x14ac:dyDescent="0.25">
      <c r="A19" s="2">
        <v>389</v>
      </c>
      <c r="B19" s="2"/>
      <c r="C19" s="2" t="s">
        <v>19</v>
      </c>
      <c r="D19" s="2" t="s">
        <v>2</v>
      </c>
      <c r="E19" s="2">
        <v>1</v>
      </c>
      <c r="F19" s="2"/>
      <c r="G19" s="2"/>
      <c r="H19" s="2">
        <v>3000</v>
      </c>
      <c r="I19" s="4">
        <f t="shared" si="0"/>
        <v>3000</v>
      </c>
      <c r="J19" s="2"/>
      <c r="K19" s="2"/>
      <c r="L19" s="2"/>
    </row>
    <row r="20" spans="1:12" x14ac:dyDescent="0.25">
      <c r="A20" s="2">
        <v>374</v>
      </c>
      <c r="B20" s="2"/>
      <c r="C20" s="2" t="s">
        <v>20</v>
      </c>
      <c r="D20" s="2" t="s">
        <v>2</v>
      </c>
      <c r="E20" s="2">
        <v>1</v>
      </c>
      <c r="F20" s="2"/>
      <c r="G20" s="2"/>
      <c r="H20" s="2">
        <v>32000</v>
      </c>
      <c r="I20" s="4">
        <f t="shared" si="0"/>
        <v>32000</v>
      </c>
      <c r="J20" s="2"/>
      <c r="K20" s="2"/>
      <c r="L20" s="2"/>
    </row>
    <row r="21" spans="1:12" x14ac:dyDescent="0.25">
      <c r="A21" s="2">
        <v>376</v>
      </c>
      <c r="B21" s="2"/>
      <c r="C21" s="2" t="s">
        <v>21</v>
      </c>
      <c r="D21" s="2" t="s">
        <v>2</v>
      </c>
      <c r="E21" s="2">
        <v>1</v>
      </c>
      <c r="F21" s="2"/>
      <c r="G21" s="2"/>
      <c r="H21" s="2">
        <v>25000</v>
      </c>
      <c r="I21" s="4">
        <f t="shared" si="0"/>
        <v>25000</v>
      </c>
      <c r="J21" s="2"/>
      <c r="K21" s="2"/>
      <c r="L21" s="2"/>
    </row>
    <row r="22" spans="1:12" x14ac:dyDescent="0.25">
      <c r="A22" s="2">
        <v>362</v>
      </c>
      <c r="B22" s="2"/>
      <c r="C22" s="2" t="s">
        <v>22</v>
      </c>
      <c r="D22" s="2" t="s">
        <v>2</v>
      </c>
      <c r="E22" s="2">
        <v>1</v>
      </c>
      <c r="F22" s="2"/>
      <c r="G22" s="2"/>
      <c r="H22" s="2">
        <v>35000</v>
      </c>
      <c r="I22" s="4">
        <f t="shared" si="0"/>
        <v>35000</v>
      </c>
      <c r="J22" s="2"/>
      <c r="K22" s="2"/>
      <c r="L22" s="2"/>
    </row>
    <row r="23" spans="1:12" x14ac:dyDescent="0.25">
      <c r="A23" s="2">
        <v>377</v>
      </c>
      <c r="B23" s="2"/>
      <c r="C23" s="2" t="s">
        <v>23</v>
      </c>
      <c r="D23" s="2" t="s">
        <v>2</v>
      </c>
      <c r="E23" s="2">
        <v>1</v>
      </c>
      <c r="F23" s="2"/>
      <c r="G23" s="2"/>
      <c r="H23" s="3">
        <v>22000</v>
      </c>
      <c r="I23" s="4">
        <f t="shared" si="0"/>
        <v>22000</v>
      </c>
      <c r="J23" s="2"/>
      <c r="K23" s="2"/>
      <c r="L23" s="2"/>
    </row>
    <row r="24" spans="1:12" x14ac:dyDescent="0.25">
      <c r="A24" s="2">
        <v>22</v>
      </c>
      <c r="B24" s="2"/>
      <c r="C24" s="2" t="s">
        <v>24</v>
      </c>
      <c r="D24" s="2" t="s">
        <v>2</v>
      </c>
      <c r="E24" s="2">
        <v>1</v>
      </c>
      <c r="F24" s="2"/>
      <c r="G24" s="2"/>
      <c r="H24" s="3">
        <v>22000</v>
      </c>
      <c r="I24" s="4">
        <f t="shared" si="0"/>
        <v>22000</v>
      </c>
      <c r="J24" s="2"/>
      <c r="K24" s="2"/>
      <c r="L24" s="2"/>
    </row>
    <row r="25" spans="1:12" x14ac:dyDescent="0.25">
      <c r="A25" s="2">
        <v>380</v>
      </c>
      <c r="B25" s="2"/>
      <c r="C25" s="2" t="s">
        <v>25</v>
      </c>
      <c r="D25" s="2" t="s">
        <v>2</v>
      </c>
      <c r="E25" s="2">
        <v>1</v>
      </c>
      <c r="F25" s="2"/>
      <c r="G25" s="2"/>
      <c r="H25" s="3">
        <v>30000</v>
      </c>
      <c r="I25" s="4">
        <f t="shared" si="0"/>
        <v>30000</v>
      </c>
      <c r="J25" s="2"/>
      <c r="K25" s="2"/>
      <c r="L25" s="2"/>
    </row>
    <row r="26" spans="1:12" x14ac:dyDescent="0.25">
      <c r="A26" s="2">
        <v>364</v>
      </c>
      <c r="B26" s="2"/>
      <c r="C26" s="2" t="s">
        <v>26</v>
      </c>
      <c r="D26" s="2" t="s">
        <v>2</v>
      </c>
      <c r="E26" s="2">
        <v>1</v>
      </c>
      <c r="F26" s="2"/>
      <c r="G26" s="2"/>
      <c r="H26" s="2">
        <v>10000</v>
      </c>
      <c r="I26" s="4">
        <f t="shared" si="0"/>
        <v>10000</v>
      </c>
      <c r="J26" s="2"/>
      <c r="K26" s="2"/>
      <c r="L26" s="2"/>
    </row>
    <row r="27" spans="1:12" x14ac:dyDescent="0.25">
      <c r="A27" s="2">
        <v>381</v>
      </c>
      <c r="B27" s="2"/>
      <c r="C27" s="2" t="s">
        <v>27</v>
      </c>
      <c r="D27" s="2" t="s">
        <v>2</v>
      </c>
      <c r="E27" s="2">
        <v>1</v>
      </c>
      <c r="F27" s="2"/>
      <c r="G27" s="2"/>
      <c r="H27" s="3">
        <v>9600</v>
      </c>
      <c r="I27" s="4">
        <f t="shared" si="0"/>
        <v>9600</v>
      </c>
      <c r="J27" s="2"/>
      <c r="K27" s="2"/>
      <c r="L27" s="2"/>
    </row>
    <row r="28" spans="1:12" x14ac:dyDescent="0.25">
      <c r="A28" s="2">
        <v>365</v>
      </c>
      <c r="B28" s="2"/>
      <c r="C28" s="2" t="s">
        <v>28</v>
      </c>
      <c r="D28" s="2" t="s">
        <v>2</v>
      </c>
      <c r="E28" s="2">
        <v>1</v>
      </c>
      <c r="F28" s="2"/>
      <c r="G28" s="2"/>
      <c r="H28" s="2">
        <v>20000</v>
      </c>
      <c r="I28" s="4">
        <f t="shared" si="0"/>
        <v>20000</v>
      </c>
      <c r="J28" s="2"/>
      <c r="K28" s="2"/>
      <c r="L28" s="2"/>
    </row>
    <row r="29" spans="1:12" x14ac:dyDescent="0.25">
      <c r="A29" s="2">
        <v>366</v>
      </c>
      <c r="B29" s="2"/>
      <c r="C29" s="2" t="s">
        <v>29</v>
      </c>
      <c r="D29" s="2" t="s">
        <v>2</v>
      </c>
      <c r="E29" s="2">
        <v>1</v>
      </c>
      <c r="F29" s="2"/>
      <c r="G29" s="2"/>
      <c r="H29" s="2">
        <v>37000</v>
      </c>
      <c r="I29" s="4">
        <f t="shared" si="0"/>
        <v>37000</v>
      </c>
      <c r="J29" s="2"/>
      <c r="K29" s="2"/>
      <c r="L29" s="2"/>
    </row>
    <row r="30" spans="1:12" x14ac:dyDescent="0.25">
      <c r="A30" s="2">
        <v>367</v>
      </c>
      <c r="B30" s="2"/>
      <c r="C30" s="2" t="s">
        <v>30</v>
      </c>
      <c r="D30" s="2" t="s">
        <v>2</v>
      </c>
      <c r="E30" s="2">
        <v>1</v>
      </c>
      <c r="F30" s="2"/>
      <c r="G30" s="2"/>
      <c r="H30" s="2">
        <v>28600</v>
      </c>
      <c r="I30" s="4">
        <f t="shared" si="0"/>
        <v>28600</v>
      </c>
      <c r="J30" s="2"/>
      <c r="K30" s="2"/>
      <c r="L30" s="2"/>
    </row>
    <row r="31" spans="1:12" x14ac:dyDescent="0.25">
      <c r="A31" s="2" t="s">
        <v>31</v>
      </c>
      <c r="B31" s="2"/>
      <c r="C31" s="2"/>
      <c r="D31" s="2"/>
      <c r="E31" s="2"/>
      <c r="F31" s="2"/>
      <c r="G31" s="2"/>
      <c r="H31" s="2"/>
      <c r="I31" s="4">
        <f t="shared" si="0"/>
        <v>0</v>
      </c>
      <c r="J31" s="2"/>
      <c r="K31" s="2"/>
      <c r="L31" s="2"/>
    </row>
    <row r="32" spans="1:12" x14ac:dyDescent="0.25">
      <c r="A32" s="2">
        <v>399</v>
      </c>
      <c r="B32" s="2"/>
      <c r="C32" s="2" t="s">
        <v>32</v>
      </c>
      <c r="D32" s="2" t="s">
        <v>2</v>
      </c>
      <c r="E32" s="2">
        <v>17</v>
      </c>
      <c r="F32" s="2"/>
      <c r="G32" s="2"/>
      <c r="H32" s="3">
        <v>150000</v>
      </c>
      <c r="I32" s="4">
        <f t="shared" si="0"/>
        <v>2550000</v>
      </c>
      <c r="J32" s="2"/>
      <c r="K32" s="2"/>
      <c r="L32" s="2"/>
    </row>
    <row r="33" spans="1:12" x14ac:dyDescent="0.25">
      <c r="A33" s="2">
        <v>403</v>
      </c>
      <c r="B33" s="2"/>
      <c r="C33" s="2" t="s">
        <v>33</v>
      </c>
      <c r="D33" s="2" t="s">
        <v>2</v>
      </c>
      <c r="E33" s="2">
        <v>13</v>
      </c>
      <c r="F33" s="2"/>
      <c r="G33" s="2"/>
      <c r="H33" s="2">
        <v>12000</v>
      </c>
      <c r="I33" s="4">
        <f t="shared" si="0"/>
        <v>156000</v>
      </c>
      <c r="J33" s="2"/>
      <c r="K33" s="2"/>
      <c r="L33" s="2"/>
    </row>
    <row r="34" spans="1:12" x14ac:dyDescent="0.25">
      <c r="A34" s="2">
        <v>393</v>
      </c>
      <c r="B34" s="2"/>
      <c r="C34" s="2" t="s">
        <v>34</v>
      </c>
      <c r="D34" s="2" t="s">
        <v>2</v>
      </c>
      <c r="E34" s="2">
        <v>10</v>
      </c>
      <c r="F34" s="2"/>
      <c r="G34" s="2"/>
      <c r="H34" s="2">
        <v>25000</v>
      </c>
      <c r="I34" s="4">
        <f t="shared" si="0"/>
        <v>250000</v>
      </c>
      <c r="J34" s="2"/>
      <c r="K34" s="2"/>
      <c r="L34" s="2"/>
    </row>
    <row r="35" spans="1:12" x14ac:dyDescent="0.25">
      <c r="A35" s="2">
        <v>404</v>
      </c>
      <c r="B35" s="2"/>
      <c r="C35" s="2" t="s">
        <v>35</v>
      </c>
      <c r="D35" s="2" t="s">
        <v>2</v>
      </c>
      <c r="E35" s="2">
        <v>8</v>
      </c>
      <c r="F35" s="2"/>
      <c r="G35" s="2"/>
      <c r="H35" s="2">
        <v>18000</v>
      </c>
      <c r="I35" s="4">
        <f t="shared" si="0"/>
        <v>144000</v>
      </c>
      <c r="J35" s="2"/>
      <c r="K35" s="2"/>
      <c r="L35" s="2"/>
    </row>
    <row r="36" spans="1:12" x14ac:dyDescent="0.25">
      <c r="A36" s="2">
        <v>402</v>
      </c>
      <c r="B36" s="2"/>
      <c r="C36" s="2" t="s">
        <v>36</v>
      </c>
      <c r="D36" s="2" t="s">
        <v>2</v>
      </c>
      <c r="E36" s="2">
        <v>6</v>
      </c>
      <c r="F36" s="2"/>
      <c r="G36" s="2"/>
      <c r="H36" s="2">
        <v>10000</v>
      </c>
      <c r="I36" s="4">
        <f t="shared" si="0"/>
        <v>60000</v>
      </c>
      <c r="J36" s="2"/>
      <c r="K36" s="2"/>
      <c r="L36" s="2"/>
    </row>
    <row r="37" spans="1:12" x14ac:dyDescent="0.25">
      <c r="A37" s="2">
        <v>401</v>
      </c>
      <c r="B37" s="2"/>
      <c r="C37" s="2" t="s">
        <v>37</v>
      </c>
      <c r="D37" s="2" t="s">
        <v>2</v>
      </c>
      <c r="E37" s="2">
        <v>5</v>
      </c>
      <c r="F37" s="2"/>
      <c r="G37" s="2"/>
      <c r="H37" s="2">
        <v>34000</v>
      </c>
      <c r="I37" s="4">
        <f t="shared" si="0"/>
        <v>170000</v>
      </c>
      <c r="J37" s="2"/>
      <c r="K37" s="2"/>
      <c r="L37" s="2"/>
    </row>
    <row r="38" spans="1:12" x14ac:dyDescent="0.25">
      <c r="A38" s="2">
        <v>400</v>
      </c>
      <c r="B38" s="2"/>
      <c r="C38" s="2" t="s">
        <v>38</v>
      </c>
      <c r="D38" s="2" t="s">
        <v>2</v>
      </c>
      <c r="E38" s="2">
        <v>3</v>
      </c>
      <c r="F38" s="2"/>
      <c r="G38" s="2"/>
      <c r="H38" s="2">
        <v>150000</v>
      </c>
      <c r="I38" s="4">
        <f t="shared" si="0"/>
        <v>450000</v>
      </c>
      <c r="J38" s="2"/>
      <c r="K38" s="2"/>
      <c r="L38" s="2"/>
    </row>
    <row r="39" spans="1:12" x14ac:dyDescent="0.25">
      <c r="A39" s="2">
        <v>406</v>
      </c>
      <c r="B39" s="2"/>
      <c r="C39" s="2" t="s">
        <v>39</v>
      </c>
      <c r="D39" s="2" t="s">
        <v>2</v>
      </c>
      <c r="E39" s="2">
        <v>3</v>
      </c>
      <c r="F39" s="2"/>
      <c r="G39" s="2"/>
      <c r="H39" s="2">
        <v>18000</v>
      </c>
      <c r="I39" s="4">
        <f t="shared" si="0"/>
        <v>54000</v>
      </c>
      <c r="J39" s="2"/>
      <c r="K39" s="2"/>
      <c r="L39" s="2"/>
    </row>
    <row r="40" spans="1:12" x14ac:dyDescent="0.25">
      <c r="A40" s="2">
        <v>407</v>
      </c>
      <c r="B40" s="2"/>
      <c r="C40" s="2" t="s">
        <v>40</v>
      </c>
      <c r="D40" s="2" t="s">
        <v>2</v>
      </c>
      <c r="E40" s="2">
        <v>3</v>
      </c>
      <c r="F40" s="2"/>
      <c r="G40" s="2"/>
      <c r="H40" s="2">
        <v>17500</v>
      </c>
      <c r="I40" s="4">
        <f t="shared" si="0"/>
        <v>52500</v>
      </c>
      <c r="J40" s="2"/>
      <c r="K40" s="2"/>
      <c r="L40" s="2"/>
    </row>
    <row r="41" spans="1:12" x14ac:dyDescent="0.25">
      <c r="A41" s="2">
        <v>392</v>
      </c>
      <c r="B41" s="2"/>
      <c r="C41" s="2" t="s">
        <v>41</v>
      </c>
      <c r="D41" s="2" t="s">
        <v>2</v>
      </c>
      <c r="E41" s="2">
        <v>3</v>
      </c>
      <c r="F41" s="2"/>
      <c r="G41" s="2"/>
      <c r="H41" s="2">
        <v>18000</v>
      </c>
      <c r="I41" s="4">
        <f t="shared" si="0"/>
        <v>54000</v>
      </c>
      <c r="J41" s="2"/>
      <c r="K41" s="2"/>
      <c r="L41" s="2"/>
    </row>
    <row r="42" spans="1:12" x14ac:dyDescent="0.25">
      <c r="A42" s="2">
        <v>391</v>
      </c>
      <c r="B42" s="2"/>
      <c r="C42" s="2" t="s">
        <v>42</v>
      </c>
      <c r="D42" s="2" t="s">
        <v>2</v>
      </c>
      <c r="E42" s="2">
        <v>2</v>
      </c>
      <c r="F42" s="2"/>
      <c r="G42" s="2"/>
      <c r="H42" s="2">
        <v>17000</v>
      </c>
      <c r="I42" s="4">
        <f t="shared" si="0"/>
        <v>34000</v>
      </c>
      <c r="J42" s="2"/>
      <c r="K42" s="2"/>
      <c r="L42" s="2"/>
    </row>
    <row r="43" spans="1:12" x14ac:dyDescent="0.25">
      <c r="A43" s="2">
        <v>394</v>
      </c>
      <c r="B43" s="2"/>
      <c r="C43" s="2" t="s">
        <v>43</v>
      </c>
      <c r="D43" s="2" t="s">
        <v>2</v>
      </c>
      <c r="E43" s="2">
        <v>2</v>
      </c>
      <c r="F43" s="2"/>
      <c r="G43" s="2"/>
      <c r="H43" s="2">
        <v>20000</v>
      </c>
      <c r="I43" s="4">
        <f t="shared" si="0"/>
        <v>40000</v>
      </c>
      <c r="J43" s="2"/>
      <c r="K43" s="2"/>
      <c r="L43" s="2"/>
    </row>
    <row r="44" spans="1:12" x14ac:dyDescent="0.25">
      <c r="A44" s="2">
        <v>395</v>
      </c>
      <c r="B44" s="2"/>
      <c r="C44" s="2" t="s">
        <v>44</v>
      </c>
      <c r="D44" s="2" t="s">
        <v>2</v>
      </c>
      <c r="E44" s="2">
        <v>2</v>
      </c>
      <c r="F44" s="2"/>
      <c r="G44" s="2"/>
      <c r="H44" s="2">
        <v>20000</v>
      </c>
      <c r="I44" s="4">
        <f t="shared" si="0"/>
        <v>40000</v>
      </c>
      <c r="J44" s="2"/>
      <c r="K44" s="2"/>
      <c r="L44" s="2"/>
    </row>
    <row r="45" spans="1:12" x14ac:dyDescent="0.25">
      <c r="A45" s="2">
        <v>397</v>
      </c>
      <c r="B45" s="2"/>
      <c r="C45" s="2" t="s">
        <v>45</v>
      </c>
      <c r="D45" s="2" t="s">
        <v>2</v>
      </c>
      <c r="E45" s="2">
        <v>1</v>
      </c>
      <c r="F45" s="2"/>
      <c r="G45" s="2"/>
      <c r="H45" s="3">
        <v>18000</v>
      </c>
      <c r="I45" s="4">
        <f t="shared" si="0"/>
        <v>18000</v>
      </c>
      <c r="J45" s="2"/>
      <c r="K45" s="2"/>
      <c r="L45" s="2"/>
    </row>
    <row r="46" spans="1:12" x14ac:dyDescent="0.25">
      <c r="A46" s="2">
        <v>398</v>
      </c>
      <c r="B46" s="2"/>
      <c r="C46" s="2" t="s">
        <v>46</v>
      </c>
      <c r="D46" s="2" t="s">
        <v>2</v>
      </c>
      <c r="E46" s="2">
        <v>1</v>
      </c>
      <c r="F46" s="2"/>
      <c r="G46" s="2"/>
      <c r="H46" s="3">
        <v>22000</v>
      </c>
      <c r="I46" s="4">
        <f t="shared" si="0"/>
        <v>22000</v>
      </c>
      <c r="J46" s="2"/>
      <c r="K46" s="2"/>
      <c r="L46" s="2"/>
    </row>
    <row r="47" spans="1:12" x14ac:dyDescent="0.25">
      <c r="A47" s="2">
        <v>405</v>
      </c>
      <c r="B47" s="2"/>
      <c r="C47" s="2" t="s">
        <v>47</v>
      </c>
      <c r="D47" s="2" t="s">
        <v>2</v>
      </c>
      <c r="E47" s="2">
        <v>1</v>
      </c>
      <c r="F47" s="2"/>
      <c r="G47" s="2"/>
      <c r="H47" s="2">
        <v>18000</v>
      </c>
      <c r="I47" s="4">
        <f t="shared" si="0"/>
        <v>18000</v>
      </c>
      <c r="J47" s="2"/>
      <c r="K47" s="2"/>
      <c r="L47" s="2"/>
    </row>
    <row r="48" spans="1:12" x14ac:dyDescent="0.25">
      <c r="A48" s="2">
        <v>390</v>
      </c>
      <c r="B48" s="2"/>
      <c r="C48" s="2" t="s">
        <v>48</v>
      </c>
      <c r="D48" s="2" t="s">
        <v>2</v>
      </c>
      <c r="E48" s="2">
        <v>1</v>
      </c>
      <c r="F48" s="2"/>
      <c r="G48" s="2"/>
      <c r="H48" s="2">
        <v>20000</v>
      </c>
      <c r="I48" s="4">
        <f t="shared" si="0"/>
        <v>20000</v>
      </c>
      <c r="J48" s="2"/>
      <c r="K48" s="2"/>
      <c r="L48" s="2"/>
    </row>
    <row r="49" spans="1:12" x14ac:dyDescent="0.25">
      <c r="A49" s="2">
        <v>396</v>
      </c>
      <c r="B49" s="2"/>
      <c r="C49" s="2" t="s">
        <v>49</v>
      </c>
      <c r="D49" s="2" t="s">
        <v>2</v>
      </c>
      <c r="E49" s="2">
        <v>1</v>
      </c>
      <c r="F49" s="2"/>
      <c r="G49" s="2"/>
      <c r="H49" s="2">
        <v>25000</v>
      </c>
      <c r="I49" s="4">
        <f t="shared" si="0"/>
        <v>25000</v>
      </c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4">
        <f t="shared" si="0"/>
        <v>0</v>
      </c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4">
        <f t="shared" si="0"/>
        <v>0</v>
      </c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1" t="s">
        <v>52</v>
      </c>
      <c r="I52" s="6">
        <f>SUM(I3:I51)</f>
        <v>9385550</v>
      </c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4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4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4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4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4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4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4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4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4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4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4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4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4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4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4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4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4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4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4"/>
      <c r="J72" s="2"/>
      <c r="K72" s="2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4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4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4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4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4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4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4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4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4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4"/>
      <c r="J82" s="2"/>
      <c r="K82" s="2"/>
      <c r="L8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Склад 1А, 1Б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2025-06-16T05:40:56Z</dcterms:modified>
</cp:coreProperties>
</file>
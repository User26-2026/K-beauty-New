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\Desktop\склад\"/>
    </mc:Choice>
  </mc:AlternateContent>
  <xr:revisionPtr revIDLastSave="0" documentId="13_ncr:1_{468493D6-8F38-4140-A260-267FBBF6781A}" xr6:coauthVersionLast="47" xr6:coauthVersionMax="47" xr10:uidLastSave="{00000000-0000-0000-0000-000000000000}"/>
  <bookViews>
    <workbookView xWindow="-28920" yWindow="-75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3" i="1"/>
  <c r="H16" i="1" l="1"/>
</calcChain>
</file>

<file path=xl/sharedStrings.xml><?xml version="1.0" encoding="utf-8"?>
<sst xmlns="http://schemas.openxmlformats.org/spreadsheetml/2006/main" count="46" uniqueCount="34">
  <si>
    <t>Судовое оборудование/Гараж 2</t>
  </si>
  <si>
    <t>00357</t>
  </si>
  <si>
    <t>иллюминатор б/у д. 300, 350</t>
  </si>
  <si>
    <t>шт</t>
  </si>
  <si>
    <t>00361</t>
  </si>
  <si>
    <t>Дверь легкая 1750*650 левая без иллюминатора</t>
  </si>
  <si>
    <t>00360</t>
  </si>
  <si>
    <t>Дверь легкая 1750*650 левая с иллюминатором</t>
  </si>
  <si>
    <t>00359</t>
  </si>
  <si>
    <t>Дверь ВГН 1400*600 КИТАЙ правая</t>
  </si>
  <si>
    <t>00358</t>
  </si>
  <si>
    <t>Дверь ВГН 1400*600 КИТАЙ левая</t>
  </si>
  <si>
    <t>00354</t>
  </si>
  <si>
    <t>Весы для ЛБАШ ( похоже на вентиляцию )</t>
  </si>
  <si>
    <t>00353</t>
  </si>
  <si>
    <t>Насос</t>
  </si>
  <si>
    <t>00349</t>
  </si>
  <si>
    <t>Плита камбузная ПКЭ-300-ОМ4 3-220V; 25,2kw ;№672; 460кг; 11/91г</t>
  </si>
  <si>
    <t>600 000,00 с комплектом посуды ; 480 000 р - без посуды</t>
  </si>
  <si>
    <t>00350</t>
  </si>
  <si>
    <t xml:space="preserve">600 000,00 р с комплектом посуды ; 480 000 р - без посуды </t>
  </si>
  <si>
    <t>00351</t>
  </si>
  <si>
    <t>Насос ЭСН-11А   пост. 175/320В, 9,6/19,5кВт, 2400/3750 об/м</t>
  </si>
  <si>
    <t>00352</t>
  </si>
  <si>
    <t>Компрессор 2ОК1 синий</t>
  </si>
  <si>
    <t>00355</t>
  </si>
  <si>
    <t xml:space="preserve">Электропривод к задвижке </t>
  </si>
  <si>
    <t>00356</t>
  </si>
  <si>
    <t>Ротор  ?</t>
  </si>
  <si>
    <t xml:space="preserve">ИТОГО : </t>
  </si>
  <si>
    <t xml:space="preserve">Цена </t>
  </si>
  <si>
    <t xml:space="preserve">Сумма </t>
  </si>
  <si>
    <t xml:space="preserve">нет в наличии отгружено </t>
  </si>
  <si>
    <r>
      <t>Плита камбузная ПКЭ-300-ОМ4 3-</t>
    </r>
    <r>
      <rPr>
        <b/>
        <sz val="8"/>
        <rFont val="Arial"/>
        <family val="2"/>
        <charset val="204"/>
      </rPr>
      <t>127V;</t>
    </r>
    <r>
      <rPr>
        <sz val="8"/>
        <rFont val="Arial"/>
        <family val="2"/>
        <charset val="1"/>
      </rPr>
      <t xml:space="preserve"> 25,2kw ;№1108; 460кг; 04/92г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</si>
</sst>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name val="Arial"/>
      <family val="2"/>
      <charset val="1"/>
    </font>
    <font>
      <b/>
      <i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Protection="0">
      <alignment horizontal="center"/>
    </xf>
  </cellStyleXfs>
  <cellXfs count="24">
    <xf numFmtId="0" fontId="0" fillId="0" borderId="0" xfId="0"/>
    <xf numFmtId="0" fontId="1" fillId="0" borderId="0" xfId="1"/>
    <xf numFmtId="0" fontId="2" fillId="0" borderId="0" xfId="1" applyFont="1"/>
    <xf numFmtId="0" fontId="4" fillId="0" borderId="0" xfId="1" applyFont="1"/>
    <xf numFmtId="4" fontId="2" fillId="0" borderId="0" xfId="1" applyNumberFormat="1" applyFont="1"/>
    <xf numFmtId="0" fontId="3" fillId="2" borderId="1" xfId="1" applyFont="1" applyFill="1" applyBorder="1"/>
    <xf numFmtId="0" fontId="2" fillId="3" borderId="1" xfId="1" applyFont="1" applyFill="1" applyBorder="1"/>
    <xf numFmtId="4" fontId="2" fillId="3" borderId="2" xfId="1" applyNumberFormat="1" applyFont="1" applyFill="1" applyBorder="1"/>
    <xf numFmtId="0" fontId="4" fillId="2" borderId="3" xfId="1" applyFont="1" applyFill="1" applyBorder="1"/>
    <xf numFmtId="0" fontId="2" fillId="3" borderId="3" xfId="1" applyFont="1" applyFill="1" applyBorder="1"/>
    <xf numFmtId="0" fontId="4" fillId="2" borderId="2" xfId="1" applyFont="1" applyFill="1" applyBorder="1"/>
    <xf numFmtId="0" fontId="0" fillId="3" borderId="2" xfId="0" applyFill="1" applyBorder="1"/>
    <xf numFmtId="14" fontId="4" fillId="2" borderId="2" xfId="1" applyNumberFormat="1" applyFont="1" applyFill="1" applyBorder="1"/>
    <xf numFmtId="4" fontId="4" fillId="2" borderId="2" xfId="1" applyNumberFormat="1" applyFont="1" applyFill="1" applyBorder="1"/>
    <xf numFmtId="0" fontId="2" fillId="3" borderId="2" xfId="1" applyFont="1" applyFill="1" applyBorder="1"/>
    <xf numFmtId="3" fontId="2" fillId="3" borderId="2" xfId="1" applyNumberFormat="1" applyFont="1" applyFill="1" applyBorder="1"/>
    <xf numFmtId="0" fontId="0" fillId="0" borderId="2" xfId="0" applyBorder="1"/>
    <xf numFmtId="0" fontId="5" fillId="0" borderId="2" xfId="0" applyFont="1" applyBorder="1"/>
    <xf numFmtId="4" fontId="5" fillId="0" borderId="2" xfId="0" applyNumberFormat="1" applyFont="1" applyBorder="1"/>
    <xf numFmtId="0" fontId="0" fillId="0" borderId="0" xfId="0" applyAlignment="1">
      <alignment wrapText="1"/>
    </xf>
    <xf numFmtId="14" fontId="4" fillId="2" borderId="2" xfId="1" applyNumberFormat="1" applyFont="1" applyFill="1" applyBorder="1" applyAlignment="1">
      <alignment wrapText="1"/>
    </xf>
    <xf numFmtId="3" fontId="2" fillId="3" borderId="2" xfId="1" applyNumberFormat="1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5" fillId="0" borderId="0" xfId="0" applyFont="1" applyAlignment="1">
      <alignment wrapText="1"/>
    </xf>
  </cellXfs>
  <cellStyles count="3">
    <cellStyle name="Excel_BuiltIn_Заголовок 1 1" xfId="2" xr:uid="{00000000-0005-0000-0000-000000000000}"/>
    <cellStyle name="Обычный" xfId="0" builtinId="0"/>
    <cellStyle name="Обычный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C34" sqref="C34"/>
    </sheetView>
  </sheetViews>
  <sheetFormatPr defaultRowHeight="15" x14ac:dyDescent="0.25"/>
  <cols>
    <col min="3" max="3" width="58.28515625" customWidth="1"/>
    <col min="5" max="5" width="10.140625" bestFit="1" customWidth="1"/>
    <col min="6" max="6" width="14.7109375" style="19" customWidth="1"/>
    <col min="8" max="8" width="16.7109375" customWidth="1"/>
  </cols>
  <sheetData>
    <row r="1" spans="1:9" ht="30" x14ac:dyDescent="0.25">
      <c r="F1" s="23" t="s">
        <v>32</v>
      </c>
    </row>
    <row r="2" spans="1:9" x14ac:dyDescent="0.25">
      <c r="A2" s="5" t="s">
        <v>0</v>
      </c>
      <c r="B2" s="8"/>
      <c r="C2" s="10"/>
      <c r="D2" s="11"/>
      <c r="E2" s="12">
        <v>45162</v>
      </c>
      <c r="F2" s="20">
        <v>45824</v>
      </c>
      <c r="G2" s="13" t="s">
        <v>30</v>
      </c>
      <c r="H2" s="13" t="s">
        <v>31</v>
      </c>
      <c r="I2" s="3"/>
    </row>
    <row r="3" spans="1:9" x14ac:dyDescent="0.25">
      <c r="A3" s="6" t="s">
        <v>1</v>
      </c>
      <c r="B3" s="9"/>
      <c r="C3" s="14" t="s">
        <v>2</v>
      </c>
      <c r="D3" s="14" t="s">
        <v>3</v>
      </c>
      <c r="E3" s="15">
        <v>27</v>
      </c>
      <c r="F3" s="21"/>
      <c r="G3" s="7">
        <v>20000</v>
      </c>
      <c r="H3" s="7">
        <f>PRODUCT(E3*G3)</f>
        <v>540000</v>
      </c>
      <c r="I3" s="1"/>
    </row>
    <row r="4" spans="1:9" x14ac:dyDescent="0.25">
      <c r="A4" s="6" t="s">
        <v>4</v>
      </c>
      <c r="B4" s="9"/>
      <c r="C4" s="14" t="s">
        <v>5</v>
      </c>
      <c r="D4" s="14" t="s">
        <v>3</v>
      </c>
      <c r="E4" s="15">
        <v>23</v>
      </c>
      <c r="F4" s="21"/>
      <c r="G4" s="7">
        <v>30000</v>
      </c>
      <c r="H4" s="7">
        <f>PRODUCT(E4*G4)</f>
        <v>690000</v>
      </c>
      <c r="I4" s="1"/>
    </row>
    <row r="5" spans="1:9" x14ac:dyDescent="0.25">
      <c r="A5" s="6" t="s">
        <v>6</v>
      </c>
      <c r="B5" s="9"/>
      <c r="C5" s="14" t="s">
        <v>7</v>
      </c>
      <c r="D5" s="14" t="s">
        <v>3</v>
      </c>
      <c r="E5" s="15">
        <v>13</v>
      </c>
      <c r="F5" s="21"/>
      <c r="G5" s="7">
        <v>30000</v>
      </c>
      <c r="H5" s="7">
        <f>PRODUCT(E5*G5)</f>
        <v>390000</v>
      </c>
      <c r="I5" s="1"/>
    </row>
    <row r="6" spans="1:9" x14ac:dyDescent="0.25">
      <c r="A6" s="6" t="s">
        <v>8</v>
      </c>
      <c r="B6" s="9"/>
      <c r="C6" s="14" t="s">
        <v>9</v>
      </c>
      <c r="D6" s="14" t="s">
        <v>3</v>
      </c>
      <c r="E6" s="15">
        <v>5</v>
      </c>
      <c r="F6" s="21"/>
      <c r="G6" s="7">
        <v>70000</v>
      </c>
      <c r="H6" s="7">
        <f>PRODUCT(E6*G6)</f>
        <v>350000</v>
      </c>
      <c r="I6" s="1"/>
    </row>
    <row r="7" spans="1:9" x14ac:dyDescent="0.25">
      <c r="A7" s="6" t="s">
        <v>10</v>
      </c>
      <c r="B7" s="9"/>
      <c r="C7" s="14" t="s">
        <v>11</v>
      </c>
      <c r="D7" s="14" t="s">
        <v>3</v>
      </c>
      <c r="E7" s="15">
        <v>4</v>
      </c>
      <c r="F7" s="21"/>
      <c r="G7" s="7">
        <v>70000</v>
      </c>
      <c r="H7" s="7">
        <f>PRODUCT(E7*G7)</f>
        <v>280000</v>
      </c>
      <c r="I7" s="1"/>
    </row>
    <row r="8" spans="1:9" x14ac:dyDescent="0.25">
      <c r="A8" s="6" t="s">
        <v>12</v>
      </c>
      <c r="B8" s="9"/>
      <c r="C8" s="14" t="s">
        <v>13</v>
      </c>
      <c r="D8" s="14" t="s">
        <v>3</v>
      </c>
      <c r="E8" s="15">
        <v>4</v>
      </c>
      <c r="F8" s="21"/>
      <c r="G8" s="7">
        <v>100000</v>
      </c>
      <c r="H8" s="7">
        <f>PRODUCT(E8*G8)</f>
        <v>400000</v>
      </c>
      <c r="I8" s="1"/>
    </row>
    <row r="9" spans="1:9" x14ac:dyDescent="0.25">
      <c r="A9" s="6" t="s">
        <v>14</v>
      </c>
      <c r="B9" s="9"/>
      <c r="C9" s="14" t="s">
        <v>15</v>
      </c>
      <c r="D9" s="14" t="s">
        <v>3</v>
      </c>
      <c r="E9" s="15">
        <v>2</v>
      </c>
      <c r="F9" s="21"/>
      <c r="G9" s="7">
        <v>50000</v>
      </c>
      <c r="H9" s="7">
        <f>PRODUCT(E9*G9)</f>
        <v>100000</v>
      </c>
      <c r="I9" s="1"/>
    </row>
    <row r="10" spans="1:9" x14ac:dyDescent="0.25">
      <c r="A10" s="6" t="s">
        <v>16</v>
      </c>
      <c r="B10" s="9"/>
      <c r="C10" s="14" t="s">
        <v>17</v>
      </c>
      <c r="D10" s="14" t="s">
        <v>3</v>
      </c>
      <c r="E10" s="15">
        <v>1</v>
      </c>
      <c r="F10" s="21">
        <v>0</v>
      </c>
      <c r="G10" s="7">
        <v>480000</v>
      </c>
      <c r="H10" s="7">
        <f>PRODUCT(E10*G10)</f>
        <v>480000</v>
      </c>
      <c r="I10" s="4" t="s">
        <v>18</v>
      </c>
    </row>
    <row r="11" spans="1:9" x14ac:dyDescent="0.25">
      <c r="A11" s="6" t="s">
        <v>19</v>
      </c>
      <c r="B11" s="9"/>
      <c r="C11" s="14" t="s">
        <v>33</v>
      </c>
      <c r="D11" s="14" t="s">
        <v>3</v>
      </c>
      <c r="E11" s="15">
        <v>1</v>
      </c>
      <c r="F11" s="21"/>
      <c r="G11" s="7">
        <v>480000</v>
      </c>
      <c r="H11" s="7">
        <f>PRODUCT(E11*G11)</f>
        <v>480000</v>
      </c>
      <c r="I11" s="2" t="s">
        <v>20</v>
      </c>
    </row>
    <row r="12" spans="1:9" x14ac:dyDescent="0.25">
      <c r="A12" s="6" t="s">
        <v>21</v>
      </c>
      <c r="B12" s="9"/>
      <c r="C12" s="14" t="s">
        <v>22</v>
      </c>
      <c r="D12" s="14" t="s">
        <v>3</v>
      </c>
      <c r="E12" s="15">
        <v>1</v>
      </c>
      <c r="F12" s="21"/>
      <c r="G12" s="7">
        <v>200000</v>
      </c>
      <c r="H12" s="7">
        <f>PRODUCT(E12*G12)</f>
        <v>200000</v>
      </c>
      <c r="I12" s="1"/>
    </row>
    <row r="13" spans="1:9" x14ac:dyDescent="0.25">
      <c r="A13" s="6" t="s">
        <v>23</v>
      </c>
      <c r="B13" s="9"/>
      <c r="C13" s="14" t="s">
        <v>24</v>
      </c>
      <c r="D13" s="14" t="s">
        <v>3</v>
      </c>
      <c r="E13" s="15">
        <v>1</v>
      </c>
      <c r="F13" s="21"/>
      <c r="G13" s="7">
        <v>450000</v>
      </c>
      <c r="H13" s="7">
        <f>PRODUCT(E13*G13)</f>
        <v>450000</v>
      </c>
      <c r="I13" s="1"/>
    </row>
    <row r="14" spans="1:9" x14ac:dyDescent="0.25">
      <c r="A14" s="6" t="s">
        <v>25</v>
      </c>
      <c r="B14" s="9"/>
      <c r="C14" s="14" t="s">
        <v>26</v>
      </c>
      <c r="D14" s="14" t="s">
        <v>3</v>
      </c>
      <c r="E14" s="15">
        <v>1</v>
      </c>
      <c r="F14" s="21"/>
      <c r="G14" s="7">
        <v>50000</v>
      </c>
      <c r="H14" s="7">
        <f>PRODUCT(E14*G14)</f>
        <v>50000</v>
      </c>
      <c r="I14" s="1"/>
    </row>
    <row r="15" spans="1:9" x14ac:dyDescent="0.25">
      <c r="A15" s="6" t="s">
        <v>27</v>
      </c>
      <c r="B15" s="9"/>
      <c r="C15" s="14" t="s">
        <v>28</v>
      </c>
      <c r="D15" s="14" t="s">
        <v>3</v>
      </c>
      <c r="E15" s="15">
        <v>1</v>
      </c>
      <c r="F15" s="21"/>
      <c r="G15" s="7">
        <v>200000</v>
      </c>
      <c r="H15" s="7">
        <f>PRODUCT(E15*G15)</f>
        <v>200000</v>
      </c>
      <c r="I15" s="1"/>
    </row>
    <row r="16" spans="1:9" x14ac:dyDescent="0.25">
      <c r="C16" s="16"/>
      <c r="D16" s="16"/>
      <c r="E16" s="16"/>
      <c r="F16" s="22"/>
      <c r="G16" s="17" t="s">
        <v>29</v>
      </c>
      <c r="H16" s="18">
        <f>SUM(H3:H15)</f>
        <v>4610000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DEXP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U1</cp:lastModifiedBy>
  <dcterms:created xsi:type="dcterms:W3CDTF">2023-08-24T07:54:06Z</dcterms:created>
  <dcterms:modified xsi:type="dcterms:W3CDTF">2025-06-16T05:33:52Z</dcterms:modified>
</cp:coreProperties>
</file>
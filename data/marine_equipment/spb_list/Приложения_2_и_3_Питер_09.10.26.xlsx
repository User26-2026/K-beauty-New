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Антон\Downloads\"/>
    </mc:Choice>
  </mc:AlternateContent>
  <xr:revisionPtr revIDLastSave="0" documentId="13_ncr:1_{42E2E9EA-A2F1-459E-8E96-35DE4CAC290E}" xr6:coauthVersionLast="47" xr6:coauthVersionMax="47" xr10:uidLastSave="{00000000-0000-0000-0000-000000000000}"/>
  <bookViews>
    <workbookView xWindow="-108" yWindow="-108" windowWidth="23256" windowHeight="14016" activeTab="2" xr2:uid="{00000000-000D-0000-FFFF-FFFF00000000}"/>
  </bookViews>
  <sheets>
    <sheet name="Приложение № 2 (ПИТЕР)" sheetId="1" r:id="rId1"/>
    <sheet name="Приложение №3 (Питер)" sheetId="2" r:id="rId2"/>
    <sheet name="нет в списках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8" i="3" l="1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H40" i="2"/>
  <c r="H39" i="2"/>
  <c r="H38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85" i="1"/>
  <c r="H83" i="1"/>
  <c r="H81" i="1"/>
  <c r="H80" i="1"/>
  <c r="H79" i="1"/>
  <c r="H78" i="1"/>
  <c r="H77" i="1"/>
  <c r="H76" i="1"/>
  <c r="H75" i="1"/>
  <c r="H74" i="1"/>
  <c r="H73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<sst xmlns="http://schemas.openxmlformats.org/spreadsheetml/2006/main" count="554" uniqueCount="319">
  <si>
    <t>№</t>
  </si>
  <si>
    <t>Наименование</t>
  </si>
  <si>
    <t>Обозначение</t>
  </si>
  <si>
    <t xml:space="preserve">состояние </t>
  </si>
  <si>
    <t xml:space="preserve">вес кг  ,1 шт </t>
  </si>
  <si>
    <t xml:space="preserve">Кол-во по приложению </t>
  </si>
  <si>
    <t xml:space="preserve">Кол-во факт </t>
  </si>
  <si>
    <t xml:space="preserve">общий вес </t>
  </si>
  <si>
    <t xml:space="preserve">примечание </t>
  </si>
  <si>
    <t>Захлопка фланцевая вертикальная Ду50Ру63</t>
  </si>
  <si>
    <t>529-35.1400-01</t>
  </si>
  <si>
    <t xml:space="preserve">б/у </t>
  </si>
  <si>
    <t>Захлопка фланцевая проходная Ду100Ру6,3</t>
  </si>
  <si>
    <t>529-35.1406-01</t>
  </si>
  <si>
    <t>Захлопка фланцевая горизон. Ду100 Ру10</t>
  </si>
  <si>
    <t>529-03.074</t>
  </si>
  <si>
    <r>
      <rPr>
        <sz val="11"/>
        <color rgb="FF000000"/>
        <rFont val="Times New Roman"/>
        <charset val="134"/>
      </rPr>
      <t>Захлопка фланцевая угловая Ду100Ру</t>
    </r>
    <r>
      <rPr>
        <sz val="11"/>
        <color rgb="FFFF0000"/>
        <rFont val="Times New Roman"/>
        <charset val="134"/>
      </rPr>
      <t>6,3</t>
    </r>
  </si>
  <si>
    <t>529-35-1405-01</t>
  </si>
  <si>
    <r>
      <rPr>
        <sz val="11"/>
        <color rgb="FF000000"/>
        <rFont val="Times New Roman"/>
        <charset val="134"/>
      </rPr>
      <t xml:space="preserve">Клапан фланцевый проходной Ду125 </t>
    </r>
    <r>
      <rPr>
        <sz val="11"/>
        <color rgb="FFFF0000"/>
        <rFont val="Times New Roman"/>
        <charset val="134"/>
      </rPr>
      <t>Ру 10</t>
    </r>
  </si>
  <si>
    <t>521-35.3455-02</t>
  </si>
  <si>
    <t>б/у</t>
  </si>
  <si>
    <t>Клапан фланцевый проходной Ду125 Ру 10</t>
  </si>
  <si>
    <t>521-03.491</t>
  </si>
  <si>
    <t xml:space="preserve">без чертежа </t>
  </si>
  <si>
    <t>Клапан штуцерный проходной Ду 10 Ру400</t>
  </si>
  <si>
    <t>521-35.3238</t>
  </si>
  <si>
    <t>новый</t>
  </si>
  <si>
    <t>Клапан педальный Ду25</t>
  </si>
  <si>
    <t>М528-03.001</t>
  </si>
  <si>
    <t>Клапан педальный Ду25 новый приход</t>
  </si>
  <si>
    <t>Клапан угловой с присоединением под дюрит Ду50Ру4</t>
  </si>
  <si>
    <t>521-03.445-04</t>
  </si>
  <si>
    <t>Клапан невозв-запорн.с присоед.под дюрит прох. Ду 50 Ру6</t>
  </si>
  <si>
    <t>522-03.124-04</t>
  </si>
  <si>
    <t>Клапан фланцевый проходной титановые Ду50Ру10</t>
  </si>
  <si>
    <t>521-182.110</t>
  </si>
  <si>
    <t>Клапан фланцевый проходной титановые Ду100Ру10</t>
  </si>
  <si>
    <t>521-182.116</t>
  </si>
  <si>
    <r>
      <rPr>
        <sz val="11"/>
        <color rgb="FF000000"/>
        <rFont val="Times New Roman"/>
        <charset val="134"/>
      </rPr>
      <t xml:space="preserve">Клапан невозв-запор.цапковый угловой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под дюрит Ду20Ру6</t>
    </r>
  </si>
  <si>
    <t>522-03.123</t>
  </si>
  <si>
    <t>(Кнопка)Клапан самозакрывающий проходной муфтовый Ду15Ру3</t>
  </si>
  <si>
    <t>528-35.176</t>
  </si>
  <si>
    <t>Клапан штуцерный угловой Ду10 Р160</t>
  </si>
  <si>
    <t>522-03.149</t>
  </si>
  <si>
    <t>Клапан штуцерный угловой Ду20 Ру160</t>
  </si>
  <si>
    <t>521-03.479</t>
  </si>
  <si>
    <t>Клапан штуцерный угловой Ду20 Ру100</t>
  </si>
  <si>
    <t>521-01.468-05</t>
  </si>
  <si>
    <t>Клапан штуцерный угловой Ду32Ру100</t>
  </si>
  <si>
    <t>521-01.468-07</t>
  </si>
  <si>
    <t>521-01.464-07</t>
  </si>
  <si>
    <t>521-01.464-06</t>
  </si>
  <si>
    <t>522-01.500-07</t>
  </si>
  <si>
    <t>Клапан штуцерный угловой Рр150/10</t>
  </si>
  <si>
    <t>521-ц22п</t>
  </si>
  <si>
    <r>
      <rPr>
        <sz val="11"/>
        <color rgb="FF000000"/>
        <rFont val="Times New Roman"/>
        <charset val="134"/>
      </rPr>
      <t xml:space="preserve">Клапан штуцерный угловой Ду </t>
    </r>
    <r>
      <rPr>
        <sz val="11"/>
        <color rgb="FFFF0000"/>
        <rFont val="Times New Roman"/>
        <charset val="134"/>
      </rPr>
      <t>15</t>
    </r>
  </si>
  <si>
    <t>521--01.468-08</t>
  </si>
  <si>
    <r>
      <rPr>
        <sz val="11"/>
        <color rgb="FF000000"/>
        <rFont val="Times New Roman"/>
        <charset val="134"/>
      </rPr>
      <t xml:space="preserve">Клапан штуцерный угловой Ду 15 </t>
    </r>
    <r>
      <rPr>
        <strike/>
        <sz val="11"/>
        <color rgb="FF000000"/>
        <rFont val="Times New Roman"/>
        <charset val="134"/>
      </rPr>
      <t>НЕРЖ</t>
    </r>
  </si>
  <si>
    <r>
      <rPr>
        <sz val="11"/>
        <color rgb="FF000000"/>
        <rFont val="Times New Roman"/>
        <charset val="134"/>
      </rPr>
      <t>521-03.47</t>
    </r>
    <r>
      <rPr>
        <sz val="11"/>
        <color rgb="FFFF0000"/>
        <rFont val="Times New Roman"/>
        <charset val="134"/>
      </rPr>
      <t>8</t>
    </r>
    <r>
      <rPr>
        <sz val="11"/>
        <color rgb="FF000000"/>
        <rFont val="Times New Roman"/>
        <charset val="134"/>
      </rPr>
      <t>-01</t>
    </r>
  </si>
  <si>
    <r>
      <rPr>
        <sz val="11"/>
        <color rgb="FF000000"/>
        <rFont val="Times New Roman"/>
        <charset val="134"/>
      </rPr>
      <t>Клапан штуцерный угловой Ду25</t>
    </r>
    <r>
      <rPr>
        <sz val="11"/>
        <color rgb="FFFF0000"/>
        <rFont val="Times New Roman"/>
        <charset val="134"/>
      </rPr>
      <t xml:space="preserve"> Ру 100</t>
    </r>
    <r>
      <rPr>
        <sz val="11"/>
        <color rgb="FF000000"/>
        <rFont val="Times New Roman"/>
        <charset val="134"/>
      </rPr>
      <t xml:space="preserve"> </t>
    </r>
  </si>
  <si>
    <t>521--35.3363</t>
  </si>
  <si>
    <t>Клапан редукционный штуцерный угловой Ду10Ру200…30 с манометром</t>
  </si>
  <si>
    <t>525-35.2634</t>
  </si>
  <si>
    <t>б/у?</t>
  </si>
  <si>
    <t>525-35.2634-04</t>
  </si>
  <si>
    <r>
      <rPr>
        <sz val="11"/>
        <color rgb="FF000000"/>
        <rFont val="Times New Roman"/>
        <charset val="134"/>
      </rPr>
      <t xml:space="preserve">Клапан для манометра штущерный сальниковый Ду6 Ру100 новый                                                                                                       </t>
    </r>
    <r>
      <rPr>
        <sz val="11"/>
        <color rgb="FFFF0000"/>
        <rFont val="Times New Roman"/>
        <charset val="134"/>
      </rPr>
      <t xml:space="preserve">(521-35.3434 -8 шт , 521-02.013 -86 шт , 521-35.3434-04 -30 шт) </t>
    </r>
  </si>
  <si>
    <t>521-02.013</t>
  </si>
  <si>
    <t xml:space="preserve">новый </t>
  </si>
  <si>
    <t>отгружено 29.09.26</t>
  </si>
  <si>
    <t>Клапан редукционный штуц.проход.односедельный Ду20Ру400 у входа</t>
  </si>
  <si>
    <t>525-03.044</t>
  </si>
  <si>
    <t>новый ?</t>
  </si>
  <si>
    <t xml:space="preserve">еще раз посчитать </t>
  </si>
  <si>
    <t>Клапан с электромагнитным ручным управлением Ду20/10 перем. 220В</t>
  </si>
  <si>
    <t>587-35.8490-04</t>
  </si>
  <si>
    <r>
      <rPr>
        <sz val="11"/>
        <color rgb="FF000000"/>
        <rFont val="Times New Roman"/>
        <charset val="134"/>
      </rPr>
      <t xml:space="preserve">Клапан муфтовый проходной запорный Ду25Ру16                             </t>
    </r>
    <r>
      <rPr>
        <sz val="11"/>
        <color rgb="FFFF0000"/>
        <rFont val="Times New Roman"/>
        <charset val="134"/>
      </rPr>
      <t xml:space="preserve">(Ду25Ру16 -1 шт ; Ду25Ру10 -1шт ) </t>
    </r>
  </si>
  <si>
    <t>521-03.124</t>
  </si>
  <si>
    <t>Клапан предохранительный штуцерный сигнальный Ду6 Ру100-230</t>
  </si>
  <si>
    <t>524-35.2423-01</t>
  </si>
  <si>
    <t>Клапан предохранительный штуцерный сигнальный Ду10Ру1,3-6,5</t>
  </si>
  <si>
    <t>524-03.174</t>
  </si>
  <si>
    <t>Клапан предохранительный штуцерный сигнальный Ду10Ру2,5-6,5</t>
  </si>
  <si>
    <t>524-03.173</t>
  </si>
  <si>
    <t>Клапан пусковой Ду20Ру125</t>
  </si>
  <si>
    <t>587-03.080</t>
  </si>
  <si>
    <t>Клапан пусковой Ду32Ру125</t>
  </si>
  <si>
    <t>587-03.082</t>
  </si>
  <si>
    <t>Клапан паровой Ду65Ру10</t>
  </si>
  <si>
    <t>581-03.034</t>
  </si>
  <si>
    <t>новый?</t>
  </si>
  <si>
    <t>Коробка 3-х клап.фланцевая Ду50</t>
  </si>
  <si>
    <t xml:space="preserve">перепроверить </t>
  </si>
  <si>
    <t>Коробка 3-х клап.фланцевая Ду80</t>
  </si>
  <si>
    <t>Коробка 3-х клап.фланцевая Ду100</t>
  </si>
  <si>
    <t>Коробка 2-х клапановая фланцевая Ду50</t>
  </si>
  <si>
    <t>Коробка 2-х клапановая фланцевая Ду80</t>
  </si>
  <si>
    <t>Фильтр фланц.прох. забортной воды Ду100 Ру4</t>
  </si>
  <si>
    <t>427-03-109-2</t>
  </si>
  <si>
    <t>Кран штуцерный спусковой самозапорный проходной Ду15 Ру25</t>
  </si>
  <si>
    <t>Кран штуцерный спусковой самозапорный проходной Ду20 Ру10</t>
  </si>
  <si>
    <t>528-3М129</t>
  </si>
  <si>
    <t>Кран трехходовой штуцерный Ду32 Ру10</t>
  </si>
  <si>
    <t>536-35.696</t>
  </si>
  <si>
    <t>Кран трехходовой штуцерный Ду20 Ру16</t>
  </si>
  <si>
    <t>536-35.695</t>
  </si>
  <si>
    <t>Кран двухходовой штуцерный Ду20 Ру16</t>
  </si>
  <si>
    <t>536-3М5</t>
  </si>
  <si>
    <t>Кингстон донный фланцевый Ду32Ру2,5</t>
  </si>
  <si>
    <t>527-03.014</t>
  </si>
  <si>
    <t>Кингстон донный фланцевый Ду50 Ру2,5</t>
  </si>
  <si>
    <t>527-03.054</t>
  </si>
  <si>
    <t>Кингстон донный фланцевый Ду80 Ру2,5</t>
  </si>
  <si>
    <t>527-03.055</t>
  </si>
  <si>
    <t>Клапан фланцевый угловой Ду25</t>
  </si>
  <si>
    <t>521-3М539</t>
  </si>
  <si>
    <t>521-3М.123</t>
  </si>
  <si>
    <t>Клапан фланцевый угловой Ду50</t>
  </si>
  <si>
    <t>Клапан фланцевый угловой Ду65 Ру10</t>
  </si>
  <si>
    <t>522-35.4154-02</t>
  </si>
  <si>
    <t>522-35.4201</t>
  </si>
  <si>
    <t>521-03.195</t>
  </si>
  <si>
    <t>Клапан фланцевый угловой Ду65 Ру40</t>
  </si>
  <si>
    <t>521-03.230</t>
  </si>
  <si>
    <t>Клапан фланцевый угловой Ду80</t>
  </si>
  <si>
    <t>522-03.197</t>
  </si>
  <si>
    <t>Клапан фланцевый угловой Ду100</t>
  </si>
  <si>
    <t>Клапан фланцевый угловой Ду150 Ру10</t>
  </si>
  <si>
    <t>521-01.207</t>
  </si>
  <si>
    <t>Клапан фланцевый проходной Ду50</t>
  </si>
  <si>
    <t>Колонка указательная с плоским рифленым стеклом Ду10Ру10</t>
  </si>
  <si>
    <t>598-03.083-01</t>
  </si>
  <si>
    <t xml:space="preserve">Клапан невозв-запорн.с присоед.под дюрит прох. Ду 50  </t>
  </si>
  <si>
    <t>522-03.122-04</t>
  </si>
  <si>
    <t>521-03.442-03</t>
  </si>
  <si>
    <t>Клапан запорн.с присоед.под дюрит прох. Ду65</t>
  </si>
  <si>
    <t>ИШТЛ 491112-003-04</t>
  </si>
  <si>
    <t>521-03.442-04</t>
  </si>
  <si>
    <t>Клинкет Ду 200</t>
  </si>
  <si>
    <t>Клинкет Ду 250</t>
  </si>
  <si>
    <t>Клинкет Ду 300</t>
  </si>
  <si>
    <r>
      <rPr>
        <sz val="11"/>
        <color rgb="FF000000"/>
        <rFont val="Times New Roman"/>
        <charset val="134"/>
      </rPr>
      <t xml:space="preserve">Клинкет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 xml:space="preserve">Ду 350 </t>
    </r>
    <r>
      <rPr>
        <sz val="11"/>
        <color rgb="FF000000"/>
        <rFont val="Times New Roman"/>
        <charset val="134"/>
      </rPr>
      <t xml:space="preserve"> </t>
    </r>
  </si>
  <si>
    <t>Фильтр забортной воды Ду 50</t>
  </si>
  <si>
    <t>Фильтр заборной воды ДУ 80</t>
  </si>
  <si>
    <t>Фильтр забортной воды Ду 100</t>
  </si>
  <si>
    <t>Фильтр заборной воды ДУ 150</t>
  </si>
  <si>
    <t>Фильтр забортной воды Ду200</t>
  </si>
  <si>
    <t>Фильтр забортной воды Ду 300</t>
  </si>
  <si>
    <t>отгружено 24.09.26</t>
  </si>
  <si>
    <t>Клапан штуцерный проходной Ду 10 Ру40</t>
  </si>
  <si>
    <t>521-01.471-01</t>
  </si>
  <si>
    <t xml:space="preserve">перепроверить кол-во </t>
  </si>
  <si>
    <r>
      <rPr>
        <sz val="11"/>
        <color rgb="FF000000"/>
        <rFont val="Times New Roman"/>
        <charset val="134"/>
      </rPr>
      <t xml:space="preserve">Клапан для манометра штуцерный сальниковый </t>
    </r>
    <r>
      <rPr>
        <sz val="11"/>
        <color rgb="FFFF0000"/>
        <rFont val="Times New Roman"/>
        <charset val="134"/>
      </rPr>
      <t>Ду 6</t>
    </r>
  </si>
  <si>
    <t>521-34.3404-03</t>
  </si>
  <si>
    <t xml:space="preserve">Итого: </t>
  </si>
  <si>
    <t xml:space="preserve">вес </t>
  </si>
  <si>
    <t>Кол-во</t>
  </si>
  <si>
    <t xml:space="preserve">кол-во факт </t>
  </si>
  <si>
    <t>вес общий</t>
  </si>
  <si>
    <t>Цена по Договору, руб.</t>
  </si>
  <si>
    <t>Захлопка фланцевая горизонтальная Ду50</t>
  </si>
  <si>
    <t>529-03.011</t>
  </si>
  <si>
    <t>новая</t>
  </si>
  <si>
    <t>по согласованию</t>
  </si>
  <si>
    <t>Захлопка фланцевая вертикальная Ду100</t>
  </si>
  <si>
    <t>529-03.003</t>
  </si>
  <si>
    <t>Клапан запорный штуцерный проходной Ду10 Ру16</t>
  </si>
  <si>
    <t>521-35.2754</t>
  </si>
  <si>
    <t>521-03.420</t>
  </si>
  <si>
    <t xml:space="preserve">не нашла  еще </t>
  </si>
  <si>
    <t>Клапан невозвратный штуцерный проходной Ду20Ру160</t>
  </si>
  <si>
    <t>522-03.089</t>
  </si>
  <si>
    <r>
      <rPr>
        <sz val="11"/>
        <color rgb="FF000000"/>
        <rFont val="Times New Roman"/>
        <charset val="134"/>
      </rPr>
      <t xml:space="preserve">Клапан штуцерный проходной бессальниковый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Ду15/1</t>
    </r>
  </si>
  <si>
    <t>521-35.2608-01</t>
  </si>
  <si>
    <r>
      <rPr>
        <sz val="11"/>
        <color rgb="FF000000"/>
        <rFont val="Times New Roman"/>
        <charset val="134"/>
      </rPr>
      <t xml:space="preserve">Клапан дроссельный угловой штуцерный </t>
    </r>
    <r>
      <rPr>
        <sz val="11"/>
        <color rgb="FFFF0000"/>
        <rFont val="Times New Roman"/>
        <charset val="134"/>
      </rPr>
      <t>10/63</t>
    </r>
  </si>
  <si>
    <t>525-35.577</t>
  </si>
  <si>
    <t>Клапан штуцерный угловой Ду15 Ру160</t>
  </si>
  <si>
    <t>521-03.387</t>
  </si>
  <si>
    <r>
      <rPr>
        <sz val="11"/>
        <color rgb="FF000000"/>
        <rFont val="Times New Roman"/>
        <charset val="134"/>
      </rPr>
      <t xml:space="preserve">Клапан для манометра штущерный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Ду3Ру400 новый</t>
    </r>
  </si>
  <si>
    <t>521-03.406</t>
  </si>
  <si>
    <t>Клапан с электромагнитным ручным управлением</t>
  </si>
  <si>
    <t>587-182.126</t>
  </si>
  <si>
    <t>Клапан фреоновый саленоидный</t>
  </si>
  <si>
    <t>Клапан муфтовый проходной запорный Ду32Ру10</t>
  </si>
  <si>
    <t>Клапан муфтовый проходной запорный Ду20Ру16</t>
  </si>
  <si>
    <t>Клапан предохранительный штуцерный сигнальный Ду6Ру100-250</t>
  </si>
  <si>
    <t>524-03.188</t>
  </si>
  <si>
    <t>Клапан предохранительный штуцерный угловой Ду6,5-9</t>
  </si>
  <si>
    <t>524-03.004</t>
  </si>
  <si>
    <t>Клапан для колонки указательной Ду10 Ру16</t>
  </si>
  <si>
    <t>598-03.022-06</t>
  </si>
  <si>
    <t>Эжектор ВЭЖ 6,3</t>
  </si>
  <si>
    <t>Стакан переборочный Ду10Ру100</t>
  </si>
  <si>
    <t>554-35.265</t>
  </si>
  <si>
    <t>Стакан переборочный Ду20Ру100</t>
  </si>
  <si>
    <t>554-03.909-03</t>
  </si>
  <si>
    <t>554-03.905-06</t>
  </si>
  <si>
    <t>Стакан переборочный Ду25Ру100</t>
  </si>
  <si>
    <t>554-35.156</t>
  </si>
  <si>
    <t>Клапан фланц. концевой пожарный угловой Ду32 Ру10</t>
  </si>
  <si>
    <t>595-03-006</t>
  </si>
  <si>
    <t>Клапан фланц. концевой пожарный угловой Ду32 Ру16</t>
  </si>
  <si>
    <t>595-01-010</t>
  </si>
  <si>
    <t>Клапан фланц. концевой пожарный угловой Ду50</t>
  </si>
  <si>
    <t>Кран двухходовой фланцевый Ду32 Ру6</t>
  </si>
  <si>
    <t>536-3М.72</t>
  </si>
  <si>
    <t>Клапан Ду20/10</t>
  </si>
  <si>
    <t>581-С6.73</t>
  </si>
  <si>
    <t>Кланан Рр18-2 45/25</t>
  </si>
  <si>
    <t xml:space="preserve">новая </t>
  </si>
  <si>
    <t>без чертежа(527-35.1165)</t>
  </si>
  <si>
    <t>Клапан фланцевый угловой Ду50 Ру25</t>
  </si>
  <si>
    <t>СВ/Т3197-95В25050</t>
  </si>
  <si>
    <t>Головка воздушно-квадрат.(поплавковая) Ду80</t>
  </si>
  <si>
    <t>(541-03.218)</t>
  </si>
  <si>
    <t>Головка воздушно-квадрат.(поплавковая) Ду25</t>
  </si>
  <si>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(541-03.232)</t>
    </r>
  </si>
  <si>
    <t>Головка воздушно-квадрат.(поплавковая) Ду32</t>
  </si>
  <si>
    <t>541-03.224</t>
  </si>
  <si>
    <t>Головка воздушно-квадрат.(поплавковая) Ду125 (без поплавка)</t>
  </si>
  <si>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(541-03.220)</t>
    </r>
  </si>
  <si>
    <t>Клапан фланцевый проходной Ду200</t>
  </si>
  <si>
    <t>Грибки АМГ Ду 150 (верхние)</t>
  </si>
  <si>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(541-03.315-02)</t>
    </r>
  </si>
  <si>
    <t>Грибки АМГ Ду 150 (нижние)</t>
  </si>
  <si>
    <r>
      <rPr>
        <sz val="11"/>
        <color rgb="FF000000"/>
        <rFont val="Times New Roman"/>
        <charset val="134"/>
      </rPr>
      <t xml:space="preserve"> (541-03.</t>
    </r>
    <r>
      <rPr>
        <sz val="11"/>
        <color rgb="FFFF0000"/>
        <rFont val="Times New Roman"/>
        <charset val="134"/>
      </rPr>
      <t>316-02)</t>
    </r>
  </si>
  <si>
    <t>Грибки АМГ Ду 200 с нижнем приводом</t>
  </si>
  <si>
    <r>
      <rPr>
        <sz val="11"/>
        <color rgb="FF000000"/>
        <rFont val="Times New Roman"/>
        <charset val="134"/>
      </rPr>
      <t xml:space="preserve"> (541-03.</t>
    </r>
    <r>
      <rPr>
        <sz val="11"/>
        <color rgb="FFFF0000"/>
        <rFont val="Times New Roman"/>
        <charset val="134"/>
      </rPr>
      <t>316-04)</t>
    </r>
  </si>
  <si>
    <t>итого:</t>
  </si>
  <si>
    <t xml:space="preserve">Наименование </t>
  </si>
  <si>
    <t xml:space="preserve">чертеж </t>
  </si>
  <si>
    <t xml:space="preserve">Кол-во </t>
  </si>
  <si>
    <t xml:space="preserve">итого вес </t>
  </si>
  <si>
    <t>Клапан фланцевый проходной Ду80 Ру 40 сталь</t>
  </si>
  <si>
    <t>521-35.3437</t>
  </si>
  <si>
    <t>522-01.101</t>
  </si>
  <si>
    <t xml:space="preserve">Клапан невозвратно-приемный фланцевый Ду 65 Ру1 </t>
  </si>
  <si>
    <t>522-03.023</t>
  </si>
  <si>
    <t xml:space="preserve">Клапан невозвратно-приемный фланцевый Ду 65  Ру1 </t>
  </si>
  <si>
    <t>522-35.4044-01</t>
  </si>
  <si>
    <t>Клапан невозвратно-приемный фланцевый Ду 50 Ру1</t>
  </si>
  <si>
    <t>522-35.4043-01</t>
  </si>
  <si>
    <t xml:space="preserve">Клапан фланцевый проходной Ду50 Ру 40 сталь </t>
  </si>
  <si>
    <t>522-01-322</t>
  </si>
  <si>
    <t>Клапан предохранит. фланцевый угловой Ду32Ру4</t>
  </si>
  <si>
    <t xml:space="preserve"> 524-03.090</t>
  </si>
  <si>
    <t xml:space="preserve">Задвижка клинкетная Ду 300, сталь </t>
  </si>
  <si>
    <t>Задвижка клинкетная Ду 125</t>
  </si>
  <si>
    <t>Задвижка клинкетная Ду 100</t>
  </si>
  <si>
    <t xml:space="preserve">Задвижка клинкетная Ду 80 , бронза </t>
  </si>
  <si>
    <t xml:space="preserve">Задвижка клинкетная Ду 60, бронза </t>
  </si>
  <si>
    <t xml:space="preserve">Задвижка клинкетная Ду 50, бронза , без клиньев </t>
  </si>
  <si>
    <t>Клапана невозвратный проходной фланцевый Ду100 Ру10</t>
  </si>
  <si>
    <t>522-03.205</t>
  </si>
  <si>
    <t xml:space="preserve">Грибки АМГ Ду 175, нижний привод </t>
  </si>
  <si>
    <t xml:space="preserve"> 541-03.316-03</t>
  </si>
  <si>
    <t>Фильтр штуцерный Ду 20</t>
  </si>
  <si>
    <t>427-03.128-2</t>
  </si>
  <si>
    <t>Фильтр штуцерный Ду 25</t>
  </si>
  <si>
    <t>427-03.129-1</t>
  </si>
  <si>
    <t>клапан проходной штуцерный ду 32/100</t>
  </si>
  <si>
    <t>522-01.494-03</t>
  </si>
  <si>
    <t>клапан фланцевый угловой ДУ 50, сталь</t>
  </si>
  <si>
    <t>кран 2-х ходовой ду 50/6</t>
  </si>
  <si>
    <t>536-3м.74</t>
  </si>
  <si>
    <t>кран 3-х ходовой ду 70</t>
  </si>
  <si>
    <t>536-3м....</t>
  </si>
  <si>
    <t>клапан проходной фланцевый ду 50/10</t>
  </si>
  <si>
    <t>521-35.3442</t>
  </si>
  <si>
    <t>клапан запорный фланцевый с тросиковым приводом ду 40</t>
  </si>
  <si>
    <t>521-03.020</t>
  </si>
  <si>
    <t>клапан запорный фланцевый с тросиковым приводом ду 65</t>
  </si>
  <si>
    <t>521-03.022</t>
  </si>
  <si>
    <t>клапан запорный фланцевый с тросиковым приводом ду 100</t>
  </si>
  <si>
    <t>521-03.023</t>
  </si>
  <si>
    <t>клапан штуцерный проходной ду 20 /100, без маховика</t>
  </si>
  <si>
    <t>522-01.501-02</t>
  </si>
  <si>
    <t xml:space="preserve">клапан штуцерный проходной ду 20/100,с маховиком </t>
  </si>
  <si>
    <t>521-01.470-03</t>
  </si>
  <si>
    <t xml:space="preserve">клапан штуцерный проходной ду 20/100, без маховика </t>
  </si>
  <si>
    <t xml:space="preserve">клапан штуцерный проходной ду 20/100, без маховика ,без крышки корпуса </t>
  </si>
  <si>
    <t>клапан штуцерный проходной ду 20 /40, без маховика</t>
  </si>
  <si>
    <t>521-01.471-03</t>
  </si>
  <si>
    <t>522-01.498-02</t>
  </si>
  <si>
    <t xml:space="preserve">клапан штуцерный проходной ду 20 /100, без маховика,без крышки корпуса </t>
  </si>
  <si>
    <t>521-01.470-02</t>
  </si>
  <si>
    <t>521-3м.58</t>
  </si>
  <si>
    <t>521-01.052</t>
  </si>
  <si>
    <t xml:space="preserve">клапан штуцерный проходной ду 20 </t>
  </si>
  <si>
    <t xml:space="preserve">пересорт </t>
  </si>
  <si>
    <t xml:space="preserve">бу </t>
  </si>
  <si>
    <t>клапан штуцерный угловой ду 15 /100, без маховика</t>
  </si>
  <si>
    <t>521-01.464-01</t>
  </si>
  <si>
    <t>клапан штуцерный угловой ду 15 , без маховика</t>
  </si>
  <si>
    <t>521-01.465-02</t>
  </si>
  <si>
    <t>клапан штуцерный угловой ду 16 , без маховика</t>
  </si>
  <si>
    <t>521-3м.666</t>
  </si>
  <si>
    <t>521-01.468-04</t>
  </si>
  <si>
    <t>521-01.500-04</t>
  </si>
  <si>
    <t xml:space="preserve">клапан штуцерный угловой ду 15 , без маховика, без крышки корпуса </t>
  </si>
  <si>
    <t xml:space="preserve">клапан штуцерный угловой ду 25/100, без маховика </t>
  </si>
  <si>
    <t>521-01.468-06</t>
  </si>
  <si>
    <t xml:space="preserve">клапан штуцерный угловой ду 25/100, без маховика , без крышки корпуса </t>
  </si>
  <si>
    <t>522-01.500-06</t>
  </si>
  <si>
    <t xml:space="preserve">клапан штуцерный угловой ду 25/40, без маховика </t>
  </si>
  <si>
    <t>521-01.466</t>
  </si>
  <si>
    <t xml:space="preserve">клапан штуцерный угловой ду 25/40, без маховика , без крышки корпуса </t>
  </si>
  <si>
    <t>клапан штуцерный угловой ду 25/40, без маховика</t>
  </si>
  <si>
    <t>521-3м.634</t>
  </si>
  <si>
    <t>клапан штуцерный угловой ду 32, без маховика</t>
  </si>
  <si>
    <t xml:space="preserve">клапан штуцерный угловой ду 32, без маховика, без крышки корпуса </t>
  </si>
  <si>
    <t>клапан невозвратно -запорный угловой ду32/160</t>
  </si>
  <si>
    <t>522-03.151-01</t>
  </si>
  <si>
    <t>клапан запорный штуцерный угловой ду 32/160</t>
  </si>
  <si>
    <t>521-03.480</t>
  </si>
  <si>
    <t>клапан штуцерный дроссельный угловой ду 15/160</t>
  </si>
  <si>
    <t>525-03.011</t>
  </si>
  <si>
    <t>итого</t>
  </si>
  <si>
    <t xml:space="preserve">закупка </t>
  </si>
  <si>
    <t xml:space="preserve">продажа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</si>
</sst>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_ "/>
  </numFmts>
  <fonts count="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FF0000"/>
      <name val="Times New Roman"/>
      <charset val="134"/>
    </font>
    <font>
      <sz val="11"/>
      <name val="Times New Roman"/>
      <charset val="134"/>
    </font>
    <font>
      <strike/>
      <sz val="11"/>
      <color rgb="FF000000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64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1" fillId="0" borderId="0" xfId="0" applyNumberFormat="1" applyFont="1">
      <alignment vertical="center"/>
    </xf>
    <xf numFmtId="0" fontId="0" fillId="4" borderId="0" xfId="0" applyFill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164" fontId="1" fillId="0" borderId="1" xfId="0" applyNumberFormat="1" applyFont="1" applyBorder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opLeftCell="A78" zoomScale="150" zoomScaleNormal="150" workbookViewId="0">
      <selection activeCell="I2" sqref="I1:J1048576"/>
    </sheetView>
  </sheetViews>
  <sheetFormatPr defaultColWidth="10.33203125" defaultRowHeight="14.4"/>
  <cols>
    <col min="1" max="1" width="7.5546875" customWidth="1"/>
    <col min="2" max="2" width="56.109375" customWidth="1"/>
    <col min="3" max="3" width="18" customWidth="1"/>
    <col min="4" max="4" width="14.6640625" customWidth="1"/>
    <col min="5" max="5" width="13.88671875" style="4" customWidth="1"/>
    <col min="6" max="6" width="11.109375" customWidth="1"/>
    <col min="7" max="8" width="13.109375" customWidth="1"/>
    <col min="9" max="9" width="23.33203125" customWidth="1"/>
  </cols>
  <sheetData>
    <row r="1" spans="1:14" ht="41.4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16" t="s">
        <v>8</v>
      </c>
      <c r="J1" s="16"/>
      <c r="K1" s="16"/>
      <c r="L1" s="16"/>
      <c r="M1" s="16"/>
      <c r="N1" s="16"/>
    </row>
    <row r="2" spans="1:14" ht="19.95" customHeight="1">
      <c r="A2" s="7">
        <v>1</v>
      </c>
      <c r="B2" s="7" t="s">
        <v>9</v>
      </c>
      <c r="C2" s="7" t="s">
        <v>10</v>
      </c>
      <c r="D2" s="7" t="s">
        <v>11</v>
      </c>
      <c r="E2" s="8">
        <v>10.5</v>
      </c>
      <c r="F2" s="7">
        <v>1</v>
      </c>
      <c r="G2" s="7">
        <v>1</v>
      </c>
      <c r="H2" s="7">
        <f t="shared" ref="H2:H8" si="0">PRODUCT(G2*E2)</f>
        <v>10.5</v>
      </c>
      <c r="I2" s="16"/>
      <c r="J2" s="16"/>
      <c r="K2" s="16"/>
      <c r="L2" s="16"/>
      <c r="M2" s="16"/>
      <c r="N2" s="16"/>
    </row>
    <row r="3" spans="1:14" ht="19.95" customHeight="1">
      <c r="A3" s="7">
        <v>2</v>
      </c>
      <c r="B3" s="7" t="s">
        <v>12</v>
      </c>
      <c r="C3" s="7" t="s">
        <v>13</v>
      </c>
      <c r="D3" s="7" t="s">
        <v>11</v>
      </c>
      <c r="E3" s="8">
        <v>23.6</v>
      </c>
      <c r="F3" s="7">
        <v>1</v>
      </c>
      <c r="G3" s="7">
        <v>1</v>
      </c>
      <c r="H3" s="7">
        <f t="shared" si="0"/>
        <v>23.6</v>
      </c>
      <c r="I3" s="16"/>
      <c r="J3" s="16"/>
      <c r="K3" s="16"/>
      <c r="L3" s="16"/>
      <c r="M3" s="16"/>
      <c r="N3" s="16"/>
    </row>
    <row r="4" spans="1:14" ht="19.95" customHeight="1">
      <c r="A4" s="7">
        <v>3</v>
      </c>
      <c r="B4" s="7" t="s">
        <v>14</v>
      </c>
      <c r="C4" s="7" t="s">
        <v>15</v>
      </c>
      <c r="D4" s="7" t="s">
        <v>11</v>
      </c>
      <c r="E4" s="8">
        <v>22</v>
      </c>
      <c r="F4" s="7">
        <v>3</v>
      </c>
      <c r="G4" s="7">
        <v>3</v>
      </c>
      <c r="H4" s="7">
        <f t="shared" si="0"/>
        <v>66</v>
      </c>
      <c r="I4" s="16"/>
      <c r="J4" s="16"/>
      <c r="K4" s="16"/>
      <c r="L4" s="16"/>
      <c r="M4" s="16"/>
      <c r="N4" s="16"/>
    </row>
    <row r="5" spans="1:14" ht="19.95" customHeight="1">
      <c r="A5" s="7">
        <v>4</v>
      </c>
      <c r="B5" s="7" t="s">
        <v>16</v>
      </c>
      <c r="C5" s="7" t="s">
        <v>17</v>
      </c>
      <c r="D5" s="7" t="s">
        <v>11</v>
      </c>
      <c r="E5" s="8">
        <v>26</v>
      </c>
      <c r="F5" s="7">
        <v>1</v>
      </c>
      <c r="G5" s="7">
        <v>1</v>
      </c>
      <c r="H5" s="7">
        <f t="shared" si="0"/>
        <v>26</v>
      </c>
      <c r="I5" s="16"/>
      <c r="J5" s="16"/>
      <c r="K5" s="16"/>
      <c r="L5" s="16"/>
      <c r="M5" s="16"/>
      <c r="N5" s="16"/>
    </row>
    <row r="6" spans="1:14" ht="19.95" customHeight="1">
      <c r="A6" s="7">
        <v>5</v>
      </c>
      <c r="B6" s="7" t="s">
        <v>18</v>
      </c>
      <c r="C6" s="7" t="s">
        <v>19</v>
      </c>
      <c r="D6" s="7" t="s">
        <v>20</v>
      </c>
      <c r="E6" s="8">
        <v>46</v>
      </c>
      <c r="F6" s="7">
        <v>2</v>
      </c>
      <c r="G6" s="7">
        <v>2</v>
      </c>
      <c r="H6" s="7">
        <f t="shared" si="0"/>
        <v>92</v>
      </c>
      <c r="I6" s="16"/>
      <c r="J6" s="16"/>
      <c r="K6" s="16"/>
      <c r="L6" s="16"/>
      <c r="M6" s="16"/>
      <c r="N6" s="16"/>
    </row>
    <row r="7" spans="1:14" s="3" customFormat="1" ht="19.95" customHeight="1">
      <c r="A7" s="7">
        <v>6</v>
      </c>
      <c r="B7" s="11" t="s">
        <v>21</v>
      </c>
      <c r="C7" s="11" t="s">
        <v>22</v>
      </c>
      <c r="D7" s="11" t="s">
        <v>20</v>
      </c>
      <c r="E7" s="12">
        <v>46</v>
      </c>
      <c r="F7" s="11">
        <v>0</v>
      </c>
      <c r="G7" s="11">
        <v>9</v>
      </c>
      <c r="H7" s="11">
        <f t="shared" si="0"/>
        <v>414</v>
      </c>
      <c r="I7" s="17"/>
      <c r="J7" s="17"/>
      <c r="K7" s="17"/>
      <c r="L7" s="17"/>
      <c r="M7" s="17"/>
      <c r="N7" s="17"/>
    </row>
    <row r="8" spans="1:14" s="3" customFormat="1" ht="19.95" customHeight="1">
      <c r="A8" s="7">
        <v>7</v>
      </c>
      <c r="B8" s="11" t="s">
        <v>21</v>
      </c>
      <c r="C8" s="11" t="s">
        <v>23</v>
      </c>
      <c r="D8" s="11" t="s">
        <v>11</v>
      </c>
      <c r="E8" s="12">
        <v>46</v>
      </c>
      <c r="F8" s="11">
        <v>0</v>
      </c>
      <c r="G8" s="11">
        <v>1</v>
      </c>
      <c r="H8" s="11">
        <f t="shared" si="0"/>
        <v>46</v>
      </c>
      <c r="I8" s="17"/>
      <c r="J8" s="17"/>
      <c r="K8" s="17"/>
      <c r="L8" s="17"/>
      <c r="M8" s="17"/>
      <c r="N8" s="17"/>
    </row>
    <row r="9" spans="1:14" ht="19.95" customHeight="1">
      <c r="A9" s="7">
        <v>8</v>
      </c>
      <c r="B9" s="7" t="s">
        <v>24</v>
      </c>
      <c r="C9" s="7" t="s">
        <v>25</v>
      </c>
      <c r="D9" s="7" t="s">
        <v>26</v>
      </c>
      <c r="E9" s="8">
        <v>3.8</v>
      </c>
      <c r="F9" s="7">
        <v>1</v>
      </c>
      <c r="G9" s="7">
        <v>1</v>
      </c>
      <c r="H9" s="7">
        <f t="shared" ref="H9:H66" si="1">PRODUCT(G9*E9)</f>
        <v>3.8</v>
      </c>
      <c r="I9" s="16"/>
      <c r="J9" s="16"/>
      <c r="K9" s="16"/>
      <c r="L9" s="16"/>
      <c r="M9" s="16"/>
      <c r="N9" s="16"/>
    </row>
    <row r="10" spans="1:14" ht="19.95" customHeight="1">
      <c r="A10" s="7">
        <v>9</v>
      </c>
      <c r="B10" s="7" t="s">
        <v>27</v>
      </c>
      <c r="C10" s="7" t="s">
        <v>28</v>
      </c>
      <c r="D10" s="7" t="s">
        <v>11</v>
      </c>
      <c r="E10" s="8">
        <v>5.5</v>
      </c>
      <c r="F10" s="7">
        <v>1</v>
      </c>
      <c r="G10" s="7">
        <v>1</v>
      </c>
      <c r="H10" s="7">
        <f t="shared" si="1"/>
        <v>5.5</v>
      </c>
      <c r="I10" s="16"/>
      <c r="J10" s="16"/>
      <c r="K10" s="16"/>
      <c r="L10" s="16"/>
      <c r="M10" s="16"/>
      <c r="N10" s="16"/>
    </row>
    <row r="11" spans="1:14" ht="19.95" customHeight="1">
      <c r="A11" s="7">
        <v>10</v>
      </c>
      <c r="B11" s="7" t="s">
        <v>29</v>
      </c>
      <c r="C11" s="7" t="s">
        <v>28</v>
      </c>
      <c r="D11" s="7" t="s">
        <v>26</v>
      </c>
      <c r="E11" s="8">
        <v>5.5</v>
      </c>
      <c r="F11" s="7">
        <v>62</v>
      </c>
      <c r="G11" s="7">
        <v>62</v>
      </c>
      <c r="H11" s="7">
        <f t="shared" si="1"/>
        <v>341</v>
      </c>
      <c r="I11" s="16"/>
      <c r="J11" s="16"/>
      <c r="K11" s="16"/>
      <c r="L11" s="16"/>
      <c r="M11" s="16"/>
      <c r="N11" s="16"/>
    </row>
    <row r="12" spans="1:14" ht="19.95" customHeight="1">
      <c r="A12" s="7">
        <v>11</v>
      </c>
      <c r="B12" s="7" t="s">
        <v>30</v>
      </c>
      <c r="C12" s="7" t="s">
        <v>31</v>
      </c>
      <c r="D12" s="7" t="s">
        <v>26</v>
      </c>
      <c r="E12" s="8">
        <v>1.3</v>
      </c>
      <c r="F12" s="7">
        <v>4</v>
      </c>
      <c r="G12" s="7">
        <v>4</v>
      </c>
      <c r="H12" s="7">
        <f t="shared" si="1"/>
        <v>5.2</v>
      </c>
      <c r="I12" s="16"/>
      <c r="J12" s="16"/>
      <c r="K12" s="16"/>
      <c r="L12" s="16"/>
      <c r="M12" s="16"/>
      <c r="N12" s="16"/>
    </row>
    <row r="13" spans="1:14" ht="19.95" customHeight="1">
      <c r="A13" s="7">
        <v>12</v>
      </c>
      <c r="B13" s="7" t="s">
        <v>32</v>
      </c>
      <c r="C13" s="7" t="s">
        <v>33</v>
      </c>
      <c r="D13" s="7" t="s">
        <v>26</v>
      </c>
      <c r="E13" s="8">
        <v>1.52</v>
      </c>
      <c r="F13" s="7">
        <v>1</v>
      </c>
      <c r="G13" s="7">
        <v>1</v>
      </c>
      <c r="H13" s="7">
        <f t="shared" si="1"/>
        <v>1.52</v>
      </c>
      <c r="I13" s="16"/>
      <c r="J13" s="16"/>
      <c r="K13" s="16"/>
      <c r="L13" s="16"/>
      <c r="M13" s="16"/>
      <c r="N13" s="16"/>
    </row>
    <row r="14" spans="1:14" ht="19.95" customHeight="1">
      <c r="A14" s="7">
        <v>13</v>
      </c>
      <c r="B14" s="7" t="s">
        <v>34</v>
      </c>
      <c r="C14" s="7" t="s">
        <v>35</v>
      </c>
      <c r="D14" s="7" t="s">
        <v>26</v>
      </c>
      <c r="E14" s="8">
        <v>3.5</v>
      </c>
      <c r="F14" s="7">
        <v>5</v>
      </c>
      <c r="G14" s="7">
        <v>5</v>
      </c>
      <c r="H14" s="7">
        <f t="shared" si="1"/>
        <v>17.5</v>
      </c>
      <c r="I14" s="16"/>
      <c r="J14" s="16"/>
      <c r="K14" s="16"/>
      <c r="L14" s="16"/>
      <c r="M14" s="16"/>
      <c r="N14" s="16"/>
    </row>
    <row r="15" spans="1:14" ht="19.95" customHeight="1">
      <c r="A15" s="7">
        <v>14</v>
      </c>
      <c r="B15" s="7" t="s">
        <v>36</v>
      </c>
      <c r="C15" s="7" t="s">
        <v>37</v>
      </c>
      <c r="D15" s="7" t="s">
        <v>26</v>
      </c>
      <c r="E15" s="8">
        <v>9.6999999999999993</v>
      </c>
      <c r="F15" s="7">
        <v>1</v>
      </c>
      <c r="G15" s="7">
        <v>1</v>
      </c>
      <c r="H15" s="7">
        <f t="shared" si="1"/>
        <v>9.6999999999999993</v>
      </c>
      <c r="I15" s="16"/>
      <c r="J15" s="16"/>
      <c r="K15" s="16"/>
      <c r="L15" s="16"/>
      <c r="M15" s="16"/>
      <c r="N15" s="16"/>
    </row>
    <row r="16" spans="1:14" ht="19.95" customHeight="1">
      <c r="A16" s="7">
        <v>15</v>
      </c>
      <c r="B16" s="7" t="s">
        <v>38</v>
      </c>
      <c r="C16" s="7" t="s">
        <v>39</v>
      </c>
      <c r="D16" s="7" t="s">
        <v>26</v>
      </c>
      <c r="E16" s="8">
        <v>1.8</v>
      </c>
      <c r="F16" s="7">
        <v>2</v>
      </c>
      <c r="G16" s="7">
        <v>2</v>
      </c>
      <c r="H16" s="7">
        <f t="shared" si="1"/>
        <v>3.6</v>
      </c>
      <c r="I16" s="16"/>
      <c r="J16" s="16"/>
      <c r="K16" s="16"/>
      <c r="L16" s="16"/>
      <c r="M16" s="16"/>
      <c r="N16" s="16"/>
    </row>
    <row r="17" spans="1:14" ht="19.95" customHeight="1">
      <c r="A17" s="7">
        <v>16</v>
      </c>
      <c r="B17" s="7" t="s">
        <v>40</v>
      </c>
      <c r="C17" s="7" t="s">
        <v>41</v>
      </c>
      <c r="D17" s="7" t="s">
        <v>26</v>
      </c>
      <c r="E17" s="8">
        <v>0.8</v>
      </c>
      <c r="F17" s="7">
        <v>1</v>
      </c>
      <c r="G17" s="7">
        <v>1</v>
      </c>
      <c r="H17" s="7">
        <f t="shared" si="1"/>
        <v>0.8</v>
      </c>
      <c r="I17" s="16"/>
      <c r="J17" s="16"/>
      <c r="K17" s="16"/>
      <c r="L17" s="16"/>
      <c r="M17" s="16"/>
      <c r="N17" s="16"/>
    </row>
    <row r="18" spans="1:14" ht="19.95" customHeight="1">
      <c r="A18" s="7">
        <v>17</v>
      </c>
      <c r="B18" s="7" t="s">
        <v>42</v>
      </c>
      <c r="C18" s="7" t="s">
        <v>43</v>
      </c>
      <c r="D18" s="7" t="s">
        <v>26</v>
      </c>
      <c r="E18" s="8">
        <v>0.7</v>
      </c>
      <c r="F18" s="7">
        <v>6</v>
      </c>
      <c r="G18" s="7">
        <v>6</v>
      </c>
      <c r="H18" s="7">
        <f t="shared" si="1"/>
        <v>4.2</v>
      </c>
      <c r="I18" s="16"/>
      <c r="J18" s="16"/>
      <c r="K18" s="16"/>
      <c r="L18" s="16"/>
      <c r="M18" s="16"/>
      <c r="N18" s="16"/>
    </row>
    <row r="19" spans="1:14" ht="19.95" customHeight="1">
      <c r="A19" s="7">
        <v>18</v>
      </c>
      <c r="B19" s="7" t="s">
        <v>44</v>
      </c>
      <c r="C19" s="7" t="s">
        <v>45</v>
      </c>
      <c r="D19" s="7" t="s">
        <v>26</v>
      </c>
      <c r="E19" s="8">
        <v>1.8</v>
      </c>
      <c r="F19" s="7">
        <v>1</v>
      </c>
      <c r="G19" s="7">
        <v>1</v>
      </c>
      <c r="H19" s="7">
        <f t="shared" si="1"/>
        <v>1.8</v>
      </c>
      <c r="I19" s="16"/>
      <c r="J19" s="16"/>
      <c r="K19" s="16"/>
      <c r="L19" s="16"/>
      <c r="M19" s="16"/>
      <c r="N19" s="16"/>
    </row>
    <row r="20" spans="1:14" ht="19.95" customHeight="1">
      <c r="A20" s="7">
        <v>19</v>
      </c>
      <c r="B20" s="7" t="s">
        <v>46</v>
      </c>
      <c r="C20" s="7" t="s">
        <v>47</v>
      </c>
      <c r="D20" s="7" t="s">
        <v>11</v>
      </c>
      <c r="E20" s="8">
        <v>1.9</v>
      </c>
      <c r="F20" s="7">
        <v>5</v>
      </c>
      <c r="G20" s="11">
        <v>0</v>
      </c>
      <c r="H20" s="7">
        <f t="shared" si="1"/>
        <v>0</v>
      </c>
      <c r="I20" s="16"/>
      <c r="J20" s="16"/>
      <c r="K20" s="16"/>
      <c r="L20" s="16"/>
      <c r="M20" s="16"/>
      <c r="N20" s="16"/>
    </row>
    <row r="21" spans="1:14" ht="19.95" customHeight="1">
      <c r="A21" s="7">
        <v>20</v>
      </c>
      <c r="B21" s="7" t="s">
        <v>48</v>
      </c>
      <c r="C21" s="7" t="s">
        <v>49</v>
      </c>
      <c r="D21" s="7" t="s">
        <v>26</v>
      </c>
      <c r="E21" s="8">
        <v>3.3</v>
      </c>
      <c r="F21" s="7">
        <v>31</v>
      </c>
      <c r="G21" s="7">
        <v>31</v>
      </c>
      <c r="H21" s="7">
        <f t="shared" si="1"/>
        <v>102.3</v>
      </c>
      <c r="I21" s="16"/>
      <c r="J21" s="16"/>
      <c r="K21" s="16"/>
      <c r="L21" s="16"/>
      <c r="M21" s="16"/>
      <c r="N21" s="16"/>
    </row>
    <row r="22" spans="1:14" ht="19.95" customHeight="1">
      <c r="A22" s="7">
        <v>21</v>
      </c>
      <c r="B22" s="7" t="s">
        <v>48</v>
      </c>
      <c r="C22" s="7" t="s">
        <v>50</v>
      </c>
      <c r="D22" s="7" t="s">
        <v>26</v>
      </c>
      <c r="E22" s="8">
        <v>3.3</v>
      </c>
      <c r="F22" s="7">
        <v>14</v>
      </c>
      <c r="G22" s="7">
        <v>14</v>
      </c>
      <c r="H22" s="7">
        <f t="shared" si="1"/>
        <v>46.2</v>
      </c>
      <c r="I22" s="16"/>
      <c r="J22" s="16"/>
      <c r="K22" s="16"/>
      <c r="L22" s="16"/>
      <c r="M22" s="16"/>
      <c r="N22" s="16"/>
    </row>
    <row r="23" spans="1:14" ht="19.95" customHeight="1">
      <c r="A23" s="7">
        <v>22</v>
      </c>
      <c r="B23" s="7" t="s">
        <v>48</v>
      </c>
      <c r="C23" s="7" t="s">
        <v>51</v>
      </c>
      <c r="D23" s="7" t="s">
        <v>26</v>
      </c>
      <c r="E23" s="8">
        <v>3.3</v>
      </c>
      <c r="F23" s="7">
        <v>1</v>
      </c>
      <c r="G23" s="7">
        <v>1</v>
      </c>
      <c r="H23" s="7">
        <f t="shared" si="1"/>
        <v>3.3</v>
      </c>
      <c r="I23" s="16"/>
      <c r="J23" s="16"/>
      <c r="K23" s="16"/>
      <c r="L23" s="16"/>
      <c r="M23" s="16"/>
      <c r="N23" s="16"/>
    </row>
    <row r="24" spans="1:14" ht="19.95" customHeight="1">
      <c r="A24" s="7">
        <v>23</v>
      </c>
      <c r="B24" s="7" t="s">
        <v>48</v>
      </c>
      <c r="C24" s="7" t="s">
        <v>52</v>
      </c>
      <c r="D24" s="7" t="s">
        <v>26</v>
      </c>
      <c r="E24" s="8">
        <v>3.3</v>
      </c>
      <c r="F24" s="7">
        <v>1</v>
      </c>
      <c r="G24" s="7">
        <v>1</v>
      </c>
      <c r="H24" s="7">
        <f t="shared" si="1"/>
        <v>3.3</v>
      </c>
      <c r="I24" s="16"/>
      <c r="J24" s="16"/>
      <c r="K24" s="16"/>
      <c r="L24" s="16"/>
      <c r="M24" s="16"/>
      <c r="N24" s="16"/>
    </row>
    <row r="25" spans="1:14" ht="19.95" customHeight="1">
      <c r="A25" s="7">
        <v>24</v>
      </c>
      <c r="B25" s="7" t="s">
        <v>53</v>
      </c>
      <c r="C25" s="7" t="s">
        <v>54</v>
      </c>
      <c r="D25" s="7" t="s">
        <v>26</v>
      </c>
      <c r="E25" s="8">
        <v>1</v>
      </c>
      <c r="F25" s="7">
        <v>8</v>
      </c>
      <c r="G25" s="7">
        <v>8</v>
      </c>
      <c r="H25" s="7">
        <f t="shared" si="1"/>
        <v>8</v>
      </c>
      <c r="I25" s="16"/>
      <c r="J25" s="16"/>
      <c r="K25" s="16"/>
      <c r="L25" s="16"/>
      <c r="M25" s="16"/>
      <c r="N25" s="16"/>
    </row>
    <row r="26" spans="1:14" ht="19.95" customHeight="1">
      <c r="A26" s="7">
        <v>25</v>
      </c>
      <c r="B26" s="7" t="s">
        <v>55</v>
      </c>
      <c r="C26" s="7" t="s">
        <v>56</v>
      </c>
      <c r="D26" s="7" t="s">
        <v>26</v>
      </c>
      <c r="E26" s="8">
        <v>1.3</v>
      </c>
      <c r="F26" s="7">
        <v>1</v>
      </c>
      <c r="G26" s="7">
        <v>1</v>
      </c>
      <c r="H26" s="7">
        <f t="shared" si="1"/>
        <v>1.3</v>
      </c>
      <c r="I26" s="16"/>
      <c r="J26" s="16"/>
      <c r="K26" s="16"/>
      <c r="L26" s="16"/>
      <c r="M26" s="16"/>
      <c r="N26" s="16"/>
    </row>
    <row r="27" spans="1:14" s="14" customFormat="1" ht="19.95" customHeight="1">
      <c r="A27" s="7">
        <v>26</v>
      </c>
      <c r="B27" s="18" t="s">
        <v>57</v>
      </c>
      <c r="C27" s="18" t="s">
        <v>58</v>
      </c>
      <c r="D27" s="18" t="s">
        <v>20</v>
      </c>
      <c r="E27" s="19">
        <v>0.9</v>
      </c>
      <c r="F27" s="18">
        <v>1</v>
      </c>
      <c r="G27" s="18">
        <v>1</v>
      </c>
      <c r="H27" s="18">
        <f t="shared" si="1"/>
        <v>0.9</v>
      </c>
      <c r="I27" s="20"/>
      <c r="J27" s="20"/>
      <c r="K27" s="20"/>
      <c r="L27" s="20"/>
      <c r="M27" s="20"/>
      <c r="N27" s="20"/>
    </row>
    <row r="28" spans="1:14" ht="19.95" customHeight="1">
      <c r="A28" s="7">
        <v>27</v>
      </c>
      <c r="B28" s="7" t="s">
        <v>59</v>
      </c>
      <c r="C28" s="7" t="s">
        <v>60</v>
      </c>
      <c r="D28" s="7" t="s">
        <v>26</v>
      </c>
      <c r="E28" s="8">
        <v>2.9</v>
      </c>
      <c r="F28" s="7">
        <v>1</v>
      </c>
      <c r="G28" s="7">
        <v>1</v>
      </c>
      <c r="H28" s="7">
        <f t="shared" si="1"/>
        <v>2.9</v>
      </c>
      <c r="I28" s="16"/>
      <c r="J28" s="16"/>
      <c r="K28" s="16"/>
      <c r="L28" s="16"/>
      <c r="M28" s="16"/>
      <c r="N28" s="16"/>
    </row>
    <row r="29" spans="1:14" ht="19.95" customHeight="1">
      <c r="A29" s="7">
        <v>28</v>
      </c>
      <c r="B29" s="7" t="s">
        <v>61</v>
      </c>
      <c r="C29" s="7" t="s">
        <v>62</v>
      </c>
      <c r="D29" s="7" t="s">
        <v>63</v>
      </c>
      <c r="E29" s="8">
        <v>7.5</v>
      </c>
      <c r="F29" s="7">
        <v>1</v>
      </c>
      <c r="G29" s="7">
        <v>1</v>
      </c>
      <c r="H29" s="7">
        <f t="shared" si="1"/>
        <v>7.5</v>
      </c>
      <c r="I29" s="16"/>
      <c r="J29" s="16"/>
      <c r="K29" s="16"/>
      <c r="L29" s="16"/>
      <c r="M29" s="16"/>
      <c r="N29" s="16"/>
    </row>
    <row r="30" spans="1:14" ht="19.95" customHeight="1">
      <c r="A30" s="7">
        <v>29</v>
      </c>
      <c r="B30" s="7" t="s">
        <v>61</v>
      </c>
      <c r="C30" s="7" t="s">
        <v>64</v>
      </c>
      <c r="D30" s="7" t="s">
        <v>26</v>
      </c>
      <c r="E30" s="8">
        <v>7.5</v>
      </c>
      <c r="F30" s="7">
        <v>1</v>
      </c>
      <c r="G30" s="7">
        <v>1</v>
      </c>
      <c r="H30" s="7">
        <f t="shared" si="1"/>
        <v>7.5</v>
      </c>
      <c r="I30" s="16"/>
      <c r="J30" s="16"/>
      <c r="K30" s="16"/>
      <c r="L30" s="16"/>
      <c r="M30" s="16"/>
      <c r="N30" s="16"/>
    </row>
    <row r="31" spans="1:14" ht="79.05" customHeight="1">
      <c r="A31" s="7">
        <v>30</v>
      </c>
      <c r="B31" s="7" t="s">
        <v>65</v>
      </c>
      <c r="C31" s="7" t="s">
        <v>66</v>
      </c>
      <c r="D31" s="7" t="s">
        <v>67</v>
      </c>
      <c r="E31" s="8">
        <v>0.7</v>
      </c>
      <c r="F31" s="7">
        <v>95</v>
      </c>
      <c r="G31" s="11">
        <v>124</v>
      </c>
      <c r="H31" s="7">
        <v>0</v>
      </c>
      <c r="I31" s="16" t="s">
        <v>68</v>
      </c>
      <c r="J31" s="16"/>
      <c r="K31" s="16"/>
      <c r="L31" s="16"/>
      <c r="M31" s="16"/>
      <c r="N31" s="16"/>
    </row>
    <row r="32" spans="1:14" ht="31.95" customHeight="1">
      <c r="A32" s="7">
        <v>31</v>
      </c>
      <c r="B32" s="9" t="s">
        <v>69</v>
      </c>
      <c r="C32" s="9" t="s">
        <v>70</v>
      </c>
      <c r="D32" s="9" t="s">
        <v>71</v>
      </c>
      <c r="E32" s="10">
        <v>27</v>
      </c>
      <c r="F32" s="9">
        <v>9</v>
      </c>
      <c r="G32" s="9">
        <v>9</v>
      </c>
      <c r="H32" s="9">
        <f t="shared" si="1"/>
        <v>243</v>
      </c>
      <c r="I32" s="16" t="s">
        <v>72</v>
      </c>
      <c r="J32" s="16"/>
      <c r="K32" s="16"/>
      <c r="L32" s="16"/>
      <c r="M32" s="16"/>
      <c r="N32" s="16"/>
    </row>
    <row r="33" spans="1:14" ht="19.95" customHeight="1">
      <c r="A33" s="7">
        <v>32</v>
      </c>
      <c r="B33" s="7" t="s">
        <v>73</v>
      </c>
      <c r="C33" s="7" t="s">
        <v>74</v>
      </c>
      <c r="D33" s="7" t="s">
        <v>71</v>
      </c>
      <c r="E33" s="8">
        <v>11.6</v>
      </c>
      <c r="F33" s="7">
        <v>1</v>
      </c>
      <c r="G33" s="7">
        <v>1</v>
      </c>
      <c r="H33" s="7">
        <f t="shared" si="1"/>
        <v>11.6</v>
      </c>
      <c r="I33" s="16"/>
      <c r="J33" s="16"/>
      <c r="K33" s="16"/>
      <c r="L33" s="16"/>
      <c r="M33" s="16"/>
      <c r="N33" s="16"/>
    </row>
    <row r="34" spans="1:14" ht="33" customHeight="1">
      <c r="A34" s="7">
        <v>33</v>
      </c>
      <c r="B34" s="7" t="s">
        <v>75</v>
      </c>
      <c r="C34" s="7" t="s">
        <v>76</v>
      </c>
      <c r="D34" s="7" t="s">
        <v>20</v>
      </c>
      <c r="E34" s="8">
        <v>0.6</v>
      </c>
      <c r="F34" s="7">
        <v>2</v>
      </c>
      <c r="G34" s="7">
        <v>2</v>
      </c>
      <c r="H34" s="7">
        <f t="shared" si="1"/>
        <v>1.2</v>
      </c>
      <c r="I34" s="16"/>
      <c r="J34" s="16"/>
      <c r="K34" s="16"/>
      <c r="L34" s="16"/>
      <c r="M34" s="16"/>
      <c r="N34" s="16"/>
    </row>
    <row r="35" spans="1:14" ht="33" customHeight="1">
      <c r="A35" s="7">
        <v>34</v>
      </c>
      <c r="B35" s="7" t="s">
        <v>77</v>
      </c>
      <c r="C35" s="7" t="s">
        <v>78</v>
      </c>
      <c r="D35" s="7" t="s">
        <v>26</v>
      </c>
      <c r="E35" s="8">
        <v>3.5</v>
      </c>
      <c r="F35" s="7">
        <v>1</v>
      </c>
      <c r="G35" s="7">
        <v>1</v>
      </c>
      <c r="H35" s="7">
        <f t="shared" si="1"/>
        <v>3.5</v>
      </c>
      <c r="I35" s="16"/>
      <c r="J35" s="16"/>
      <c r="K35" s="16"/>
      <c r="L35" s="16"/>
      <c r="M35" s="16"/>
      <c r="N35" s="16"/>
    </row>
    <row r="36" spans="1:14" ht="31.05" customHeight="1">
      <c r="A36" s="7">
        <v>35</v>
      </c>
      <c r="B36" s="7" t="s">
        <v>79</v>
      </c>
      <c r="C36" s="7" t="s">
        <v>80</v>
      </c>
      <c r="D36" s="7" t="s">
        <v>26</v>
      </c>
      <c r="E36" s="8">
        <v>0.77</v>
      </c>
      <c r="F36" s="7">
        <v>1</v>
      </c>
      <c r="G36" s="7">
        <v>1</v>
      </c>
      <c r="H36" s="7">
        <f t="shared" si="1"/>
        <v>0.77</v>
      </c>
      <c r="I36" s="16"/>
      <c r="J36" s="16"/>
      <c r="K36" s="16"/>
      <c r="L36" s="16"/>
      <c r="M36" s="16"/>
      <c r="N36" s="16"/>
    </row>
    <row r="37" spans="1:14" ht="31.05" customHeight="1">
      <c r="A37" s="7">
        <v>36</v>
      </c>
      <c r="B37" s="7" t="s">
        <v>81</v>
      </c>
      <c r="C37" s="7" t="s">
        <v>82</v>
      </c>
      <c r="D37" s="7" t="s">
        <v>26</v>
      </c>
      <c r="E37" s="8">
        <v>1.24</v>
      </c>
      <c r="F37" s="7">
        <v>1</v>
      </c>
      <c r="G37" s="7">
        <v>1</v>
      </c>
      <c r="H37" s="7">
        <f t="shared" si="1"/>
        <v>1.24</v>
      </c>
      <c r="I37" s="16"/>
      <c r="J37" s="16"/>
      <c r="K37" s="16"/>
      <c r="L37" s="16"/>
      <c r="M37" s="16"/>
      <c r="N37" s="16"/>
    </row>
    <row r="38" spans="1:14" ht="19.95" customHeight="1">
      <c r="A38" s="7">
        <v>37</v>
      </c>
      <c r="B38" s="7" t="s">
        <v>83</v>
      </c>
      <c r="C38" s="11" t="s">
        <v>84</v>
      </c>
      <c r="D38" s="7" t="s">
        <v>20</v>
      </c>
      <c r="E38" s="8">
        <v>5.6</v>
      </c>
      <c r="F38" s="7">
        <v>7</v>
      </c>
      <c r="G38" s="7">
        <v>7</v>
      </c>
      <c r="H38" s="7">
        <f t="shared" si="1"/>
        <v>39.200000000000003</v>
      </c>
      <c r="I38" s="16"/>
      <c r="J38" s="16"/>
      <c r="K38" s="16"/>
      <c r="L38" s="16"/>
      <c r="M38" s="16"/>
      <c r="N38" s="16"/>
    </row>
    <row r="39" spans="1:14" ht="19.95" customHeight="1">
      <c r="A39" s="7">
        <v>38</v>
      </c>
      <c r="B39" s="7" t="s">
        <v>85</v>
      </c>
      <c r="C39" s="7" t="s">
        <v>86</v>
      </c>
      <c r="D39" s="7" t="s">
        <v>11</v>
      </c>
      <c r="E39" s="8">
        <v>8.8000000000000007</v>
      </c>
      <c r="F39" s="7">
        <v>8</v>
      </c>
      <c r="G39" s="7">
        <v>8</v>
      </c>
      <c r="H39" s="7">
        <f t="shared" si="1"/>
        <v>70.400000000000006</v>
      </c>
      <c r="I39" s="16"/>
      <c r="J39" s="16"/>
      <c r="K39" s="16"/>
      <c r="L39" s="16"/>
      <c r="M39" s="16"/>
      <c r="N39" s="16"/>
    </row>
    <row r="40" spans="1:14" ht="19.95" customHeight="1">
      <c r="A40" s="7">
        <v>39</v>
      </c>
      <c r="B40" s="7" t="s">
        <v>87</v>
      </c>
      <c r="C40" s="7" t="s">
        <v>88</v>
      </c>
      <c r="D40" s="7" t="s">
        <v>89</v>
      </c>
      <c r="E40" s="19">
        <v>32.6</v>
      </c>
      <c r="F40" s="7">
        <v>1</v>
      </c>
      <c r="G40" s="7">
        <v>1</v>
      </c>
      <c r="H40" s="7">
        <f t="shared" si="1"/>
        <v>32.6</v>
      </c>
      <c r="I40" s="16"/>
      <c r="J40" s="16"/>
      <c r="K40" s="16"/>
      <c r="L40" s="16"/>
      <c r="M40" s="16"/>
      <c r="N40" s="16"/>
    </row>
    <row r="41" spans="1:14" ht="19.95" customHeight="1">
      <c r="A41" s="7">
        <v>40</v>
      </c>
      <c r="B41" s="7" t="s">
        <v>90</v>
      </c>
      <c r="C41" s="7"/>
      <c r="D41" s="7" t="s">
        <v>11</v>
      </c>
      <c r="E41" s="7">
        <v>41</v>
      </c>
      <c r="F41" s="7">
        <v>3</v>
      </c>
      <c r="G41" s="11">
        <v>5</v>
      </c>
      <c r="H41" s="7">
        <f t="shared" si="1"/>
        <v>205</v>
      </c>
      <c r="I41" s="16" t="s">
        <v>91</v>
      </c>
      <c r="J41" s="16"/>
      <c r="K41" s="16"/>
      <c r="L41" s="16"/>
      <c r="M41" s="16"/>
      <c r="N41" s="16"/>
    </row>
    <row r="42" spans="1:14" ht="19.95" customHeight="1">
      <c r="A42" s="7">
        <v>41</v>
      </c>
      <c r="B42" s="7" t="s">
        <v>92</v>
      </c>
      <c r="C42" s="7"/>
      <c r="D42" s="7" t="s">
        <v>11</v>
      </c>
      <c r="E42" s="7">
        <v>68</v>
      </c>
      <c r="F42" s="7">
        <v>8</v>
      </c>
      <c r="G42" s="11">
        <v>12</v>
      </c>
      <c r="H42" s="7">
        <f t="shared" si="1"/>
        <v>816</v>
      </c>
      <c r="I42" s="16" t="s">
        <v>91</v>
      </c>
      <c r="J42" s="16"/>
      <c r="K42" s="16"/>
      <c r="L42" s="16"/>
      <c r="M42" s="16"/>
      <c r="N42" s="16"/>
    </row>
    <row r="43" spans="1:14" ht="19.95" customHeight="1">
      <c r="A43" s="7">
        <v>42</v>
      </c>
      <c r="B43" s="7" t="s">
        <v>93</v>
      </c>
      <c r="C43" s="7"/>
      <c r="D43" s="7" t="s">
        <v>11</v>
      </c>
      <c r="E43" s="7">
        <v>90.5</v>
      </c>
      <c r="F43" s="7">
        <v>1</v>
      </c>
      <c r="G43" s="7">
        <v>1</v>
      </c>
      <c r="H43" s="7">
        <f t="shared" si="1"/>
        <v>90.5</v>
      </c>
      <c r="I43" s="16"/>
      <c r="J43" s="16"/>
      <c r="K43" s="16"/>
      <c r="L43" s="16"/>
      <c r="M43" s="16"/>
      <c r="N43" s="16"/>
    </row>
    <row r="44" spans="1:14" ht="19.95" customHeight="1">
      <c r="A44" s="7">
        <v>43</v>
      </c>
      <c r="B44" s="7" t="s">
        <v>94</v>
      </c>
      <c r="C44" s="7"/>
      <c r="D44" s="7" t="s">
        <v>11</v>
      </c>
      <c r="E44" s="7">
        <v>30</v>
      </c>
      <c r="F44" s="7">
        <v>2</v>
      </c>
      <c r="G44" s="7">
        <v>2</v>
      </c>
      <c r="H44" s="7">
        <f t="shared" si="1"/>
        <v>60</v>
      </c>
      <c r="I44" s="16"/>
      <c r="J44" s="16"/>
      <c r="K44" s="16"/>
      <c r="L44" s="16"/>
      <c r="M44" s="16"/>
      <c r="N44" s="16"/>
    </row>
    <row r="45" spans="1:14" ht="19.95" customHeight="1">
      <c r="A45" s="7">
        <v>44</v>
      </c>
      <c r="B45" s="7" t="s">
        <v>95</v>
      </c>
      <c r="C45" s="7"/>
      <c r="D45" s="7" t="s">
        <v>11</v>
      </c>
      <c r="E45" s="7">
        <v>47.6</v>
      </c>
      <c r="F45" s="7">
        <v>13</v>
      </c>
      <c r="G45" s="11">
        <v>15</v>
      </c>
      <c r="H45" s="7">
        <f t="shared" si="1"/>
        <v>714</v>
      </c>
      <c r="I45" s="16" t="s">
        <v>91</v>
      </c>
      <c r="J45" s="16"/>
      <c r="K45" s="16"/>
      <c r="L45" s="16"/>
      <c r="M45" s="16"/>
      <c r="N45" s="16"/>
    </row>
    <row r="46" spans="1:14" ht="19.95" customHeight="1">
      <c r="A46" s="7">
        <v>45</v>
      </c>
      <c r="B46" s="7" t="s">
        <v>96</v>
      </c>
      <c r="C46" s="7" t="s">
        <v>97</v>
      </c>
      <c r="D46" s="7" t="s">
        <v>20</v>
      </c>
      <c r="E46" s="8">
        <v>45</v>
      </c>
      <c r="F46" s="7">
        <v>3</v>
      </c>
      <c r="G46" s="11">
        <v>0</v>
      </c>
      <c r="H46" s="7">
        <f t="shared" si="1"/>
        <v>0</v>
      </c>
      <c r="I46" s="16"/>
      <c r="J46" s="16"/>
      <c r="K46" s="16"/>
      <c r="L46" s="16"/>
      <c r="M46" s="16"/>
      <c r="N46" s="16"/>
    </row>
    <row r="47" spans="1:14" ht="19.95" customHeight="1">
      <c r="A47" s="7">
        <v>46</v>
      </c>
      <c r="B47" s="7" t="s">
        <v>98</v>
      </c>
      <c r="C47" s="7"/>
      <c r="D47" s="7"/>
      <c r="E47" s="8">
        <v>0</v>
      </c>
      <c r="F47" s="7">
        <v>4</v>
      </c>
      <c r="G47" s="11">
        <v>0</v>
      </c>
      <c r="H47" s="7">
        <f t="shared" si="1"/>
        <v>0</v>
      </c>
      <c r="I47" s="16"/>
      <c r="J47" s="16"/>
      <c r="K47" s="16"/>
      <c r="L47" s="16"/>
      <c r="M47" s="16"/>
      <c r="N47" s="16"/>
    </row>
    <row r="48" spans="1:14" ht="19.95" customHeight="1">
      <c r="A48" s="7">
        <v>47</v>
      </c>
      <c r="B48" s="7" t="s">
        <v>99</v>
      </c>
      <c r="C48" s="7" t="s">
        <v>100</v>
      </c>
      <c r="D48" s="7" t="s">
        <v>20</v>
      </c>
      <c r="E48" s="8">
        <v>1.8</v>
      </c>
      <c r="F48" s="7">
        <v>36</v>
      </c>
      <c r="G48" s="11">
        <v>40</v>
      </c>
      <c r="H48" s="7">
        <v>0</v>
      </c>
      <c r="I48" s="16" t="s">
        <v>68</v>
      </c>
      <c r="J48" s="16"/>
      <c r="K48" s="16"/>
      <c r="L48" s="16"/>
      <c r="M48" s="16"/>
      <c r="N48" s="16"/>
    </row>
    <row r="49" spans="1:14" ht="19.95" customHeight="1">
      <c r="A49" s="7">
        <v>48</v>
      </c>
      <c r="B49" s="7" t="s">
        <v>101</v>
      </c>
      <c r="C49" s="7" t="s">
        <v>102</v>
      </c>
      <c r="D49" s="7" t="s">
        <v>67</v>
      </c>
      <c r="E49" s="8">
        <v>4.0999999999999996</v>
      </c>
      <c r="F49" s="7">
        <v>2</v>
      </c>
      <c r="G49" s="7">
        <v>2</v>
      </c>
      <c r="H49" s="7">
        <f t="shared" si="1"/>
        <v>8.1999999999999993</v>
      </c>
      <c r="I49" s="16"/>
      <c r="J49" s="16"/>
      <c r="K49" s="16"/>
      <c r="L49" s="16"/>
      <c r="M49" s="16"/>
      <c r="N49" s="16"/>
    </row>
    <row r="50" spans="1:14" ht="19.95" customHeight="1">
      <c r="A50" s="7">
        <v>49</v>
      </c>
      <c r="B50" s="11" t="s">
        <v>101</v>
      </c>
      <c r="C50" s="11" t="s">
        <v>102</v>
      </c>
      <c r="D50" s="11" t="s">
        <v>20</v>
      </c>
      <c r="E50" s="12">
        <v>4.0999999999999996</v>
      </c>
      <c r="F50" s="11">
        <v>0</v>
      </c>
      <c r="G50" s="11">
        <v>1</v>
      </c>
      <c r="H50" s="11">
        <f t="shared" si="1"/>
        <v>4.0999999999999996</v>
      </c>
      <c r="I50" s="16"/>
      <c r="J50" s="16"/>
      <c r="K50" s="16"/>
      <c r="L50" s="16"/>
      <c r="M50" s="16"/>
      <c r="N50" s="16"/>
    </row>
    <row r="51" spans="1:14" ht="19.95" customHeight="1">
      <c r="A51" s="7">
        <v>50</v>
      </c>
      <c r="B51" s="7" t="s">
        <v>103</v>
      </c>
      <c r="C51" s="7" t="s">
        <v>104</v>
      </c>
      <c r="D51" s="7" t="s">
        <v>26</v>
      </c>
      <c r="E51" s="8">
        <v>2.8</v>
      </c>
      <c r="F51" s="7">
        <v>7</v>
      </c>
      <c r="G51" s="7">
        <v>7</v>
      </c>
      <c r="H51" s="7">
        <f t="shared" si="1"/>
        <v>19.600000000000001</v>
      </c>
      <c r="I51" s="16"/>
      <c r="J51" s="16"/>
      <c r="K51" s="16"/>
      <c r="L51" s="16"/>
      <c r="M51" s="16"/>
      <c r="N51" s="16"/>
    </row>
    <row r="52" spans="1:14" ht="19.95" customHeight="1">
      <c r="A52" s="7">
        <v>51</v>
      </c>
      <c r="B52" s="7" t="s">
        <v>105</v>
      </c>
      <c r="C52" s="7" t="s">
        <v>106</v>
      </c>
      <c r="D52" s="7" t="s">
        <v>20</v>
      </c>
      <c r="E52" s="8">
        <v>1.2</v>
      </c>
      <c r="F52" s="7">
        <v>3</v>
      </c>
      <c r="G52" s="11">
        <v>6</v>
      </c>
      <c r="H52" s="7">
        <f t="shared" si="1"/>
        <v>7.2</v>
      </c>
      <c r="I52" s="16"/>
      <c r="J52" s="16"/>
      <c r="K52" s="16"/>
      <c r="L52" s="16"/>
      <c r="M52" s="16"/>
      <c r="N52" s="16"/>
    </row>
    <row r="53" spans="1:14" s="3" customFormat="1" ht="19.95" customHeight="1">
      <c r="A53" s="7">
        <v>52</v>
      </c>
      <c r="B53" s="11" t="s">
        <v>107</v>
      </c>
      <c r="C53" s="11" t="s">
        <v>108</v>
      </c>
      <c r="D53" s="11" t="s">
        <v>20</v>
      </c>
      <c r="E53" s="12">
        <v>11.2</v>
      </c>
      <c r="F53" s="11">
        <v>0</v>
      </c>
      <c r="G53" s="11">
        <v>1</v>
      </c>
      <c r="H53" s="7">
        <f t="shared" si="1"/>
        <v>11.2</v>
      </c>
      <c r="I53" s="17"/>
      <c r="J53" s="17"/>
      <c r="K53" s="17"/>
      <c r="L53" s="17"/>
      <c r="M53" s="17"/>
      <c r="N53" s="17"/>
    </row>
    <row r="54" spans="1:14" ht="19.95" customHeight="1">
      <c r="A54" s="7">
        <v>53</v>
      </c>
      <c r="B54" s="7" t="s">
        <v>109</v>
      </c>
      <c r="C54" s="7" t="s">
        <v>110</v>
      </c>
      <c r="D54" s="7" t="s">
        <v>20</v>
      </c>
      <c r="E54" s="8">
        <v>11</v>
      </c>
      <c r="F54" s="7">
        <v>1</v>
      </c>
      <c r="G54" s="11">
        <v>2</v>
      </c>
      <c r="H54" s="7">
        <f t="shared" si="1"/>
        <v>22</v>
      </c>
      <c r="I54" s="16"/>
      <c r="J54" s="16"/>
      <c r="K54" s="16"/>
      <c r="L54" s="16"/>
      <c r="M54" s="16"/>
      <c r="N54" s="16"/>
    </row>
    <row r="55" spans="1:14" ht="19.95" customHeight="1">
      <c r="A55" s="7">
        <v>54</v>
      </c>
      <c r="B55" s="7" t="s">
        <v>111</v>
      </c>
      <c r="C55" s="7" t="s">
        <v>112</v>
      </c>
      <c r="D55" s="7" t="s">
        <v>67</v>
      </c>
      <c r="E55" s="8">
        <v>19</v>
      </c>
      <c r="F55" s="7">
        <v>2</v>
      </c>
      <c r="G55" s="7">
        <v>2</v>
      </c>
      <c r="H55" s="7">
        <f t="shared" si="1"/>
        <v>38</v>
      </c>
      <c r="I55" s="16"/>
      <c r="J55" s="16"/>
      <c r="K55" s="16"/>
      <c r="L55" s="16"/>
      <c r="M55" s="16"/>
      <c r="N55" s="16"/>
    </row>
    <row r="56" spans="1:14" s="3" customFormat="1" ht="19.95" customHeight="1">
      <c r="A56" s="7">
        <v>55</v>
      </c>
      <c r="B56" s="11" t="s">
        <v>111</v>
      </c>
      <c r="C56" s="11" t="s">
        <v>112</v>
      </c>
      <c r="D56" s="11" t="s">
        <v>11</v>
      </c>
      <c r="E56" s="12">
        <v>19</v>
      </c>
      <c r="F56" s="11">
        <v>0</v>
      </c>
      <c r="G56" s="11">
        <v>1</v>
      </c>
      <c r="H56" s="11">
        <f t="shared" si="1"/>
        <v>19</v>
      </c>
      <c r="I56" s="17"/>
      <c r="J56" s="17"/>
      <c r="K56" s="17"/>
      <c r="L56" s="17"/>
      <c r="M56" s="17"/>
      <c r="N56" s="17"/>
    </row>
    <row r="57" spans="1:14" ht="19.95" customHeight="1">
      <c r="A57" s="7">
        <v>56</v>
      </c>
      <c r="B57" s="7" t="s">
        <v>113</v>
      </c>
      <c r="C57" s="7" t="s">
        <v>114</v>
      </c>
      <c r="D57" s="7" t="s">
        <v>20</v>
      </c>
      <c r="E57" s="8">
        <v>5.5</v>
      </c>
      <c r="F57" s="7">
        <v>15</v>
      </c>
      <c r="G57" s="11">
        <v>13</v>
      </c>
      <c r="H57" s="7">
        <f t="shared" si="1"/>
        <v>71.5</v>
      </c>
      <c r="I57" s="16"/>
      <c r="J57" s="16"/>
      <c r="K57" s="16"/>
      <c r="L57" s="16"/>
      <c r="M57" s="16"/>
      <c r="N57" s="16"/>
    </row>
    <row r="58" spans="1:14" s="3" customFormat="1" ht="19.95" customHeight="1">
      <c r="A58" s="7">
        <v>57</v>
      </c>
      <c r="B58" s="11" t="s">
        <v>113</v>
      </c>
      <c r="C58" s="11" t="s">
        <v>115</v>
      </c>
      <c r="D58" s="11" t="s">
        <v>20</v>
      </c>
      <c r="E58" s="12">
        <v>5.5</v>
      </c>
      <c r="F58" s="11">
        <v>0</v>
      </c>
      <c r="G58" s="11">
        <v>1</v>
      </c>
      <c r="H58" s="7">
        <f t="shared" si="1"/>
        <v>5.5</v>
      </c>
      <c r="I58" s="17"/>
      <c r="J58" s="17"/>
      <c r="K58" s="17"/>
      <c r="L58" s="17"/>
      <c r="M58" s="17"/>
      <c r="N58" s="17"/>
    </row>
    <row r="59" spans="1:14" s="3" customFormat="1" ht="19.95" customHeight="1">
      <c r="A59" s="7">
        <v>58</v>
      </c>
      <c r="B59" s="11" t="s">
        <v>116</v>
      </c>
      <c r="C59" s="11"/>
      <c r="D59" s="11" t="s">
        <v>20</v>
      </c>
      <c r="E59" s="12">
        <v>12</v>
      </c>
      <c r="F59" s="11">
        <v>0</v>
      </c>
      <c r="G59" s="11">
        <v>3</v>
      </c>
      <c r="H59" s="7">
        <f t="shared" si="1"/>
        <v>36</v>
      </c>
      <c r="I59" s="17"/>
      <c r="J59" s="17"/>
      <c r="K59" s="17"/>
      <c r="L59" s="17"/>
      <c r="M59" s="17"/>
      <c r="N59" s="17"/>
    </row>
    <row r="60" spans="1:14" ht="19.95" customHeight="1">
      <c r="A60" s="7">
        <v>59</v>
      </c>
      <c r="B60" s="7" t="s">
        <v>117</v>
      </c>
      <c r="C60" s="7" t="s">
        <v>118</v>
      </c>
      <c r="D60" s="7" t="s">
        <v>26</v>
      </c>
      <c r="E60" s="8">
        <v>16</v>
      </c>
      <c r="F60" s="7">
        <v>6</v>
      </c>
      <c r="G60" s="11">
        <v>3</v>
      </c>
      <c r="H60" s="7">
        <f t="shared" si="1"/>
        <v>48</v>
      </c>
      <c r="I60" s="16"/>
      <c r="J60" s="16"/>
      <c r="K60" s="16"/>
      <c r="L60" s="16"/>
      <c r="M60" s="16"/>
      <c r="N60" s="16"/>
    </row>
    <row r="61" spans="1:14" ht="19.95" customHeight="1">
      <c r="A61" s="7">
        <v>60</v>
      </c>
      <c r="B61" s="7" t="s">
        <v>117</v>
      </c>
      <c r="C61" s="7" t="s">
        <v>119</v>
      </c>
      <c r="D61" s="7"/>
      <c r="E61" s="8">
        <v>16</v>
      </c>
      <c r="F61" s="7">
        <v>3</v>
      </c>
      <c r="G61" s="11">
        <v>0</v>
      </c>
      <c r="H61" s="7">
        <f t="shared" si="1"/>
        <v>0</v>
      </c>
      <c r="I61" s="16"/>
      <c r="J61" s="16"/>
      <c r="K61" s="16"/>
      <c r="L61" s="16"/>
      <c r="M61" s="16"/>
      <c r="N61" s="16"/>
    </row>
    <row r="62" spans="1:14" ht="19.95" customHeight="1">
      <c r="A62" s="7">
        <v>61</v>
      </c>
      <c r="B62" s="7" t="s">
        <v>117</v>
      </c>
      <c r="C62" s="7" t="s">
        <v>120</v>
      </c>
      <c r="D62" s="7"/>
      <c r="E62" s="8">
        <v>16</v>
      </c>
      <c r="F62" s="7">
        <v>12</v>
      </c>
      <c r="G62" s="11">
        <v>0</v>
      </c>
      <c r="H62" s="7">
        <f t="shared" si="1"/>
        <v>0</v>
      </c>
      <c r="I62" s="16"/>
      <c r="J62" s="16"/>
      <c r="K62" s="16"/>
      <c r="L62" s="16"/>
      <c r="M62" s="16"/>
      <c r="N62" s="16"/>
    </row>
    <row r="63" spans="1:14" s="3" customFormat="1" ht="19.95" customHeight="1">
      <c r="A63" s="7">
        <v>62</v>
      </c>
      <c r="B63" s="11" t="s">
        <v>121</v>
      </c>
      <c r="C63" s="11" t="s">
        <v>122</v>
      </c>
      <c r="D63" s="11" t="s">
        <v>26</v>
      </c>
      <c r="E63" s="12">
        <v>20</v>
      </c>
      <c r="F63" s="11">
        <v>0</v>
      </c>
      <c r="G63" s="11">
        <v>1</v>
      </c>
      <c r="H63" s="11">
        <f t="shared" si="1"/>
        <v>20</v>
      </c>
      <c r="I63" s="17"/>
      <c r="J63" s="17"/>
      <c r="K63" s="17"/>
      <c r="L63" s="17"/>
      <c r="M63" s="17"/>
      <c r="N63" s="17"/>
    </row>
    <row r="64" spans="1:14" ht="19.95" customHeight="1">
      <c r="A64" s="7">
        <v>63</v>
      </c>
      <c r="B64" s="7" t="s">
        <v>123</v>
      </c>
      <c r="C64" s="7" t="s">
        <v>124</v>
      </c>
      <c r="D64" s="7" t="s">
        <v>20</v>
      </c>
      <c r="E64" s="8">
        <v>25</v>
      </c>
      <c r="F64" s="7">
        <v>7</v>
      </c>
      <c r="G64" s="11">
        <v>28</v>
      </c>
      <c r="H64" s="7">
        <f t="shared" si="1"/>
        <v>700</v>
      </c>
      <c r="I64" s="16"/>
      <c r="J64" s="16"/>
      <c r="K64" s="16"/>
      <c r="L64" s="16"/>
      <c r="M64" s="16"/>
      <c r="N64" s="16"/>
    </row>
    <row r="65" spans="1:14" s="3" customFormat="1" ht="19.95" customHeight="1">
      <c r="A65" s="7">
        <v>64</v>
      </c>
      <c r="B65" s="11" t="s">
        <v>125</v>
      </c>
      <c r="C65" s="11"/>
      <c r="D65" s="11" t="s">
        <v>11</v>
      </c>
      <c r="E65" s="12">
        <v>28</v>
      </c>
      <c r="F65" s="11">
        <v>0</v>
      </c>
      <c r="G65" s="11">
        <v>10</v>
      </c>
      <c r="H65" s="7">
        <f t="shared" si="1"/>
        <v>280</v>
      </c>
      <c r="I65" s="17"/>
      <c r="J65" s="17"/>
      <c r="K65" s="17"/>
      <c r="L65" s="17"/>
      <c r="M65" s="17"/>
      <c r="N65" s="17"/>
    </row>
    <row r="66" spans="1:14" ht="19.95" customHeight="1">
      <c r="A66" s="7">
        <v>65</v>
      </c>
      <c r="B66" s="7" t="s">
        <v>126</v>
      </c>
      <c r="C66" s="7" t="s">
        <v>127</v>
      </c>
      <c r="D66" s="7"/>
      <c r="E66" s="8">
        <v>0</v>
      </c>
      <c r="F66" s="7">
        <v>1</v>
      </c>
      <c r="G66" s="7">
        <v>0</v>
      </c>
      <c r="H66" s="7">
        <f t="shared" si="1"/>
        <v>0</v>
      </c>
      <c r="I66" s="16"/>
      <c r="J66" s="16"/>
      <c r="K66" s="16"/>
      <c r="L66" s="16"/>
      <c r="M66" s="16"/>
      <c r="N66" s="16"/>
    </row>
    <row r="67" spans="1:14" ht="19.95" customHeight="1">
      <c r="A67" s="7">
        <v>66</v>
      </c>
      <c r="B67" s="7" t="s">
        <v>128</v>
      </c>
      <c r="C67" s="7"/>
      <c r="D67" s="7" t="s">
        <v>20</v>
      </c>
      <c r="E67" s="8">
        <v>12</v>
      </c>
      <c r="F67" s="7">
        <v>66</v>
      </c>
      <c r="G67" s="11">
        <v>51</v>
      </c>
      <c r="H67" s="7">
        <f>PRODUCT(G67*E67)</f>
        <v>612</v>
      </c>
      <c r="I67" s="16"/>
      <c r="J67" s="16"/>
      <c r="K67" s="16"/>
      <c r="L67" s="16"/>
      <c r="M67" s="16"/>
      <c r="N67" s="16"/>
    </row>
    <row r="68" spans="1:14" ht="19.95" customHeight="1">
      <c r="A68" s="7">
        <v>67</v>
      </c>
      <c r="B68" s="7" t="s">
        <v>129</v>
      </c>
      <c r="C68" s="7" t="s">
        <v>130</v>
      </c>
      <c r="D68" s="7"/>
      <c r="E68" s="8">
        <v>6.6</v>
      </c>
      <c r="F68" s="7">
        <v>16</v>
      </c>
      <c r="G68" s="11">
        <v>12</v>
      </c>
      <c r="H68" s="7">
        <f>PRODUCT(G68*E68)</f>
        <v>79.2</v>
      </c>
      <c r="I68" s="16"/>
      <c r="J68" s="16"/>
      <c r="K68" s="16"/>
      <c r="L68" s="16"/>
      <c r="M68" s="16"/>
      <c r="N68" s="16"/>
    </row>
    <row r="69" spans="1:14" ht="19.95" customHeight="1">
      <c r="A69" s="7">
        <v>68</v>
      </c>
      <c r="B69" s="7" t="s">
        <v>131</v>
      </c>
      <c r="C69" s="7" t="s">
        <v>132</v>
      </c>
      <c r="D69" s="7" t="s">
        <v>26</v>
      </c>
      <c r="E69" s="21">
        <v>5.5</v>
      </c>
      <c r="F69" s="7">
        <v>10</v>
      </c>
      <c r="G69" s="7">
        <v>0</v>
      </c>
      <c r="H69" s="7">
        <f>PRODUCT(G69*E71)</f>
        <v>0</v>
      </c>
      <c r="I69" s="16"/>
      <c r="J69" s="16"/>
      <c r="K69" s="16"/>
      <c r="L69" s="16"/>
      <c r="M69" s="16"/>
      <c r="N69" s="16"/>
    </row>
    <row r="70" spans="1:14" s="15" customFormat="1" ht="19.95" customHeight="1">
      <c r="A70" s="11"/>
      <c r="B70" s="11" t="s">
        <v>131</v>
      </c>
      <c r="C70" s="11" t="s">
        <v>133</v>
      </c>
      <c r="D70" s="11" t="s">
        <v>67</v>
      </c>
      <c r="E70" s="22">
        <v>5.5</v>
      </c>
      <c r="F70" s="11">
        <v>0</v>
      </c>
      <c r="G70" s="11">
        <v>20</v>
      </c>
      <c r="H70" s="7">
        <f>PRODUCT(G70*E72)</f>
        <v>114</v>
      </c>
      <c r="I70" s="23"/>
      <c r="J70" s="23"/>
      <c r="K70" s="23"/>
      <c r="L70" s="23"/>
      <c r="M70" s="23"/>
      <c r="N70" s="23"/>
    </row>
    <row r="71" spans="1:14" ht="31.95" customHeight="1">
      <c r="A71" s="7">
        <v>69</v>
      </c>
      <c r="B71" s="7" t="s">
        <v>134</v>
      </c>
      <c r="C71" s="7" t="s">
        <v>135</v>
      </c>
      <c r="D71" s="7" t="s">
        <v>26</v>
      </c>
      <c r="E71" s="8">
        <v>5.7</v>
      </c>
      <c r="F71" s="7">
        <v>20</v>
      </c>
      <c r="G71" s="11">
        <v>5</v>
      </c>
      <c r="H71" s="7">
        <v>28.5</v>
      </c>
      <c r="I71" s="16"/>
      <c r="J71" s="16"/>
      <c r="K71" s="16"/>
      <c r="L71" s="16"/>
      <c r="M71" s="16"/>
      <c r="N71" s="16"/>
    </row>
    <row r="72" spans="1:14" s="15" customFormat="1" ht="19.95" customHeight="1">
      <c r="A72" s="11"/>
      <c r="B72" s="11" t="s">
        <v>134</v>
      </c>
      <c r="C72" s="11" t="s">
        <v>136</v>
      </c>
      <c r="D72" s="11" t="s">
        <v>67</v>
      </c>
      <c r="E72" s="12">
        <v>5.7</v>
      </c>
      <c r="F72" s="11">
        <v>0</v>
      </c>
      <c r="G72" s="11">
        <v>5</v>
      </c>
      <c r="H72" s="7">
        <v>28.5</v>
      </c>
      <c r="I72" s="23"/>
      <c r="J72" s="23"/>
      <c r="K72" s="23"/>
      <c r="L72" s="23"/>
      <c r="M72" s="23"/>
      <c r="N72" s="23"/>
    </row>
    <row r="73" spans="1:14" ht="19.95" customHeight="1">
      <c r="A73" s="7">
        <v>70</v>
      </c>
      <c r="B73" s="7" t="s">
        <v>137</v>
      </c>
      <c r="C73" s="7"/>
      <c r="D73" s="7" t="s">
        <v>11</v>
      </c>
      <c r="E73" s="8">
        <v>88</v>
      </c>
      <c r="F73" s="7">
        <v>11</v>
      </c>
      <c r="G73" s="11">
        <v>15</v>
      </c>
      <c r="H73" s="7">
        <f t="shared" ref="H73:H83" si="2">PRODUCT(G73*E73)</f>
        <v>1320</v>
      </c>
      <c r="I73" s="16"/>
      <c r="J73" s="16"/>
      <c r="K73" s="16"/>
      <c r="L73" s="16"/>
      <c r="M73" s="16"/>
      <c r="N73" s="16"/>
    </row>
    <row r="74" spans="1:14" ht="19.95" customHeight="1">
      <c r="A74" s="7">
        <v>71</v>
      </c>
      <c r="B74" s="7" t="s">
        <v>138</v>
      </c>
      <c r="C74" s="7"/>
      <c r="D74" s="7" t="s">
        <v>11</v>
      </c>
      <c r="E74" s="8">
        <v>125</v>
      </c>
      <c r="F74" s="7">
        <v>19</v>
      </c>
      <c r="G74" s="7">
        <v>19</v>
      </c>
      <c r="H74" s="7">
        <f t="shared" si="2"/>
        <v>2375</v>
      </c>
      <c r="I74" s="16"/>
      <c r="J74" s="16"/>
      <c r="K74" s="16"/>
      <c r="L74" s="16"/>
      <c r="M74" s="16"/>
      <c r="N74" s="16"/>
    </row>
    <row r="75" spans="1:14" ht="19.95" customHeight="1">
      <c r="A75" s="7">
        <v>72</v>
      </c>
      <c r="B75" s="7" t="s">
        <v>139</v>
      </c>
      <c r="C75" s="7"/>
      <c r="D75" s="7" t="s">
        <v>11</v>
      </c>
      <c r="E75" s="8">
        <v>192</v>
      </c>
      <c r="F75" s="7">
        <v>16</v>
      </c>
      <c r="G75" s="11">
        <v>13</v>
      </c>
      <c r="H75" s="7">
        <f t="shared" si="2"/>
        <v>2496</v>
      </c>
      <c r="I75" s="16"/>
      <c r="J75" s="16"/>
      <c r="K75" s="16"/>
      <c r="L75" s="16"/>
      <c r="M75" s="16"/>
      <c r="N75" s="16"/>
    </row>
    <row r="76" spans="1:14" ht="19.95" customHeight="1">
      <c r="A76" s="7">
        <v>73</v>
      </c>
      <c r="B76" s="7" t="s">
        <v>140</v>
      </c>
      <c r="C76" s="7"/>
      <c r="D76" s="7" t="s">
        <v>11</v>
      </c>
      <c r="E76" s="8">
        <v>228</v>
      </c>
      <c r="F76" s="7">
        <v>1</v>
      </c>
      <c r="G76" s="7">
        <v>1</v>
      </c>
      <c r="H76" s="7">
        <f t="shared" si="2"/>
        <v>228</v>
      </c>
      <c r="I76" s="16"/>
      <c r="J76" s="16"/>
      <c r="K76" s="16"/>
      <c r="L76" s="16"/>
      <c r="M76" s="16"/>
      <c r="N76" s="16"/>
    </row>
    <row r="77" spans="1:14" ht="19.95" customHeight="1">
      <c r="A77" s="7">
        <v>74</v>
      </c>
      <c r="B77" s="7" t="s">
        <v>141</v>
      </c>
      <c r="C77" s="7"/>
      <c r="D77" s="7" t="s">
        <v>11</v>
      </c>
      <c r="E77" s="8">
        <v>0</v>
      </c>
      <c r="F77" s="7">
        <v>1</v>
      </c>
      <c r="G77" s="11">
        <v>0</v>
      </c>
      <c r="H77" s="7">
        <f t="shared" si="2"/>
        <v>0</v>
      </c>
      <c r="I77" s="16"/>
      <c r="J77" s="16"/>
      <c r="K77" s="16"/>
      <c r="L77" s="16"/>
      <c r="M77" s="16"/>
      <c r="N77" s="16"/>
    </row>
    <row r="78" spans="1:14" s="3" customFormat="1" ht="19.95" customHeight="1">
      <c r="A78" s="7">
        <v>75</v>
      </c>
      <c r="B78" s="11" t="s">
        <v>142</v>
      </c>
      <c r="C78" s="11"/>
      <c r="D78" s="11" t="s">
        <v>11</v>
      </c>
      <c r="E78" s="12">
        <v>22</v>
      </c>
      <c r="F78" s="11">
        <v>0</v>
      </c>
      <c r="G78" s="11">
        <v>5</v>
      </c>
      <c r="H78" s="7">
        <f t="shared" si="2"/>
        <v>110</v>
      </c>
      <c r="I78" s="17"/>
      <c r="J78" s="17"/>
      <c r="K78" s="17"/>
      <c r="L78" s="17"/>
      <c r="M78" s="17"/>
      <c r="N78" s="17"/>
    </row>
    <row r="79" spans="1:14" ht="19.95" customHeight="1">
      <c r="A79" s="7">
        <v>76</v>
      </c>
      <c r="B79" s="7" t="s">
        <v>143</v>
      </c>
      <c r="C79" s="7"/>
      <c r="D79" s="7" t="s">
        <v>11</v>
      </c>
      <c r="E79" s="8">
        <v>42</v>
      </c>
      <c r="F79" s="7">
        <v>1</v>
      </c>
      <c r="G79" s="24">
        <v>1</v>
      </c>
      <c r="H79" s="7">
        <f t="shared" si="2"/>
        <v>42</v>
      </c>
      <c r="I79" s="16"/>
      <c r="J79" s="16"/>
      <c r="K79" s="16"/>
      <c r="L79" s="16"/>
      <c r="M79" s="16"/>
      <c r="N79" s="16"/>
    </row>
    <row r="80" spans="1:14" ht="19.95" customHeight="1">
      <c r="A80" s="7">
        <v>77</v>
      </c>
      <c r="B80" s="7" t="s">
        <v>144</v>
      </c>
      <c r="C80" s="7"/>
      <c r="D80" s="7" t="s">
        <v>11</v>
      </c>
      <c r="E80" s="8">
        <v>64</v>
      </c>
      <c r="F80" s="7">
        <v>5</v>
      </c>
      <c r="G80" s="7">
        <v>5</v>
      </c>
      <c r="H80" s="7">
        <f t="shared" si="2"/>
        <v>320</v>
      </c>
      <c r="I80" s="16"/>
      <c r="J80" s="16"/>
      <c r="K80" s="16"/>
      <c r="L80" s="16"/>
      <c r="M80" s="16"/>
      <c r="N80" s="16"/>
    </row>
    <row r="81" spans="1:14" ht="19.95" customHeight="1">
      <c r="A81" s="7">
        <v>78</v>
      </c>
      <c r="B81" s="7" t="s">
        <v>145</v>
      </c>
      <c r="C81" s="7"/>
      <c r="D81" s="7" t="s">
        <v>11</v>
      </c>
      <c r="E81" s="8">
        <v>148</v>
      </c>
      <c r="F81" s="7">
        <v>8</v>
      </c>
      <c r="G81" s="7">
        <v>8</v>
      </c>
      <c r="H81" s="7">
        <f t="shared" si="2"/>
        <v>1184</v>
      </c>
      <c r="I81" s="16"/>
      <c r="J81" s="16"/>
      <c r="K81" s="16"/>
      <c r="L81" s="16"/>
      <c r="M81" s="16"/>
      <c r="N81" s="16"/>
    </row>
    <row r="82" spans="1:14" ht="19.95" customHeight="1">
      <c r="A82" s="7">
        <v>79</v>
      </c>
      <c r="B82" s="7" t="s">
        <v>146</v>
      </c>
      <c r="C82" s="7"/>
      <c r="D82" s="7" t="s">
        <v>11</v>
      </c>
      <c r="E82" s="8">
        <v>172</v>
      </c>
      <c r="F82" s="7">
        <v>2</v>
      </c>
      <c r="G82" s="7">
        <v>2</v>
      </c>
      <c r="H82" s="7">
        <v>0</v>
      </c>
      <c r="I82" s="16" t="s">
        <v>147</v>
      </c>
      <c r="J82" s="16"/>
      <c r="K82" s="16"/>
      <c r="L82" s="16"/>
      <c r="M82" s="16"/>
      <c r="N82" s="16"/>
    </row>
    <row r="83" spans="1:14" ht="19.95" customHeight="1">
      <c r="A83" s="7">
        <v>80</v>
      </c>
      <c r="B83" s="7" t="s">
        <v>148</v>
      </c>
      <c r="C83" s="7" t="s">
        <v>149</v>
      </c>
      <c r="D83" s="7" t="s">
        <v>67</v>
      </c>
      <c r="E83" s="8">
        <v>1.2</v>
      </c>
      <c r="F83" s="7">
        <v>798</v>
      </c>
      <c r="G83" s="11">
        <v>798</v>
      </c>
      <c r="H83" s="7">
        <f t="shared" si="2"/>
        <v>957.6</v>
      </c>
      <c r="I83" s="16" t="s">
        <v>150</v>
      </c>
      <c r="J83" s="16"/>
      <c r="K83" s="16"/>
      <c r="L83" s="16"/>
      <c r="M83" s="16"/>
      <c r="N83" s="16"/>
    </row>
    <row r="84" spans="1:14" ht="19.95" customHeight="1">
      <c r="A84" s="7">
        <v>81</v>
      </c>
      <c r="B84" s="7" t="s">
        <v>151</v>
      </c>
      <c r="C84" s="7" t="s">
        <v>152</v>
      </c>
      <c r="D84" s="7" t="s">
        <v>26</v>
      </c>
      <c r="E84" s="8">
        <v>0.7</v>
      </c>
      <c r="F84" s="7">
        <v>18</v>
      </c>
      <c r="G84" s="7">
        <v>18</v>
      </c>
      <c r="H84" s="7">
        <v>0</v>
      </c>
      <c r="I84" s="16" t="s">
        <v>68</v>
      </c>
      <c r="J84" s="16"/>
      <c r="K84" s="16"/>
      <c r="L84" s="16"/>
      <c r="M84" s="16"/>
      <c r="N84" s="16"/>
    </row>
    <row r="85" spans="1:14" s="2" customFormat="1">
      <c r="A85" s="25"/>
      <c r="B85" s="25"/>
      <c r="C85" s="25"/>
      <c r="D85" s="25"/>
      <c r="E85" s="26"/>
      <c r="F85" s="25"/>
      <c r="G85" s="25" t="s">
        <v>153</v>
      </c>
      <c r="H85" s="25">
        <f>SUM(H2:H84)</f>
        <v>14730.03</v>
      </c>
      <c r="I85" s="25"/>
      <c r="J85" s="25"/>
      <c r="K85" s="25"/>
      <c r="L85" s="25"/>
      <c r="M85" s="25"/>
      <c r="N85" s="2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topLeftCell="A34" workbookViewId="0">
      <selection activeCell="D68" sqref="D68"/>
    </sheetView>
  </sheetViews>
  <sheetFormatPr defaultColWidth="9.109375" defaultRowHeight="14.4"/>
  <cols>
    <col min="1" max="1" width="6.109375" customWidth="1"/>
    <col min="2" max="2" width="39.5546875" customWidth="1"/>
    <col min="3" max="3" width="20.6640625" customWidth="1"/>
    <col min="4" max="4" width="15.88671875" customWidth="1"/>
    <col min="5" max="5" width="20.6640625" style="4" customWidth="1"/>
    <col min="6" max="7" width="9.5546875" customWidth="1"/>
    <col min="8" max="8" width="9.5546875" style="4" customWidth="1"/>
    <col min="9" max="9" width="16.109375" customWidth="1"/>
    <col min="10" max="10" width="17.44140625" customWidth="1"/>
  </cols>
  <sheetData>
    <row r="1" spans="1:10" ht="37.950000000000003" customHeight="1">
      <c r="A1" s="5" t="s">
        <v>0</v>
      </c>
      <c r="B1" s="5" t="s">
        <v>1</v>
      </c>
      <c r="C1" s="5" t="s">
        <v>2</v>
      </c>
      <c r="D1" s="5" t="s">
        <v>3</v>
      </c>
      <c r="E1" s="6" t="s">
        <v>154</v>
      </c>
      <c r="F1" s="5" t="s">
        <v>155</v>
      </c>
      <c r="G1" s="5" t="s">
        <v>156</v>
      </c>
      <c r="H1" s="6" t="s">
        <v>157</v>
      </c>
      <c r="I1" s="5" t="s">
        <v>158</v>
      </c>
    </row>
    <row r="2" spans="1:10" ht="25.05" customHeight="1">
      <c r="A2" s="7">
        <v>1</v>
      </c>
      <c r="B2" s="7" t="s">
        <v>159</v>
      </c>
      <c r="C2" s="7" t="s">
        <v>160</v>
      </c>
      <c r="D2" s="7" t="s">
        <v>161</v>
      </c>
      <c r="E2" s="8">
        <v>11.2</v>
      </c>
      <c r="F2" s="7">
        <v>1</v>
      </c>
      <c r="G2" s="7">
        <v>1</v>
      </c>
      <c r="H2" s="8">
        <f>PRODUCT(E2*G2)</f>
        <v>11.2</v>
      </c>
      <c r="I2" s="7" t="s">
        <v>162</v>
      </c>
    </row>
    <row r="3" spans="1:10" ht="25.05" customHeight="1">
      <c r="A3" s="7">
        <v>2</v>
      </c>
      <c r="B3" s="7" t="s">
        <v>163</v>
      </c>
      <c r="C3" s="7" t="s">
        <v>164</v>
      </c>
      <c r="D3" s="7" t="s">
        <v>20</v>
      </c>
      <c r="E3" s="8">
        <v>33.700000000000003</v>
      </c>
      <c r="F3" s="7">
        <v>1</v>
      </c>
      <c r="G3" s="7">
        <v>1</v>
      </c>
      <c r="H3" s="8">
        <f t="shared" ref="H3:H36" si="0">PRODUCT(E3*G3)</f>
        <v>33.700000000000003</v>
      </c>
      <c r="I3" s="7" t="s">
        <v>162</v>
      </c>
    </row>
    <row r="4" spans="1:10" ht="39" customHeight="1">
      <c r="A4" s="7">
        <v>3</v>
      </c>
      <c r="B4" s="7" t="s">
        <v>165</v>
      </c>
      <c r="C4" s="7" t="s">
        <v>166</v>
      </c>
      <c r="D4" s="7" t="s">
        <v>11</v>
      </c>
      <c r="E4" s="8">
        <v>2.2999999999999998</v>
      </c>
      <c r="F4" s="7">
        <v>6</v>
      </c>
      <c r="G4" s="7">
        <v>6</v>
      </c>
      <c r="H4" s="8">
        <f t="shared" si="0"/>
        <v>13.8</v>
      </c>
      <c r="I4" s="7" t="s">
        <v>162</v>
      </c>
    </row>
    <row r="5" spans="1:10" ht="25.05" customHeight="1">
      <c r="A5" s="9">
        <v>4</v>
      </c>
      <c r="B5" s="9" t="s">
        <v>24</v>
      </c>
      <c r="C5" s="9" t="s">
        <v>167</v>
      </c>
      <c r="D5" s="9"/>
      <c r="E5" s="10">
        <v>3.64</v>
      </c>
      <c r="F5" s="9">
        <v>2</v>
      </c>
      <c r="G5" s="9"/>
      <c r="H5" s="10">
        <f t="shared" si="0"/>
        <v>0</v>
      </c>
      <c r="I5" s="9" t="s">
        <v>162</v>
      </c>
      <c r="J5" t="s">
        <v>168</v>
      </c>
    </row>
    <row r="6" spans="1:10" ht="42" customHeight="1">
      <c r="A6" s="7">
        <v>5</v>
      </c>
      <c r="B6" s="7" t="s">
        <v>169</v>
      </c>
      <c r="C6" s="7" t="s">
        <v>170</v>
      </c>
      <c r="D6" s="7" t="s">
        <v>67</v>
      </c>
      <c r="E6" s="8">
        <v>2.2999999999999998</v>
      </c>
      <c r="F6" s="7">
        <v>1</v>
      </c>
      <c r="G6" s="7">
        <v>1</v>
      </c>
      <c r="H6" s="8">
        <f t="shared" si="0"/>
        <v>2.2999999999999998</v>
      </c>
      <c r="I6" s="7" t="s">
        <v>162</v>
      </c>
    </row>
    <row r="7" spans="1:10" ht="40.049999999999997" customHeight="1">
      <c r="A7" s="7">
        <v>6</v>
      </c>
      <c r="B7" s="7" t="s">
        <v>171</v>
      </c>
      <c r="C7" s="7" t="s">
        <v>172</v>
      </c>
      <c r="D7" s="7" t="s">
        <v>67</v>
      </c>
      <c r="E7" s="8">
        <v>5.7</v>
      </c>
      <c r="F7" s="7">
        <v>3</v>
      </c>
      <c r="G7" s="7">
        <v>3</v>
      </c>
      <c r="H7" s="8">
        <f t="shared" si="0"/>
        <v>17.100000000000001</v>
      </c>
      <c r="I7" s="7" t="s">
        <v>162</v>
      </c>
    </row>
    <row r="8" spans="1:10" ht="40.950000000000003" customHeight="1">
      <c r="A8" s="9">
        <v>7</v>
      </c>
      <c r="B8" s="9" t="s">
        <v>173</v>
      </c>
      <c r="C8" s="9" t="s">
        <v>174</v>
      </c>
      <c r="D8" s="9"/>
      <c r="E8" s="10">
        <v>1.53</v>
      </c>
      <c r="F8" s="9">
        <v>1</v>
      </c>
      <c r="G8" s="9"/>
      <c r="H8" s="10">
        <f t="shared" si="0"/>
        <v>0</v>
      </c>
      <c r="I8" s="9" t="s">
        <v>162</v>
      </c>
    </row>
    <row r="9" spans="1:10" ht="25.05" customHeight="1">
      <c r="A9" s="7">
        <v>8</v>
      </c>
      <c r="B9" s="7" t="s">
        <v>175</v>
      </c>
      <c r="C9" s="7" t="s">
        <v>176</v>
      </c>
      <c r="D9" s="7" t="s">
        <v>67</v>
      </c>
      <c r="E9" s="8">
        <v>4.3</v>
      </c>
      <c r="F9" s="7">
        <v>4</v>
      </c>
      <c r="G9" s="7">
        <v>4</v>
      </c>
      <c r="H9" s="8">
        <f t="shared" si="0"/>
        <v>17.2</v>
      </c>
      <c r="I9" s="7" t="s">
        <v>162</v>
      </c>
    </row>
    <row r="10" spans="1:10" ht="43.05" customHeight="1">
      <c r="A10" s="7">
        <v>9</v>
      </c>
      <c r="B10" s="7" t="s">
        <v>177</v>
      </c>
      <c r="C10" s="7" t="s">
        <v>178</v>
      </c>
      <c r="D10" s="7" t="s">
        <v>67</v>
      </c>
      <c r="E10" s="8">
        <v>1.1000000000000001</v>
      </c>
      <c r="F10" s="7">
        <v>2</v>
      </c>
      <c r="G10" s="7">
        <v>2</v>
      </c>
      <c r="H10" s="8">
        <f t="shared" si="0"/>
        <v>2.2000000000000002</v>
      </c>
      <c r="I10" s="7" t="s">
        <v>162</v>
      </c>
    </row>
    <row r="11" spans="1:10" ht="37.950000000000003" customHeight="1">
      <c r="A11" s="7">
        <v>10</v>
      </c>
      <c r="B11" s="7" t="s">
        <v>179</v>
      </c>
      <c r="C11" s="7" t="s">
        <v>180</v>
      </c>
      <c r="D11" s="7" t="s">
        <v>67</v>
      </c>
      <c r="E11" s="8">
        <v>12.3</v>
      </c>
      <c r="F11" s="7">
        <v>1</v>
      </c>
      <c r="G11" s="7">
        <v>1</v>
      </c>
      <c r="H11" s="8">
        <f t="shared" si="0"/>
        <v>12.3</v>
      </c>
      <c r="I11" s="7" t="s">
        <v>162</v>
      </c>
    </row>
    <row r="12" spans="1:10" ht="25.05" customHeight="1">
      <c r="A12" s="9">
        <v>11</v>
      </c>
      <c r="B12" s="9" t="s">
        <v>181</v>
      </c>
      <c r="C12" s="9"/>
      <c r="D12" s="9"/>
      <c r="E12" s="10"/>
      <c r="F12" s="9">
        <v>2</v>
      </c>
      <c r="G12" s="9"/>
      <c r="H12" s="10">
        <f t="shared" si="0"/>
        <v>0</v>
      </c>
      <c r="I12" s="9" t="s">
        <v>162</v>
      </c>
    </row>
    <row r="13" spans="1:10" ht="48" customHeight="1">
      <c r="A13" s="9">
        <v>12</v>
      </c>
      <c r="B13" s="9" t="s">
        <v>182</v>
      </c>
      <c r="C13" s="9"/>
      <c r="D13" s="9"/>
      <c r="E13" s="10"/>
      <c r="F13" s="9">
        <v>1</v>
      </c>
      <c r="G13" s="9"/>
      <c r="H13" s="10">
        <f t="shared" si="0"/>
        <v>0</v>
      </c>
      <c r="I13" s="9" t="s">
        <v>162</v>
      </c>
    </row>
    <row r="14" spans="1:10" ht="46.05" customHeight="1">
      <c r="A14" s="9">
        <v>13</v>
      </c>
      <c r="B14" s="9" t="s">
        <v>183</v>
      </c>
      <c r="C14" s="9"/>
      <c r="D14" s="9"/>
      <c r="E14" s="10"/>
      <c r="F14" s="9">
        <v>1</v>
      </c>
      <c r="G14" s="9"/>
      <c r="H14" s="10">
        <f t="shared" si="0"/>
        <v>0</v>
      </c>
      <c r="I14" s="9" t="s">
        <v>162</v>
      </c>
    </row>
    <row r="15" spans="1:10" ht="33" customHeight="1">
      <c r="A15" s="7">
        <v>14</v>
      </c>
      <c r="B15" s="7" t="s">
        <v>184</v>
      </c>
      <c r="C15" s="7" t="s">
        <v>185</v>
      </c>
      <c r="D15" s="7" t="s">
        <v>67</v>
      </c>
      <c r="E15" s="8">
        <v>2.06</v>
      </c>
      <c r="F15" s="7">
        <v>2</v>
      </c>
      <c r="G15" s="7">
        <v>2</v>
      </c>
      <c r="H15" s="8">
        <f t="shared" si="0"/>
        <v>4.12</v>
      </c>
      <c r="I15" s="7" t="s">
        <v>162</v>
      </c>
    </row>
    <row r="16" spans="1:10" ht="46.05" customHeight="1">
      <c r="A16" s="7">
        <v>15</v>
      </c>
      <c r="B16" s="7" t="s">
        <v>186</v>
      </c>
      <c r="C16" s="7" t="s">
        <v>187</v>
      </c>
      <c r="D16" s="7" t="s">
        <v>67</v>
      </c>
      <c r="E16" s="8">
        <v>1.52</v>
      </c>
      <c r="F16" s="7">
        <v>1</v>
      </c>
      <c r="G16" s="7">
        <v>1</v>
      </c>
      <c r="H16" s="8">
        <f t="shared" si="0"/>
        <v>1.52</v>
      </c>
      <c r="I16" s="7" t="s">
        <v>162</v>
      </c>
    </row>
    <row r="17" spans="1:9" ht="39" customHeight="1">
      <c r="A17" s="7">
        <v>16</v>
      </c>
      <c r="B17" s="7" t="s">
        <v>188</v>
      </c>
      <c r="C17" s="7" t="s">
        <v>189</v>
      </c>
      <c r="D17" s="7" t="s">
        <v>20</v>
      </c>
      <c r="E17" s="8">
        <v>1.5</v>
      </c>
      <c r="F17" s="7">
        <v>6</v>
      </c>
      <c r="G17" s="7">
        <v>6</v>
      </c>
      <c r="H17" s="8">
        <f t="shared" si="0"/>
        <v>9</v>
      </c>
      <c r="I17" s="7" t="s">
        <v>162</v>
      </c>
    </row>
    <row r="18" spans="1:9" ht="25.05" customHeight="1">
      <c r="A18" s="7">
        <v>17</v>
      </c>
      <c r="B18" s="7" t="s">
        <v>190</v>
      </c>
      <c r="C18" s="7"/>
      <c r="D18" s="7" t="s">
        <v>20</v>
      </c>
      <c r="E18" s="8">
        <v>4</v>
      </c>
      <c r="F18" s="7">
        <v>1</v>
      </c>
      <c r="G18" s="7">
        <v>1</v>
      </c>
      <c r="H18" s="8">
        <f t="shared" si="0"/>
        <v>4</v>
      </c>
      <c r="I18" s="7" t="s">
        <v>162</v>
      </c>
    </row>
    <row r="19" spans="1:9" ht="25.05" customHeight="1">
      <c r="A19" s="7">
        <v>18</v>
      </c>
      <c r="B19" s="7" t="s">
        <v>191</v>
      </c>
      <c r="C19" s="7" t="s">
        <v>192</v>
      </c>
      <c r="D19" s="7" t="s">
        <v>67</v>
      </c>
      <c r="E19" s="8">
        <v>0.6</v>
      </c>
      <c r="F19" s="7">
        <v>5</v>
      </c>
      <c r="G19" s="7">
        <v>5</v>
      </c>
      <c r="H19" s="8">
        <f t="shared" si="0"/>
        <v>3</v>
      </c>
      <c r="I19" s="7" t="s">
        <v>162</v>
      </c>
    </row>
    <row r="20" spans="1:9" ht="25.05" customHeight="1">
      <c r="A20" s="7">
        <v>19</v>
      </c>
      <c r="B20" s="7" t="s">
        <v>193</v>
      </c>
      <c r="C20" s="7" t="s">
        <v>194</v>
      </c>
      <c r="D20" s="7" t="s">
        <v>67</v>
      </c>
      <c r="E20" s="8">
        <v>1.7</v>
      </c>
      <c r="F20" s="7">
        <v>3</v>
      </c>
      <c r="G20" s="7">
        <v>3</v>
      </c>
      <c r="H20" s="8">
        <f t="shared" si="0"/>
        <v>5.0999999999999996</v>
      </c>
      <c r="I20" s="7" t="s">
        <v>162</v>
      </c>
    </row>
    <row r="21" spans="1:9" ht="25.05" customHeight="1">
      <c r="A21" s="7">
        <v>20</v>
      </c>
      <c r="B21" s="7" t="s">
        <v>193</v>
      </c>
      <c r="C21" s="7" t="s">
        <v>195</v>
      </c>
      <c r="D21" s="7" t="s">
        <v>67</v>
      </c>
      <c r="E21" s="8">
        <v>1.5</v>
      </c>
      <c r="F21" s="7">
        <v>8</v>
      </c>
      <c r="G21" s="11">
        <v>26</v>
      </c>
      <c r="H21" s="8">
        <f t="shared" si="0"/>
        <v>39</v>
      </c>
      <c r="I21" s="7" t="s">
        <v>162</v>
      </c>
    </row>
    <row r="22" spans="1:9" ht="25.05" customHeight="1">
      <c r="A22" s="7">
        <v>21</v>
      </c>
      <c r="B22" s="7" t="s">
        <v>196</v>
      </c>
      <c r="C22" s="7" t="s">
        <v>197</v>
      </c>
      <c r="D22" s="7" t="s">
        <v>67</v>
      </c>
      <c r="E22" s="8">
        <v>2.5</v>
      </c>
      <c r="F22" s="7">
        <v>2</v>
      </c>
      <c r="G22" s="7">
        <v>2</v>
      </c>
      <c r="H22" s="8">
        <f t="shared" si="0"/>
        <v>5</v>
      </c>
      <c r="I22" s="7" t="s">
        <v>162</v>
      </c>
    </row>
    <row r="23" spans="1:9" ht="37.049999999999997" customHeight="1">
      <c r="A23" s="7">
        <v>22</v>
      </c>
      <c r="B23" s="7" t="s">
        <v>198</v>
      </c>
      <c r="C23" s="7" t="s">
        <v>199</v>
      </c>
      <c r="D23" s="7" t="s">
        <v>67</v>
      </c>
      <c r="E23" s="8">
        <v>5.8</v>
      </c>
      <c r="F23" s="7">
        <v>1</v>
      </c>
      <c r="G23" s="7">
        <v>1</v>
      </c>
      <c r="H23" s="8">
        <f t="shared" si="0"/>
        <v>5.8</v>
      </c>
      <c r="I23" s="7" t="s">
        <v>162</v>
      </c>
    </row>
    <row r="24" spans="1:9" ht="30" customHeight="1">
      <c r="A24" s="7">
        <v>23</v>
      </c>
      <c r="B24" s="7" t="s">
        <v>200</v>
      </c>
      <c r="C24" s="7" t="s">
        <v>201</v>
      </c>
      <c r="D24" s="7" t="s">
        <v>67</v>
      </c>
      <c r="E24" s="8">
        <v>5.4</v>
      </c>
      <c r="F24" s="7">
        <v>2</v>
      </c>
      <c r="G24" s="7">
        <v>2</v>
      </c>
      <c r="H24" s="8">
        <f t="shared" si="0"/>
        <v>10.8</v>
      </c>
      <c r="I24" s="7" t="s">
        <v>162</v>
      </c>
    </row>
    <row r="25" spans="1:9" s="3" customFormat="1" ht="30" customHeight="1">
      <c r="A25" s="11"/>
      <c r="B25" s="11" t="s">
        <v>202</v>
      </c>
      <c r="C25" s="11"/>
      <c r="D25" s="11" t="s">
        <v>20</v>
      </c>
      <c r="E25" s="12">
        <v>9.3000000000000007</v>
      </c>
      <c r="F25" s="11">
        <v>1</v>
      </c>
      <c r="G25" s="11">
        <v>1</v>
      </c>
      <c r="H25" s="8">
        <f t="shared" si="0"/>
        <v>9.3000000000000007</v>
      </c>
      <c r="I25" s="11"/>
    </row>
    <row r="26" spans="1:9" ht="25.05" customHeight="1">
      <c r="A26" s="7">
        <v>24</v>
      </c>
      <c r="B26" s="7" t="s">
        <v>203</v>
      </c>
      <c r="C26" s="7" t="s">
        <v>204</v>
      </c>
      <c r="D26" s="7" t="s">
        <v>11</v>
      </c>
      <c r="E26" s="8">
        <v>5</v>
      </c>
      <c r="F26" s="7">
        <v>1</v>
      </c>
      <c r="G26" s="7">
        <v>1</v>
      </c>
      <c r="H26" s="8">
        <f t="shared" si="0"/>
        <v>5</v>
      </c>
      <c r="I26" s="7" t="s">
        <v>162</v>
      </c>
    </row>
    <row r="27" spans="1:9" ht="25.05" customHeight="1">
      <c r="A27" s="7">
        <v>25</v>
      </c>
      <c r="B27" s="7" t="s">
        <v>205</v>
      </c>
      <c r="C27" s="7" t="s">
        <v>206</v>
      </c>
      <c r="D27" s="7" t="s">
        <v>161</v>
      </c>
      <c r="E27" s="8">
        <v>2.4</v>
      </c>
      <c r="F27" s="7">
        <v>3</v>
      </c>
      <c r="G27" s="7">
        <v>3</v>
      </c>
      <c r="H27" s="8">
        <f t="shared" si="0"/>
        <v>7.2</v>
      </c>
      <c r="I27" s="7" t="s">
        <v>162</v>
      </c>
    </row>
    <row r="28" spans="1:9" ht="25.05" customHeight="1">
      <c r="A28" s="7">
        <v>26</v>
      </c>
      <c r="B28" s="7" t="s">
        <v>207</v>
      </c>
      <c r="C28" s="7">
        <v>2619802505</v>
      </c>
      <c r="D28" s="7" t="s">
        <v>208</v>
      </c>
      <c r="E28" s="8">
        <v>6.8</v>
      </c>
      <c r="F28" s="7">
        <v>1</v>
      </c>
      <c r="G28" s="7">
        <v>1</v>
      </c>
      <c r="H28" s="8">
        <f t="shared" si="0"/>
        <v>6.8</v>
      </c>
      <c r="I28" s="7" t="s">
        <v>162</v>
      </c>
    </row>
    <row r="29" spans="1:9" ht="39" customHeight="1">
      <c r="A29" s="7">
        <v>27</v>
      </c>
      <c r="B29" s="7" t="s">
        <v>109</v>
      </c>
      <c r="C29" s="7" t="s">
        <v>209</v>
      </c>
      <c r="D29" s="7" t="s">
        <v>20</v>
      </c>
      <c r="E29" s="8">
        <v>9.4</v>
      </c>
      <c r="F29" s="7">
        <v>1</v>
      </c>
      <c r="G29" s="7">
        <v>1</v>
      </c>
      <c r="H29" s="8">
        <f t="shared" si="0"/>
        <v>9.4</v>
      </c>
      <c r="I29" s="7" t="s">
        <v>162</v>
      </c>
    </row>
    <row r="30" spans="1:9" ht="25.05" customHeight="1">
      <c r="A30" s="9">
        <v>28</v>
      </c>
      <c r="B30" s="9" t="s">
        <v>210</v>
      </c>
      <c r="C30" s="9" t="s">
        <v>211</v>
      </c>
      <c r="D30" s="9"/>
      <c r="E30" s="10"/>
      <c r="F30" s="9">
        <v>7</v>
      </c>
      <c r="G30" s="9"/>
      <c r="H30" s="10">
        <f t="shared" si="0"/>
        <v>0</v>
      </c>
      <c r="I30" s="9" t="s">
        <v>162</v>
      </c>
    </row>
    <row r="31" spans="1:9" ht="25.05" customHeight="1">
      <c r="A31" s="7">
        <v>29</v>
      </c>
      <c r="B31" s="7" t="s">
        <v>126</v>
      </c>
      <c r="C31" s="7"/>
      <c r="D31" s="7"/>
      <c r="E31" s="8"/>
      <c r="F31" s="7">
        <v>1</v>
      </c>
      <c r="G31" s="7">
        <v>0</v>
      </c>
      <c r="H31" s="8">
        <f t="shared" si="0"/>
        <v>0</v>
      </c>
      <c r="I31" s="7" t="s">
        <v>162</v>
      </c>
    </row>
    <row r="32" spans="1:9" ht="36" customHeight="1">
      <c r="A32" s="7">
        <v>30</v>
      </c>
      <c r="B32" s="7" t="s">
        <v>212</v>
      </c>
      <c r="C32" s="7" t="s">
        <v>213</v>
      </c>
      <c r="D32" s="7" t="s">
        <v>208</v>
      </c>
      <c r="E32" s="8">
        <v>11.2</v>
      </c>
      <c r="F32" s="7">
        <v>19</v>
      </c>
      <c r="G32" s="7">
        <v>19</v>
      </c>
      <c r="H32" s="8">
        <f t="shared" si="0"/>
        <v>212.8</v>
      </c>
      <c r="I32" s="7" t="s">
        <v>162</v>
      </c>
    </row>
    <row r="33" spans="1:9" ht="39" customHeight="1">
      <c r="A33" s="7">
        <v>31</v>
      </c>
      <c r="B33" s="7" t="s">
        <v>214</v>
      </c>
      <c r="C33" s="7" t="s">
        <v>215</v>
      </c>
      <c r="D33" s="7" t="s">
        <v>208</v>
      </c>
      <c r="E33" s="8">
        <v>1.6</v>
      </c>
      <c r="F33" s="7">
        <v>8</v>
      </c>
      <c r="G33" s="7">
        <v>8</v>
      </c>
      <c r="H33" s="8">
        <f t="shared" si="0"/>
        <v>12.8</v>
      </c>
      <c r="I33" s="7" t="s">
        <v>162</v>
      </c>
    </row>
    <row r="34" spans="1:9" ht="39" customHeight="1">
      <c r="A34" s="11"/>
      <c r="B34" s="11" t="s">
        <v>216</v>
      </c>
      <c r="C34" s="11" t="s">
        <v>217</v>
      </c>
      <c r="D34" s="11" t="s">
        <v>208</v>
      </c>
      <c r="E34" s="12">
        <v>1.5</v>
      </c>
      <c r="F34" s="11">
        <v>3</v>
      </c>
      <c r="G34" s="11">
        <v>3</v>
      </c>
      <c r="H34" s="12">
        <f t="shared" si="0"/>
        <v>4.5</v>
      </c>
      <c r="I34" s="11"/>
    </row>
    <row r="35" spans="1:9" ht="36" customHeight="1">
      <c r="A35" s="7">
        <v>32</v>
      </c>
      <c r="B35" s="7" t="s">
        <v>218</v>
      </c>
      <c r="C35" s="7" t="s">
        <v>219</v>
      </c>
      <c r="D35" s="7" t="s">
        <v>208</v>
      </c>
      <c r="E35" s="8">
        <v>18.2</v>
      </c>
      <c r="F35" s="7">
        <v>6</v>
      </c>
      <c r="G35" s="7">
        <v>6</v>
      </c>
      <c r="H35" s="8">
        <f t="shared" si="0"/>
        <v>109.2</v>
      </c>
      <c r="I35" s="7" t="s">
        <v>162</v>
      </c>
    </row>
    <row r="36" spans="1:9" ht="25.05" customHeight="1">
      <c r="A36" s="7">
        <v>33</v>
      </c>
      <c r="B36" s="7" t="s">
        <v>220</v>
      </c>
      <c r="C36" s="7"/>
      <c r="D36" s="7" t="s">
        <v>20</v>
      </c>
      <c r="E36" s="8">
        <v>110</v>
      </c>
      <c r="F36" s="7">
        <v>3</v>
      </c>
      <c r="G36" s="7">
        <v>3</v>
      </c>
      <c r="H36" s="8">
        <f t="shared" si="0"/>
        <v>330</v>
      </c>
      <c r="I36" s="7" t="s">
        <v>162</v>
      </c>
    </row>
    <row r="37" spans="1:9" ht="25.05" customHeight="1">
      <c r="A37" s="7">
        <v>34</v>
      </c>
      <c r="B37" s="7" t="s">
        <v>221</v>
      </c>
      <c r="C37" s="7" t="s">
        <v>222</v>
      </c>
      <c r="D37" s="7" t="s">
        <v>161</v>
      </c>
      <c r="E37" s="8">
        <v>2.9</v>
      </c>
      <c r="F37" s="7">
        <v>3</v>
      </c>
      <c r="G37" s="7">
        <v>3</v>
      </c>
      <c r="H37" s="8">
        <v>2</v>
      </c>
      <c r="I37" s="7" t="s">
        <v>162</v>
      </c>
    </row>
    <row r="38" spans="1:9" ht="25.05" customHeight="1">
      <c r="A38" s="7">
        <v>35</v>
      </c>
      <c r="B38" s="7" t="s">
        <v>223</v>
      </c>
      <c r="C38" s="7" t="s">
        <v>224</v>
      </c>
      <c r="D38" s="7" t="s">
        <v>208</v>
      </c>
      <c r="E38" s="8">
        <v>2.7</v>
      </c>
      <c r="F38" s="7">
        <v>2</v>
      </c>
      <c r="G38" s="7">
        <v>2</v>
      </c>
      <c r="H38" s="8">
        <f>PRODUCT(E38*G38)</f>
        <v>5.4</v>
      </c>
      <c r="I38" s="7" t="s">
        <v>162</v>
      </c>
    </row>
    <row r="39" spans="1:9" ht="25.05" customHeight="1">
      <c r="A39" s="7">
        <v>36</v>
      </c>
      <c r="B39" s="7" t="s">
        <v>225</v>
      </c>
      <c r="C39" s="7" t="s">
        <v>226</v>
      </c>
      <c r="D39" s="7" t="s">
        <v>208</v>
      </c>
      <c r="E39" s="8">
        <v>4.7</v>
      </c>
      <c r="F39" s="7">
        <v>2</v>
      </c>
      <c r="G39" s="7">
        <v>2</v>
      </c>
      <c r="H39" s="8">
        <f>PRODUCT(E39*G39)</f>
        <v>9.4</v>
      </c>
      <c r="I39" s="7" t="s">
        <v>162</v>
      </c>
    </row>
    <row r="40" spans="1:9" s="2" customFormat="1" ht="25.05" customHeight="1">
      <c r="E40" s="13"/>
      <c r="G40" s="2" t="s">
        <v>227</v>
      </c>
      <c r="H40" s="13">
        <f>SUM(H2:H39)</f>
        <v>920.94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"/>
  <sheetViews>
    <sheetView tabSelected="1" workbookViewId="0">
      <selection activeCell="J25" sqref="J25"/>
    </sheetView>
  </sheetViews>
  <sheetFormatPr defaultColWidth="9.109375" defaultRowHeight="14.4"/>
  <cols>
    <col min="2" max="2" width="72.44140625" customWidth="1"/>
    <col min="3" max="3" width="21.44140625" customWidth="1"/>
    <col min="4" max="4" width="11.44140625" customWidth="1"/>
    <col min="5" max="5" width="8.6640625" customWidth="1"/>
    <col min="6" max="6" width="9.88671875" customWidth="1"/>
    <col min="7" max="7" width="13.33203125" customWidth="1"/>
    <col min="8" max="8" width="17.21875" customWidth="1"/>
    <col min="9" max="9" width="17.5546875" customWidth="1"/>
  </cols>
  <sheetData>
    <row r="1" spans="1:9">
      <c r="B1" t="s">
        <v>228</v>
      </c>
      <c r="C1" t="s">
        <v>229</v>
      </c>
      <c r="D1" t="s">
        <v>3</v>
      </c>
      <c r="E1" t="s">
        <v>154</v>
      </c>
      <c r="F1" t="s">
        <v>230</v>
      </c>
      <c r="G1" t="s">
        <v>231</v>
      </c>
      <c r="H1" t="s">
        <v>317</v>
      </c>
      <c r="I1" t="s">
        <v>318</v>
      </c>
    </row>
    <row r="4" spans="1:9">
      <c r="A4">
        <v>1</v>
      </c>
      <c r="B4" t="s">
        <v>232</v>
      </c>
      <c r="C4" t="s">
        <v>233</v>
      </c>
      <c r="D4" t="s">
        <v>11</v>
      </c>
      <c r="E4">
        <v>33</v>
      </c>
      <c r="F4">
        <v>1</v>
      </c>
      <c r="G4">
        <f>PRODUCT(F4*E4)</f>
        <v>33</v>
      </c>
      <c r="H4">
        <v>12000</v>
      </c>
      <c r="I4">
        <v>65000</v>
      </c>
    </row>
    <row r="5" spans="1:9">
      <c r="A5">
        <v>2</v>
      </c>
      <c r="B5" t="s">
        <v>232</v>
      </c>
      <c r="C5" t="s">
        <v>234</v>
      </c>
      <c r="D5" t="s">
        <v>11</v>
      </c>
      <c r="E5">
        <v>19.600000000000001</v>
      </c>
      <c r="F5">
        <v>1</v>
      </c>
      <c r="G5">
        <f t="shared" ref="G5:G10" si="0">PRODUCT(F5*E5)</f>
        <v>19.600000000000001</v>
      </c>
      <c r="H5">
        <v>8000</v>
      </c>
      <c r="I5">
        <v>45000</v>
      </c>
    </row>
    <row r="6" spans="1:9">
      <c r="A6">
        <v>3</v>
      </c>
      <c r="B6" t="s">
        <v>235</v>
      </c>
      <c r="C6" t="s">
        <v>236</v>
      </c>
      <c r="D6" t="s">
        <v>26</v>
      </c>
      <c r="E6">
        <v>3.6</v>
      </c>
      <c r="F6">
        <v>2</v>
      </c>
      <c r="G6">
        <f t="shared" si="0"/>
        <v>7.2</v>
      </c>
      <c r="H6">
        <v>10000</v>
      </c>
      <c r="I6">
        <v>40000</v>
      </c>
    </row>
    <row r="7" spans="1:9">
      <c r="A7">
        <v>4</v>
      </c>
      <c r="B7" t="s">
        <v>237</v>
      </c>
      <c r="C7" t="s">
        <v>238</v>
      </c>
      <c r="D7" t="s">
        <v>26</v>
      </c>
      <c r="E7">
        <v>13.4</v>
      </c>
      <c r="F7">
        <v>1</v>
      </c>
      <c r="G7">
        <f t="shared" si="0"/>
        <v>13.4</v>
      </c>
      <c r="H7">
        <v>25000</v>
      </c>
      <c r="I7">
        <v>55000</v>
      </c>
    </row>
    <row r="8" spans="1:9">
      <c r="A8">
        <v>5</v>
      </c>
      <c r="B8" t="s">
        <v>239</v>
      </c>
      <c r="C8" t="s">
        <v>240</v>
      </c>
      <c r="D8" t="s">
        <v>26</v>
      </c>
      <c r="E8">
        <v>10.8</v>
      </c>
      <c r="F8">
        <v>6</v>
      </c>
      <c r="G8">
        <f t="shared" si="0"/>
        <v>64.8</v>
      </c>
      <c r="H8">
        <v>18000</v>
      </c>
      <c r="I8">
        <v>45000</v>
      </c>
    </row>
    <row r="9" spans="1:9">
      <c r="A9">
        <v>6</v>
      </c>
      <c r="B9" t="s">
        <v>241</v>
      </c>
      <c r="C9" t="s">
        <v>242</v>
      </c>
      <c r="D9" t="s">
        <v>20</v>
      </c>
      <c r="E9">
        <v>15.9</v>
      </c>
      <c r="F9">
        <v>2</v>
      </c>
      <c r="G9">
        <f t="shared" si="0"/>
        <v>31.8</v>
      </c>
    </row>
    <row r="10" spans="1:9">
      <c r="A10">
        <v>7</v>
      </c>
      <c r="B10" t="s">
        <v>243</v>
      </c>
      <c r="C10" t="s">
        <v>244</v>
      </c>
      <c r="D10" t="s">
        <v>20</v>
      </c>
      <c r="E10">
        <v>7</v>
      </c>
      <c r="F10">
        <v>1</v>
      </c>
      <c r="G10">
        <f t="shared" si="0"/>
        <v>7</v>
      </c>
    </row>
    <row r="11" spans="1:9">
      <c r="A11">
        <v>8</v>
      </c>
      <c r="B11" t="s">
        <v>245</v>
      </c>
      <c r="D11" t="s">
        <v>20</v>
      </c>
      <c r="E11">
        <v>50</v>
      </c>
      <c r="F11">
        <v>2</v>
      </c>
      <c r="G11">
        <f t="shared" ref="G11:G57" si="1">PRODUCT(F11*E11)</f>
        <v>100</v>
      </c>
    </row>
    <row r="12" spans="1:9">
      <c r="A12">
        <v>9</v>
      </c>
      <c r="B12" t="s">
        <v>246</v>
      </c>
      <c r="D12" t="s">
        <v>20</v>
      </c>
      <c r="E12">
        <v>37.200000000000003</v>
      </c>
      <c r="F12">
        <v>1</v>
      </c>
      <c r="G12">
        <f t="shared" si="1"/>
        <v>37.200000000000003</v>
      </c>
    </row>
    <row r="13" spans="1:9">
      <c r="A13">
        <v>10</v>
      </c>
      <c r="B13" t="s">
        <v>247</v>
      </c>
      <c r="D13" t="s">
        <v>20</v>
      </c>
      <c r="E13">
        <v>28.3</v>
      </c>
      <c r="F13">
        <v>1</v>
      </c>
      <c r="G13">
        <f t="shared" si="1"/>
        <v>28.3</v>
      </c>
    </row>
    <row r="14" spans="1:9">
      <c r="A14">
        <v>11</v>
      </c>
      <c r="B14" t="s">
        <v>248</v>
      </c>
      <c r="D14" t="s">
        <v>11</v>
      </c>
      <c r="E14">
        <v>21.9</v>
      </c>
      <c r="F14">
        <v>36</v>
      </c>
      <c r="G14">
        <f t="shared" si="1"/>
        <v>788.4</v>
      </c>
      <c r="H14">
        <v>22000</v>
      </c>
      <c r="I14">
        <v>80000</v>
      </c>
    </row>
    <row r="15" spans="1:9">
      <c r="A15">
        <v>12</v>
      </c>
      <c r="B15" t="s">
        <v>249</v>
      </c>
      <c r="D15" t="s">
        <v>20</v>
      </c>
      <c r="E15">
        <v>12.2</v>
      </c>
      <c r="F15">
        <v>1</v>
      </c>
      <c r="G15">
        <f t="shared" si="1"/>
        <v>12.2</v>
      </c>
    </row>
    <row r="16" spans="1:9">
      <c r="A16">
        <v>13</v>
      </c>
      <c r="B16" t="s">
        <v>250</v>
      </c>
      <c r="D16" t="s">
        <v>11</v>
      </c>
      <c r="E16">
        <v>8.5</v>
      </c>
      <c r="F16">
        <v>1</v>
      </c>
      <c r="G16">
        <f t="shared" si="1"/>
        <v>8.5</v>
      </c>
      <c r="H16">
        <v>10000</v>
      </c>
      <c r="I16">
        <v>55000</v>
      </c>
    </row>
    <row r="17" spans="1:9">
      <c r="A17">
        <v>14</v>
      </c>
      <c r="B17" t="s">
        <v>251</v>
      </c>
      <c r="C17" t="s">
        <v>252</v>
      </c>
      <c r="E17">
        <v>28.8</v>
      </c>
      <c r="F17">
        <v>5</v>
      </c>
      <c r="G17">
        <f t="shared" si="1"/>
        <v>144</v>
      </c>
      <c r="H17">
        <v>30000</v>
      </c>
      <c r="I17">
        <v>85000</v>
      </c>
    </row>
    <row r="18" spans="1:9">
      <c r="A18">
        <v>15</v>
      </c>
      <c r="B18" t="s">
        <v>253</v>
      </c>
      <c r="C18" t="s">
        <v>254</v>
      </c>
      <c r="D18" t="s">
        <v>26</v>
      </c>
      <c r="E18">
        <v>3.8</v>
      </c>
      <c r="F18">
        <v>10</v>
      </c>
      <c r="G18">
        <f t="shared" si="1"/>
        <v>38</v>
      </c>
    </row>
    <row r="19" spans="1:9">
      <c r="A19">
        <v>16</v>
      </c>
      <c r="B19" t="s">
        <v>255</v>
      </c>
      <c r="C19" t="s">
        <v>256</v>
      </c>
      <c r="D19" t="s">
        <v>11</v>
      </c>
      <c r="E19">
        <v>8.5</v>
      </c>
      <c r="F19">
        <v>1</v>
      </c>
      <c r="G19">
        <f t="shared" si="1"/>
        <v>8.5</v>
      </c>
      <c r="H19">
        <v>10000</v>
      </c>
      <c r="I19">
        <v>25000</v>
      </c>
    </row>
    <row r="20" spans="1:9">
      <c r="A20">
        <v>17</v>
      </c>
      <c r="B20" t="s">
        <v>257</v>
      </c>
      <c r="C20" t="s">
        <v>258</v>
      </c>
      <c r="D20" t="s">
        <v>20</v>
      </c>
      <c r="E20">
        <v>9.1999999999999993</v>
      </c>
      <c r="F20">
        <v>3</v>
      </c>
      <c r="G20">
        <f t="shared" si="1"/>
        <v>27.6</v>
      </c>
      <c r="H20">
        <v>10000</v>
      </c>
      <c r="I20">
        <v>25000</v>
      </c>
    </row>
    <row r="21" spans="1:9">
      <c r="A21">
        <v>18</v>
      </c>
      <c r="B21" t="s">
        <v>259</v>
      </c>
      <c r="C21" t="s">
        <v>260</v>
      </c>
      <c r="D21" t="s">
        <v>26</v>
      </c>
      <c r="E21">
        <v>2.6</v>
      </c>
      <c r="F21">
        <v>2</v>
      </c>
      <c r="G21">
        <f t="shared" si="1"/>
        <v>5.2</v>
      </c>
      <c r="H21">
        <v>4500</v>
      </c>
      <c r="I21">
        <v>24000</v>
      </c>
    </row>
    <row r="22" spans="1:9">
      <c r="A22">
        <v>19</v>
      </c>
      <c r="B22" t="s">
        <v>261</v>
      </c>
      <c r="C22" t="s">
        <v>23</v>
      </c>
      <c r="D22" t="s">
        <v>11</v>
      </c>
      <c r="E22">
        <v>9.1999999999999993</v>
      </c>
      <c r="F22">
        <v>7</v>
      </c>
      <c r="G22">
        <f t="shared" si="1"/>
        <v>64.400000000000006</v>
      </c>
      <c r="H22">
        <v>4000</v>
      </c>
      <c r="I22">
        <v>30000</v>
      </c>
    </row>
    <row r="23" spans="1:9">
      <c r="A23">
        <v>20</v>
      </c>
      <c r="B23" t="s">
        <v>262</v>
      </c>
      <c r="C23" t="s">
        <v>263</v>
      </c>
      <c r="D23" t="s">
        <v>20</v>
      </c>
      <c r="E23">
        <v>8.8000000000000007</v>
      </c>
      <c r="F23">
        <v>1</v>
      </c>
      <c r="G23">
        <f t="shared" si="1"/>
        <v>8.8000000000000007</v>
      </c>
    </row>
    <row r="24" spans="1:9">
      <c r="A24">
        <v>21</v>
      </c>
      <c r="B24" t="s">
        <v>264</v>
      </c>
      <c r="C24" t="s">
        <v>265</v>
      </c>
      <c r="D24" t="s">
        <v>11</v>
      </c>
      <c r="E24">
        <v>17.2</v>
      </c>
      <c r="F24">
        <v>1</v>
      </c>
      <c r="G24">
        <f t="shared" si="1"/>
        <v>17.2</v>
      </c>
    </row>
    <row r="25" spans="1:9">
      <c r="A25">
        <v>22</v>
      </c>
      <c r="B25" t="s">
        <v>266</v>
      </c>
      <c r="C25" t="s">
        <v>267</v>
      </c>
      <c r="D25" t="s">
        <v>67</v>
      </c>
      <c r="E25">
        <v>17.8</v>
      </c>
      <c r="F25">
        <v>60</v>
      </c>
      <c r="G25">
        <f t="shared" si="1"/>
        <v>1068</v>
      </c>
      <c r="H25">
        <v>20000</v>
      </c>
      <c r="I25">
        <v>55000</v>
      </c>
    </row>
    <row r="26" spans="1:9">
      <c r="A26">
        <v>23</v>
      </c>
      <c r="B26" t="s">
        <v>268</v>
      </c>
      <c r="C26" t="s">
        <v>269</v>
      </c>
      <c r="D26" t="s">
        <v>11</v>
      </c>
      <c r="E26">
        <v>11.5</v>
      </c>
      <c r="F26">
        <v>23</v>
      </c>
      <c r="G26">
        <f t="shared" si="1"/>
        <v>264.5</v>
      </c>
      <c r="H26">
        <v>10000</v>
      </c>
      <c r="I26">
        <v>45000</v>
      </c>
    </row>
    <row r="27" spans="1:9">
      <c r="A27">
        <v>24</v>
      </c>
      <c r="B27" t="s">
        <v>270</v>
      </c>
      <c r="C27" t="s">
        <v>271</v>
      </c>
      <c r="D27" t="s">
        <v>20</v>
      </c>
      <c r="E27">
        <v>22.5</v>
      </c>
      <c r="F27">
        <v>4</v>
      </c>
      <c r="G27">
        <f t="shared" si="1"/>
        <v>90</v>
      </c>
      <c r="H27">
        <v>15000</v>
      </c>
      <c r="I27">
        <v>55000</v>
      </c>
    </row>
    <row r="28" spans="1:9">
      <c r="A28">
        <v>25</v>
      </c>
      <c r="B28" t="s">
        <v>272</v>
      </c>
      <c r="C28" t="s">
        <v>273</v>
      </c>
      <c r="D28" t="s">
        <v>20</v>
      </c>
      <c r="E28">
        <v>36</v>
      </c>
      <c r="F28">
        <v>2</v>
      </c>
      <c r="G28">
        <f t="shared" si="1"/>
        <v>72</v>
      </c>
      <c r="H28">
        <v>25000</v>
      </c>
      <c r="I28">
        <v>75000</v>
      </c>
    </row>
    <row r="29" spans="1:9">
      <c r="A29">
        <v>26</v>
      </c>
      <c r="B29" t="s">
        <v>274</v>
      </c>
      <c r="C29" t="s">
        <v>275</v>
      </c>
      <c r="D29" t="s">
        <v>11</v>
      </c>
      <c r="E29">
        <v>2.1</v>
      </c>
      <c r="F29">
        <v>45</v>
      </c>
      <c r="G29">
        <f t="shared" si="1"/>
        <v>94.5</v>
      </c>
      <c r="H29">
        <v>2000</v>
      </c>
      <c r="I29">
        <v>18000</v>
      </c>
    </row>
    <row r="30" spans="1:9">
      <c r="A30">
        <v>27</v>
      </c>
      <c r="B30" t="s">
        <v>276</v>
      </c>
      <c r="C30" t="s">
        <v>277</v>
      </c>
      <c r="D30" t="s">
        <v>11</v>
      </c>
      <c r="E30">
        <v>2.1</v>
      </c>
      <c r="F30">
        <v>6</v>
      </c>
      <c r="G30">
        <f t="shared" si="1"/>
        <v>12.6</v>
      </c>
      <c r="H30">
        <v>2000</v>
      </c>
      <c r="I30">
        <v>18000</v>
      </c>
    </row>
    <row r="31" spans="1:9">
      <c r="A31">
        <v>28</v>
      </c>
      <c r="B31" t="s">
        <v>278</v>
      </c>
      <c r="C31" t="s">
        <v>277</v>
      </c>
      <c r="D31" t="s">
        <v>11</v>
      </c>
      <c r="E31">
        <v>2.1</v>
      </c>
      <c r="F31">
        <v>23</v>
      </c>
      <c r="G31">
        <f t="shared" si="1"/>
        <v>48.3</v>
      </c>
      <c r="H31">
        <v>2000</v>
      </c>
      <c r="I31">
        <v>18000</v>
      </c>
    </row>
    <row r="32" spans="1:9">
      <c r="A32">
        <v>29</v>
      </c>
      <c r="B32" t="s">
        <v>279</v>
      </c>
      <c r="C32" t="s">
        <v>277</v>
      </c>
      <c r="D32" t="s">
        <v>11</v>
      </c>
      <c r="E32">
        <v>2.1</v>
      </c>
      <c r="F32">
        <v>12</v>
      </c>
      <c r="G32">
        <f t="shared" si="1"/>
        <v>25.2</v>
      </c>
      <c r="H32">
        <v>2000</v>
      </c>
      <c r="I32">
        <v>18000</v>
      </c>
    </row>
    <row r="33" spans="1:9">
      <c r="A33">
        <v>30</v>
      </c>
      <c r="B33" t="s">
        <v>280</v>
      </c>
      <c r="C33" t="s">
        <v>281</v>
      </c>
      <c r="D33" t="s">
        <v>20</v>
      </c>
      <c r="E33">
        <v>2.1</v>
      </c>
      <c r="F33">
        <v>11</v>
      </c>
      <c r="G33">
        <f t="shared" si="1"/>
        <v>23.1</v>
      </c>
      <c r="H33">
        <v>2000</v>
      </c>
      <c r="I33">
        <v>18000</v>
      </c>
    </row>
    <row r="34" spans="1:9">
      <c r="A34">
        <v>31</v>
      </c>
      <c r="B34" t="s">
        <v>274</v>
      </c>
      <c r="C34" t="s">
        <v>282</v>
      </c>
      <c r="D34" t="s">
        <v>20</v>
      </c>
      <c r="E34">
        <v>2.1</v>
      </c>
      <c r="F34">
        <v>8</v>
      </c>
      <c r="G34">
        <f t="shared" si="1"/>
        <v>16.8</v>
      </c>
      <c r="H34">
        <v>2000</v>
      </c>
      <c r="I34">
        <v>18000</v>
      </c>
    </row>
    <row r="35" spans="1:9">
      <c r="A35">
        <v>32</v>
      </c>
      <c r="B35" t="s">
        <v>283</v>
      </c>
      <c r="C35" t="s">
        <v>284</v>
      </c>
      <c r="D35" t="s">
        <v>20</v>
      </c>
      <c r="E35">
        <v>2.1</v>
      </c>
      <c r="F35">
        <v>2</v>
      </c>
      <c r="G35">
        <f t="shared" si="1"/>
        <v>4.2</v>
      </c>
      <c r="H35">
        <v>2000</v>
      </c>
      <c r="I35">
        <v>18000</v>
      </c>
    </row>
    <row r="36" spans="1:9">
      <c r="A36">
        <v>33</v>
      </c>
      <c r="B36" t="s">
        <v>274</v>
      </c>
      <c r="C36" t="s">
        <v>284</v>
      </c>
      <c r="D36" t="s">
        <v>20</v>
      </c>
      <c r="E36">
        <v>2.1</v>
      </c>
      <c r="F36">
        <v>3</v>
      </c>
      <c r="G36">
        <f t="shared" si="1"/>
        <v>6.3</v>
      </c>
      <c r="H36">
        <v>2000</v>
      </c>
      <c r="I36">
        <v>18000</v>
      </c>
    </row>
    <row r="37" spans="1:9">
      <c r="A37">
        <v>34</v>
      </c>
      <c r="B37" t="s">
        <v>280</v>
      </c>
      <c r="C37" t="s">
        <v>285</v>
      </c>
      <c r="D37" t="s">
        <v>20</v>
      </c>
      <c r="E37">
        <v>2.1</v>
      </c>
      <c r="F37">
        <v>7</v>
      </c>
      <c r="G37">
        <f t="shared" si="1"/>
        <v>14.7</v>
      </c>
      <c r="H37">
        <v>2000</v>
      </c>
      <c r="I37">
        <v>18000</v>
      </c>
    </row>
    <row r="38" spans="1:9">
      <c r="A38">
        <v>35</v>
      </c>
      <c r="B38" t="s">
        <v>274</v>
      </c>
      <c r="C38" t="s">
        <v>286</v>
      </c>
      <c r="D38" t="s">
        <v>20</v>
      </c>
      <c r="E38">
        <v>2.1</v>
      </c>
      <c r="F38">
        <v>2</v>
      </c>
      <c r="G38">
        <f t="shared" si="1"/>
        <v>4.2</v>
      </c>
      <c r="H38">
        <v>2000</v>
      </c>
      <c r="I38">
        <v>18000</v>
      </c>
    </row>
    <row r="39" spans="1:9">
      <c r="A39">
        <v>36</v>
      </c>
      <c r="B39" t="s">
        <v>287</v>
      </c>
      <c r="C39" t="s">
        <v>288</v>
      </c>
      <c r="D39" t="s">
        <v>289</v>
      </c>
      <c r="E39">
        <v>2.1</v>
      </c>
      <c r="F39">
        <v>0</v>
      </c>
      <c r="G39">
        <f t="shared" si="1"/>
        <v>0</v>
      </c>
      <c r="H39">
        <v>2000</v>
      </c>
      <c r="I39">
        <v>18000</v>
      </c>
    </row>
    <row r="40" spans="1:9">
      <c r="A40">
        <v>37</v>
      </c>
      <c r="B40" t="s">
        <v>290</v>
      </c>
      <c r="C40" t="s">
        <v>291</v>
      </c>
      <c r="D40" t="s">
        <v>11</v>
      </c>
      <c r="E40">
        <v>2</v>
      </c>
      <c r="F40">
        <v>3</v>
      </c>
      <c r="G40">
        <f t="shared" si="1"/>
        <v>6</v>
      </c>
      <c r="H40">
        <v>1500</v>
      </c>
      <c r="I40">
        <v>5000</v>
      </c>
    </row>
    <row r="41" spans="1:9">
      <c r="A41">
        <v>38</v>
      </c>
      <c r="B41" t="s">
        <v>292</v>
      </c>
      <c r="C41" t="s">
        <v>293</v>
      </c>
      <c r="D41" t="s">
        <v>11</v>
      </c>
      <c r="E41">
        <v>2</v>
      </c>
      <c r="F41">
        <v>1</v>
      </c>
      <c r="G41">
        <f t="shared" si="1"/>
        <v>2</v>
      </c>
      <c r="H41">
        <v>1500</v>
      </c>
      <c r="I41">
        <v>5000</v>
      </c>
    </row>
    <row r="42" spans="1:9">
      <c r="A42">
        <v>39</v>
      </c>
      <c r="B42" t="s">
        <v>294</v>
      </c>
      <c r="C42" t="s">
        <v>295</v>
      </c>
      <c r="D42" t="s">
        <v>11</v>
      </c>
      <c r="E42">
        <v>2</v>
      </c>
      <c r="F42">
        <v>2</v>
      </c>
      <c r="G42">
        <f t="shared" si="1"/>
        <v>4</v>
      </c>
      <c r="H42">
        <v>1500</v>
      </c>
      <c r="I42">
        <v>5000</v>
      </c>
    </row>
    <row r="43" spans="1:9">
      <c r="A43">
        <v>40</v>
      </c>
      <c r="B43" t="s">
        <v>292</v>
      </c>
      <c r="C43" t="s">
        <v>296</v>
      </c>
      <c r="D43" t="s">
        <v>20</v>
      </c>
      <c r="E43">
        <v>2</v>
      </c>
      <c r="F43">
        <v>1</v>
      </c>
      <c r="G43">
        <f t="shared" si="1"/>
        <v>2</v>
      </c>
      <c r="H43">
        <v>1500</v>
      </c>
      <c r="I43">
        <v>5000</v>
      </c>
    </row>
    <row r="44" spans="1:9">
      <c r="A44">
        <v>41</v>
      </c>
      <c r="B44" t="s">
        <v>292</v>
      </c>
      <c r="C44" t="s">
        <v>297</v>
      </c>
      <c r="D44" t="s">
        <v>20</v>
      </c>
      <c r="E44">
        <v>2</v>
      </c>
      <c r="F44">
        <v>1</v>
      </c>
      <c r="G44">
        <f t="shared" si="1"/>
        <v>2</v>
      </c>
      <c r="H44">
        <v>1500</v>
      </c>
      <c r="I44">
        <v>5000</v>
      </c>
    </row>
    <row r="45" spans="1:9">
      <c r="A45">
        <v>42</v>
      </c>
      <c r="B45" t="s">
        <v>298</v>
      </c>
      <c r="C45" t="s">
        <v>297</v>
      </c>
      <c r="D45" t="s">
        <v>20</v>
      </c>
      <c r="E45">
        <v>2</v>
      </c>
      <c r="F45">
        <v>2</v>
      </c>
      <c r="G45">
        <f t="shared" si="1"/>
        <v>4</v>
      </c>
      <c r="H45">
        <v>1500</v>
      </c>
      <c r="I45">
        <v>5000</v>
      </c>
    </row>
    <row r="46" spans="1:9">
      <c r="A46">
        <v>43</v>
      </c>
      <c r="B46" t="s">
        <v>299</v>
      </c>
      <c r="C46" t="s">
        <v>300</v>
      </c>
      <c r="D46" t="s">
        <v>11</v>
      </c>
      <c r="E46">
        <v>3.1</v>
      </c>
      <c r="F46">
        <v>4</v>
      </c>
      <c r="G46">
        <f t="shared" si="1"/>
        <v>12.4</v>
      </c>
      <c r="H46">
        <v>2500</v>
      </c>
      <c r="I46">
        <v>6000</v>
      </c>
    </row>
    <row r="47" spans="1:9">
      <c r="A47">
        <v>44</v>
      </c>
      <c r="B47" t="s">
        <v>301</v>
      </c>
      <c r="C47" t="s">
        <v>300</v>
      </c>
      <c r="D47" t="s">
        <v>20</v>
      </c>
      <c r="E47">
        <v>3.1</v>
      </c>
      <c r="F47">
        <v>7</v>
      </c>
      <c r="G47">
        <f t="shared" si="1"/>
        <v>21.7</v>
      </c>
      <c r="H47">
        <v>2500</v>
      </c>
      <c r="I47">
        <v>6000</v>
      </c>
    </row>
    <row r="48" spans="1:9">
      <c r="A48">
        <v>45</v>
      </c>
      <c r="B48" t="s">
        <v>299</v>
      </c>
      <c r="C48" t="s">
        <v>302</v>
      </c>
      <c r="D48" t="s">
        <v>20</v>
      </c>
      <c r="E48">
        <v>3.1</v>
      </c>
      <c r="F48">
        <v>4</v>
      </c>
      <c r="G48">
        <f t="shared" si="1"/>
        <v>12.4</v>
      </c>
      <c r="H48">
        <v>2500</v>
      </c>
      <c r="I48">
        <v>6000</v>
      </c>
    </row>
    <row r="49" spans="1:9">
      <c r="A49">
        <v>46</v>
      </c>
      <c r="B49" t="s">
        <v>301</v>
      </c>
      <c r="C49" t="s">
        <v>302</v>
      </c>
      <c r="D49" t="s">
        <v>20</v>
      </c>
      <c r="E49">
        <v>3.1</v>
      </c>
      <c r="F49">
        <v>1</v>
      </c>
      <c r="G49">
        <f t="shared" si="1"/>
        <v>3.1</v>
      </c>
      <c r="H49">
        <v>2500</v>
      </c>
      <c r="I49">
        <v>6000</v>
      </c>
    </row>
    <row r="50" spans="1:9">
      <c r="A50">
        <v>47</v>
      </c>
      <c r="B50" t="s">
        <v>303</v>
      </c>
      <c r="C50" t="s">
        <v>304</v>
      </c>
      <c r="D50" t="s">
        <v>20</v>
      </c>
      <c r="E50">
        <v>3.1</v>
      </c>
      <c r="F50">
        <v>1</v>
      </c>
      <c r="G50">
        <f t="shared" si="1"/>
        <v>3.1</v>
      </c>
      <c r="H50">
        <v>2500</v>
      </c>
      <c r="I50">
        <v>6000</v>
      </c>
    </row>
    <row r="51" spans="1:9">
      <c r="A51">
        <v>48</v>
      </c>
      <c r="B51" t="s">
        <v>305</v>
      </c>
      <c r="C51" t="s">
        <v>304</v>
      </c>
      <c r="D51" t="s">
        <v>20</v>
      </c>
      <c r="E51">
        <v>3.1</v>
      </c>
      <c r="F51">
        <v>5</v>
      </c>
      <c r="G51">
        <f t="shared" si="1"/>
        <v>15.5</v>
      </c>
      <c r="H51">
        <v>2500</v>
      </c>
      <c r="I51">
        <v>6000</v>
      </c>
    </row>
    <row r="52" spans="1:9">
      <c r="A52">
        <v>49</v>
      </c>
      <c r="B52" t="s">
        <v>306</v>
      </c>
      <c r="C52" t="s">
        <v>307</v>
      </c>
      <c r="D52" t="s">
        <v>20</v>
      </c>
      <c r="E52">
        <v>3.1</v>
      </c>
      <c r="F52">
        <v>5</v>
      </c>
      <c r="G52">
        <f t="shared" si="1"/>
        <v>15.5</v>
      </c>
      <c r="H52">
        <v>2500</v>
      </c>
      <c r="I52">
        <v>6000</v>
      </c>
    </row>
    <row r="53" spans="1:9">
      <c r="A53">
        <v>50</v>
      </c>
      <c r="B53" t="s">
        <v>308</v>
      </c>
      <c r="C53" t="s">
        <v>49</v>
      </c>
      <c r="D53" t="s">
        <v>11</v>
      </c>
      <c r="E53">
        <v>3.7</v>
      </c>
      <c r="F53">
        <v>8</v>
      </c>
      <c r="G53">
        <f t="shared" si="1"/>
        <v>29.6</v>
      </c>
      <c r="H53">
        <v>2500</v>
      </c>
      <c r="I53">
        <v>6000</v>
      </c>
    </row>
    <row r="54" spans="1:9">
      <c r="A54">
        <v>51</v>
      </c>
      <c r="B54" t="s">
        <v>309</v>
      </c>
      <c r="C54" t="s">
        <v>52</v>
      </c>
      <c r="D54" t="s">
        <v>11</v>
      </c>
      <c r="E54">
        <v>3.7</v>
      </c>
      <c r="F54">
        <v>3</v>
      </c>
      <c r="G54">
        <f t="shared" si="1"/>
        <v>11.1</v>
      </c>
      <c r="H54">
        <v>2500</v>
      </c>
      <c r="I54">
        <v>6000</v>
      </c>
    </row>
    <row r="55" spans="1:9">
      <c r="A55">
        <v>52</v>
      </c>
      <c r="B55" t="s">
        <v>310</v>
      </c>
      <c r="C55" t="s">
        <v>311</v>
      </c>
      <c r="D55" t="s">
        <v>67</v>
      </c>
      <c r="E55">
        <v>4.7009999999999996</v>
      </c>
      <c r="F55">
        <v>8</v>
      </c>
      <c r="G55">
        <f t="shared" si="1"/>
        <v>37.607999999999997</v>
      </c>
      <c r="H55">
        <v>6500</v>
      </c>
      <c r="I55">
        <v>22000</v>
      </c>
    </row>
    <row r="56" spans="1:9">
      <c r="A56">
        <v>53</v>
      </c>
      <c r="B56" t="s">
        <v>312</v>
      </c>
      <c r="C56" t="s">
        <v>313</v>
      </c>
      <c r="D56" t="s">
        <v>26</v>
      </c>
      <c r="E56">
        <v>3.9</v>
      </c>
      <c r="F56">
        <v>16</v>
      </c>
      <c r="G56">
        <f t="shared" si="1"/>
        <v>62.4</v>
      </c>
      <c r="H56">
        <v>6500</v>
      </c>
      <c r="I56">
        <v>22000</v>
      </c>
    </row>
    <row r="57" spans="1:9">
      <c r="A57">
        <v>54</v>
      </c>
      <c r="B57" t="s">
        <v>314</v>
      </c>
      <c r="C57" t="s">
        <v>315</v>
      </c>
      <c r="D57" t="s">
        <v>67</v>
      </c>
      <c r="E57">
        <v>4.9000000000000004</v>
      </c>
      <c r="F57">
        <v>4</v>
      </c>
      <c r="G57">
        <f t="shared" si="1"/>
        <v>19.600000000000001</v>
      </c>
      <c r="H57">
        <v>6500</v>
      </c>
      <c r="I57">
        <v>18500</v>
      </c>
    </row>
    <row r="58" spans="1:9" s="1" customFormat="1">
      <c r="F58" s="2" t="s">
        <v>316</v>
      </c>
      <c r="G58" s="1">
        <f>SUM(G4:G57)</f>
        <v>3473.5079999999998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Приложение № 2 (ПИТЕР)</vt:lpstr>
      <vt:lpstr>Приложение №3 (Питер)</vt:lpstr>
      <vt:lpstr>нет в списках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 Бурыкин</cp:lastModifiedBy>
  <dcterms:created xsi:type="dcterms:W3CDTF">2026-09-30T05:30:00Z</dcterms:created>
  <dcterms:modified xsi:type="dcterms:W3CDTF">2026-10-13T09:41:47Z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BDFB382DCF5E4DF88791266E2703F588_13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
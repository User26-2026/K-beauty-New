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Перечень для отгрузки" sheetId="1" r:id="rId1"/>
    <sheet name="упак. лист №1" sheetId="2" r:id="rId2"/>
    <sheet name="упак. лист №2" sheetId="3" r:id="rId3"/>
    <sheet name="упак. лист № 3" sheetId="4" r:id="rId4"/>
    <sheet name="упак. лист № 4" sheetId="5" r:id="rId5"/>
    <sheet name="упак. лист№ 5" sheetId="6" r:id="rId6"/>
    <sheet name="упак. лист № 6" sheetId="7" r:id="rId7"/>
    <sheet name="упак. лист №7" sheetId="8" r:id="rId8"/>
    <sheet name="упак. лист №8" sheetId="9" r:id="rId9"/>
    <sheet name="упак. лист №9" sheetId="10" r:id="rId10"/>
  </sheets>
  <definedNames>
    <definedName name="_xlnm._FilterDatabase" localSheetId="0" hidden="1">'Перечень для отгрузки'!$A$1:$M$244</definedName>
    <definedName name="_xlnm.Print_Titles" localSheetId="0">'Перечень для отгрузки'!$1:$1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<sst xmlns="http://schemas.openxmlformats.org/spreadsheetml/2006/main" count="1158" uniqueCount="439">
  <si>
    <t>№</t>
  </si>
  <si>
    <t>Наименование</t>
  </si>
  <si>
    <t>Ду</t>
  </si>
  <si>
    <t>Ру</t>
  </si>
  <si>
    <t>Чертеж</t>
  </si>
  <si>
    <t xml:space="preserve">Состояние </t>
  </si>
  <si>
    <t>Кол-во по учету, шт</t>
  </si>
  <si>
    <t xml:space="preserve">кол-во итого </t>
  </si>
  <si>
    <t>Вес 1 шт, кг</t>
  </si>
  <si>
    <t>Вес всего, кг</t>
  </si>
  <si>
    <t xml:space="preserve">Маховик , кол-во </t>
  </si>
  <si>
    <t>вес итого</t>
  </si>
  <si>
    <t xml:space="preserve">упаковка </t>
  </si>
  <si>
    <t xml:space="preserve">Задвижка клинкетная </t>
  </si>
  <si>
    <t>Задвижка клинкетная   Ду 350</t>
  </si>
  <si>
    <t>532-01.024</t>
  </si>
  <si>
    <t>б/у</t>
  </si>
  <si>
    <t>фото</t>
  </si>
  <si>
    <t>Задвижка клинкетная стальная  Ду300</t>
  </si>
  <si>
    <t/>
  </si>
  <si>
    <t>без чертежа</t>
  </si>
  <si>
    <t>Задвижка клинкетная  Ду 300</t>
  </si>
  <si>
    <t>532-01.023</t>
  </si>
  <si>
    <t xml:space="preserve">Задвижка клинкетная Ду 300 в разборе , шток отдельно </t>
  </si>
  <si>
    <t xml:space="preserve">б/у </t>
  </si>
  <si>
    <t>Задвижка клинкетная  Ду 250</t>
  </si>
  <si>
    <t>532-01.022</t>
  </si>
  <si>
    <t>Задвижка клинкетная  Ду 250, без штока</t>
  </si>
  <si>
    <t>Задвижка клинкетная  Ду 200</t>
  </si>
  <si>
    <t>532-01.021</t>
  </si>
  <si>
    <t xml:space="preserve">фото </t>
  </si>
  <si>
    <t>Задвижка клинкетная Ду 125</t>
  </si>
  <si>
    <t>532-01.018</t>
  </si>
  <si>
    <t>Задвижка клинкетная Ду 100</t>
  </si>
  <si>
    <t>532-01.017</t>
  </si>
  <si>
    <t xml:space="preserve">Задвижка клинкетная Ду 80 </t>
  </si>
  <si>
    <t>532-01.016</t>
  </si>
  <si>
    <t>Задвижка клинкетная Ду60</t>
  </si>
  <si>
    <t>532-01.014</t>
  </si>
  <si>
    <t>Задвижка клинкетная Ду 50, без клиньев</t>
  </si>
  <si>
    <t>532-01.013</t>
  </si>
  <si>
    <t xml:space="preserve">Фланцевая проходная </t>
  </si>
  <si>
    <t>Клапан фланцевый проходной Ду200</t>
  </si>
  <si>
    <t>522-03.184</t>
  </si>
  <si>
    <t>522-01.232</t>
  </si>
  <si>
    <t xml:space="preserve">Клапан фланцевый проходной Ду125 </t>
  </si>
  <si>
    <t>521-35.3455-02</t>
  </si>
  <si>
    <t>521-03.491</t>
  </si>
  <si>
    <t>Клапан фланцевый проходной Ду125</t>
  </si>
  <si>
    <t>522-.....</t>
  </si>
  <si>
    <t xml:space="preserve">Клапан фланцевый проходной Ду100 </t>
  </si>
  <si>
    <t>521-3М.511</t>
  </si>
  <si>
    <t>Клапан невозвратный Ду 100</t>
  </si>
  <si>
    <t>522-03.205</t>
  </si>
  <si>
    <t>новый</t>
  </si>
  <si>
    <t>522-01.168</t>
  </si>
  <si>
    <t>Клапан фланцевый проходной Ду50</t>
  </si>
  <si>
    <t>521-35.3442</t>
  </si>
  <si>
    <t xml:space="preserve">Клапан фланцевый проходной Ду50 </t>
  </si>
  <si>
    <t>521-03.495</t>
  </si>
  <si>
    <t>521-01.182</t>
  </si>
  <si>
    <t>521-01.128</t>
  </si>
  <si>
    <t>521-35.3381</t>
  </si>
  <si>
    <t>522-35.4151-02</t>
  </si>
  <si>
    <t>521-35.3442-01</t>
  </si>
  <si>
    <t>УН522-3М520</t>
  </si>
  <si>
    <t>УН522-3М97</t>
  </si>
  <si>
    <t>522-03.192</t>
  </si>
  <si>
    <t>522-35.859</t>
  </si>
  <si>
    <t>522-35.4076</t>
  </si>
  <si>
    <t>522-01.174</t>
  </si>
  <si>
    <t>522-3М.566</t>
  </si>
  <si>
    <t>522-01.224</t>
  </si>
  <si>
    <t xml:space="preserve">фланцы  брак </t>
  </si>
  <si>
    <t>бу</t>
  </si>
  <si>
    <t>Клапан фланцевый проходной Ду80 Ру 40 сталь</t>
  </si>
  <si>
    <t>521-35.3437</t>
  </si>
  <si>
    <t>522-01.101</t>
  </si>
  <si>
    <t xml:space="preserve">Клапан фланцевый проходной Ду50 Ру 40 сталь </t>
  </si>
  <si>
    <t>522-01.322</t>
  </si>
  <si>
    <t>Клапан быстрозапор. фланц. проход. с тросиков. приводом Ду40Ру6,3</t>
  </si>
  <si>
    <t>6,3</t>
  </si>
  <si>
    <t>521-03.020</t>
  </si>
  <si>
    <t>Клапан быстрозапор. фланц. проход. с тросиков. приводом Ду65Ру6,3</t>
  </si>
  <si>
    <t>521-03.022</t>
  </si>
  <si>
    <t>Клапан быстрозапор. фланц. проход. с тросиков. приводом Ду100</t>
  </si>
  <si>
    <t>521-03.023</t>
  </si>
  <si>
    <t>Клапан фланцевый проходной ДУ20 Ру25</t>
  </si>
  <si>
    <t>25</t>
  </si>
  <si>
    <t>УН521-3М.324</t>
  </si>
  <si>
    <t>УН521-3М.516</t>
  </si>
  <si>
    <t>Фильтр забортной воды</t>
  </si>
  <si>
    <t>Фильтр забортной воды Ду200</t>
  </si>
  <si>
    <t>427-03.112-2</t>
  </si>
  <si>
    <t xml:space="preserve">барашек 1 шт  нет </t>
  </si>
  <si>
    <t>Фильтр заборной воды ДУ 150</t>
  </si>
  <si>
    <t>427-30.240</t>
  </si>
  <si>
    <t>Фильтр забортной воды Ду 100</t>
  </si>
  <si>
    <t>427-03.192-2</t>
  </si>
  <si>
    <t>Фильтр заборной воды ДУ 80</t>
  </si>
  <si>
    <t>427-03.108-2</t>
  </si>
  <si>
    <t xml:space="preserve">Фильтр заборной воды ДУ 80, сталь </t>
  </si>
  <si>
    <t>427-130.10727</t>
  </si>
  <si>
    <t>Фильтр однопатронный фланцевый Ду 80</t>
  </si>
  <si>
    <t xml:space="preserve">Фильтр штуцрный Ду 25 </t>
  </si>
  <si>
    <t>427-03.129-1</t>
  </si>
  <si>
    <t>Фильтр штуцрный Ду 20</t>
  </si>
  <si>
    <t>427-03.128-2</t>
  </si>
  <si>
    <t>Фланцевая угловая</t>
  </si>
  <si>
    <t>Клапан фланцевый угловой Ду100</t>
  </si>
  <si>
    <t>522-01.245</t>
  </si>
  <si>
    <t>522-03.197</t>
  </si>
  <si>
    <t>522-35.4171-02</t>
  </si>
  <si>
    <t>522-35.4206</t>
  </si>
  <si>
    <t>Клапан фланцевый угловой Ду80</t>
  </si>
  <si>
    <t>522-35.4170-02</t>
  </si>
  <si>
    <t>521-35.3389</t>
  </si>
  <si>
    <t>521-35.3453-02</t>
  </si>
  <si>
    <t xml:space="preserve">Клапан фланцевый угловой Ду80, сталь </t>
  </si>
  <si>
    <t>521-3м.530</t>
  </si>
  <si>
    <t>522-01.194</t>
  </si>
  <si>
    <t>521-03.496</t>
  </si>
  <si>
    <t>522-01.244</t>
  </si>
  <si>
    <t xml:space="preserve">новый </t>
  </si>
  <si>
    <t>522-03.196</t>
  </si>
  <si>
    <t>522-35.4074</t>
  </si>
  <si>
    <t>521-01.150</t>
  </si>
  <si>
    <t>521-01.150-02</t>
  </si>
  <si>
    <t>521-01.204</t>
  </si>
  <si>
    <t>521-35.011</t>
  </si>
  <si>
    <t>новая</t>
  </si>
  <si>
    <t>Клапан фланцевый угловой Ду70</t>
  </si>
  <si>
    <t>522-3м.575</t>
  </si>
  <si>
    <t>Клапан фланцевый угловой Ду65 Ру10</t>
  </si>
  <si>
    <t>522-35.4154-02</t>
  </si>
  <si>
    <t>10</t>
  </si>
  <si>
    <t>522-35.4201</t>
  </si>
  <si>
    <t>Клапан фланцевый угловой Ду65 Ру40</t>
  </si>
  <si>
    <t>521-03.230</t>
  </si>
  <si>
    <t>Клапан фланцевый угловой Ду50</t>
  </si>
  <si>
    <t>521-01.147</t>
  </si>
  <si>
    <t>521-01.500</t>
  </si>
  <si>
    <t>Клапан фланцевый угловой Ду40 РУ 25</t>
  </si>
  <si>
    <t>522-35.446</t>
  </si>
  <si>
    <t>Клапан фланцевый угловой Ду32 Ру25</t>
  </si>
  <si>
    <t>522-01.239</t>
  </si>
  <si>
    <t>Клапан фланцевый угловой Ду25</t>
  </si>
  <si>
    <t>521-3М539</t>
  </si>
  <si>
    <t>521-3М.123</t>
  </si>
  <si>
    <t xml:space="preserve">Клапан фланцевый угловой Ду25, сталь </t>
  </si>
  <si>
    <t xml:space="preserve">Клапан пожарный </t>
  </si>
  <si>
    <t>Клапан фланц.  пожарный угловой Ду32 Ру10</t>
  </si>
  <si>
    <t>595-03-006</t>
  </si>
  <si>
    <t>Клапан фланц. пожарный угловой Ду32 Ру16</t>
  </si>
  <si>
    <t>595-01-010</t>
  </si>
  <si>
    <t>Клапан фланц. пожарный проходной  Ду50</t>
  </si>
  <si>
    <t>595-03.009</t>
  </si>
  <si>
    <t>595-01.002</t>
  </si>
  <si>
    <t xml:space="preserve">Коробки клапанные </t>
  </si>
  <si>
    <t>Коробка 3-х клап.фланцевая Ду100</t>
  </si>
  <si>
    <t>526-03.172</t>
  </si>
  <si>
    <t>Коробка 2-х клапановая фланцевая Ду80</t>
  </si>
  <si>
    <t>526-03.091</t>
  </si>
  <si>
    <t>526-03.163</t>
  </si>
  <si>
    <t>Коробка 3-х клап.фланцевая Ду80</t>
  </si>
  <si>
    <t>526-03.109</t>
  </si>
  <si>
    <t>526-03.097</t>
  </si>
  <si>
    <t>6</t>
  </si>
  <si>
    <t>526-03.171</t>
  </si>
  <si>
    <t>Коробка 2-х клапановая фланцевая Ду50</t>
  </si>
  <si>
    <t>526-03.089</t>
  </si>
  <si>
    <t>526-03.162</t>
  </si>
  <si>
    <t>Коробка 3-х клап.фланцевая Ду50</t>
  </si>
  <si>
    <t>526-03.107</t>
  </si>
  <si>
    <t>526-03.095</t>
  </si>
  <si>
    <t xml:space="preserve">Захлопки </t>
  </si>
  <si>
    <t>Захлопка фланцевая вертикальная Ду100</t>
  </si>
  <si>
    <t>529-03.003</t>
  </si>
  <si>
    <t>Захлопка фланцевая горизон. Ду100</t>
  </si>
  <si>
    <t>529-03.074</t>
  </si>
  <si>
    <t>Захлопка фланцевая проходная Ду100</t>
  </si>
  <si>
    <t>529-35.1406-01</t>
  </si>
  <si>
    <t>Захлопка фланцевая угловая Ду100</t>
  </si>
  <si>
    <t>529-35-1405</t>
  </si>
  <si>
    <t>Захлопка фланцевая вертикальная Ду50</t>
  </si>
  <si>
    <t>529-35.1400-01</t>
  </si>
  <si>
    <t>Захлопка фланцевая горизонтальная Ду50</t>
  </si>
  <si>
    <t>529-03.011</t>
  </si>
  <si>
    <t>529-03.073</t>
  </si>
  <si>
    <t>Захлопка фланцевая горизонтальная Ду80</t>
  </si>
  <si>
    <t>529-03.071</t>
  </si>
  <si>
    <t xml:space="preserve">Кингстоны </t>
  </si>
  <si>
    <t>Кингстон донный фланцевый Ду80 Ру2,5</t>
  </si>
  <si>
    <t>527-03.055</t>
  </si>
  <si>
    <t>527-35.1166-01</t>
  </si>
  <si>
    <t>Кингстон донный фланцевый Ду50 Ру2,5</t>
  </si>
  <si>
    <t>527-03.054</t>
  </si>
  <si>
    <t>527-35.1165-01</t>
  </si>
  <si>
    <t>Кингстон донный фланцевый Ду32Ру2,5</t>
  </si>
  <si>
    <t>527-03.014</t>
  </si>
  <si>
    <t xml:space="preserve">Клапан с присоед. под дюрит </t>
  </si>
  <si>
    <t>Клапан запорн.с присоед.под дюрит прох. Ду65</t>
  </si>
  <si>
    <t>ИШТЛ.491112-003.04</t>
  </si>
  <si>
    <t>521-03.442-04</t>
  </si>
  <si>
    <t>Клапан невозв-запорн.с присоед.под дюрит прох. Ду 50</t>
  </si>
  <si>
    <t>521-03.442-03</t>
  </si>
  <si>
    <t>ИШТЛ.491912-002.04</t>
  </si>
  <si>
    <t>ИШТЛ.491112-003.03</t>
  </si>
  <si>
    <t>Клапан невозв-запорн.с присоед.под дюрит прох. Ду 50 Ру6</t>
  </si>
  <si>
    <t>522-03.124-04</t>
  </si>
  <si>
    <t>коробка №7</t>
  </si>
  <si>
    <t>Клапан угловой с присоединением под дюрит Ду50Ру4</t>
  </si>
  <si>
    <t>521-03.445-04</t>
  </si>
  <si>
    <t xml:space="preserve">Титановая арматура </t>
  </si>
  <si>
    <t>Клапан фланцевый проходной титановые Ду100Ру10</t>
  </si>
  <si>
    <t>521-182.116</t>
  </si>
  <si>
    <t>Клапан фланцевый проходной титановые Ду50Ру10</t>
  </si>
  <si>
    <t>521-182.110</t>
  </si>
  <si>
    <t>коробка №6</t>
  </si>
  <si>
    <t xml:space="preserve">Клапан предохранительный сигнальный </t>
  </si>
  <si>
    <t>Клапан предохранительный штуцерный сигнальный Ду10Ру1,3-6,5</t>
  </si>
  <si>
    <t>1,3-6,5</t>
  </si>
  <si>
    <t>524-03.174</t>
  </si>
  <si>
    <t>коробка №5</t>
  </si>
  <si>
    <t>Клапан предохранительный штуцерный сигнальный Ду10Ру2,5-6,5</t>
  </si>
  <si>
    <t>2,5-6,5</t>
  </si>
  <si>
    <t>524-03.173</t>
  </si>
  <si>
    <t>Клапан предохранительный штуцерный сигнальный Ду6 Ру100-230</t>
  </si>
  <si>
    <t>100-230</t>
  </si>
  <si>
    <t>524-35.2423-01</t>
  </si>
  <si>
    <t>Клапан предохранительный штуцерный сигнальный Ду6Ру100-250</t>
  </si>
  <si>
    <t>524-03.188</t>
  </si>
  <si>
    <t xml:space="preserve">Клапан предохранит. фланцевый угловой Ду32Ру4 </t>
  </si>
  <si>
    <t>4</t>
  </si>
  <si>
    <t>524-03.090</t>
  </si>
  <si>
    <t xml:space="preserve">Манометровый клапан штуцерный </t>
  </si>
  <si>
    <t xml:space="preserve">Клапан для манометра штуцерный  Ду3Ру400 </t>
  </si>
  <si>
    <t>521-03.406</t>
  </si>
  <si>
    <t xml:space="preserve">Паровые клапаны </t>
  </si>
  <si>
    <t>Клапан паровой Ду65Ру10</t>
  </si>
  <si>
    <t>581-03.034</t>
  </si>
  <si>
    <t>Штуцерная угловая</t>
  </si>
  <si>
    <t>Клапан штуцерный угловой ДУ 32 Ру 160</t>
  </si>
  <si>
    <t>522-03.151-01</t>
  </si>
  <si>
    <t>521-03.480</t>
  </si>
  <si>
    <t>Клапан штуцерный угловой Ду32 Ру100</t>
  </si>
  <si>
    <t>100</t>
  </si>
  <si>
    <t>521-01.468-07</t>
  </si>
  <si>
    <t xml:space="preserve"> ящик №1 </t>
  </si>
  <si>
    <t>Клапан штуцерный угловой Ду32Ру100</t>
  </si>
  <si>
    <t>521-01.464-07</t>
  </si>
  <si>
    <t>521-01.464-06</t>
  </si>
  <si>
    <t>522-01.500-07</t>
  </si>
  <si>
    <t xml:space="preserve">Клапан штуцерный угловой Ду32,без маховика , без крышки корпуса </t>
  </si>
  <si>
    <t>Клапан штуцерный угловой Ду32</t>
  </si>
  <si>
    <t>Клапан штуцерный угловой Ду25 Ру 100</t>
  </si>
  <si>
    <t>521--35.3363</t>
  </si>
  <si>
    <t>коробка №8</t>
  </si>
  <si>
    <t>521-01.468-06</t>
  </si>
  <si>
    <t xml:space="preserve">Клапан штуцерный угловой Ду25 Ру 100 без маховика , без крышки корпуса </t>
  </si>
  <si>
    <t>522-01.500-06</t>
  </si>
  <si>
    <t>Клапан штуцерный угловой Ду25 Ру 40</t>
  </si>
  <si>
    <t>521-01.466</t>
  </si>
  <si>
    <t xml:space="preserve">Клапан штуцерный угловой Ду25 Ру 40 без маховика , без крышки корпуса </t>
  </si>
  <si>
    <t>521-3м.634</t>
  </si>
  <si>
    <t>Клапан невозв-запор.цапковый угловой  под дюрит Ду20Ру6</t>
  </si>
  <si>
    <t>522-03.123</t>
  </si>
  <si>
    <t>коробка  № 5</t>
  </si>
  <si>
    <t>Клапан штуцерный угловой Ду20 Ру160</t>
  </si>
  <si>
    <t>521-03.479</t>
  </si>
  <si>
    <t xml:space="preserve">Клапан штуцерный угловой Ду 15 </t>
  </si>
  <si>
    <t>521-03.478-01</t>
  </si>
  <si>
    <t>Клапан штуцерный угловой Ду15</t>
  </si>
  <si>
    <t>521-3м.666</t>
  </si>
  <si>
    <t xml:space="preserve">Клапан штуцерный угловой Ду15 </t>
  </si>
  <si>
    <t>521-01.468-04</t>
  </si>
  <si>
    <t>521-01.468-08</t>
  </si>
  <si>
    <t>522-01.500-04</t>
  </si>
  <si>
    <t xml:space="preserve">Клапан штуцерный угловой Ду15  без маховика , без крышки корпуса </t>
  </si>
  <si>
    <t>Клапан штуцерный угловой Ду15 Ру160</t>
  </si>
  <si>
    <t>160</t>
  </si>
  <si>
    <t>521-03.387</t>
  </si>
  <si>
    <t>525-03.011</t>
  </si>
  <si>
    <t>Клапан штуцерный угловой Ду15Ру100</t>
  </si>
  <si>
    <t>521-01.464-01</t>
  </si>
  <si>
    <t>Клапан штуцерный угловой Ду15Ру40</t>
  </si>
  <si>
    <t>40</t>
  </si>
  <si>
    <t>521-01.465-02</t>
  </si>
  <si>
    <t>Клапан штуцерный угловой Ду10 Р160</t>
  </si>
  <si>
    <t>522-03.149</t>
  </si>
  <si>
    <t>Клапан предохранительный штуцерный угловой Ду10 ру 6,5-9</t>
  </si>
  <si>
    <t>6,5-9</t>
  </si>
  <si>
    <t>524-03.004</t>
  </si>
  <si>
    <t>Клапан штуцерный угловой Рр150/10</t>
  </si>
  <si>
    <t>521-ц22п</t>
  </si>
  <si>
    <t xml:space="preserve">Штуцерная проходная </t>
  </si>
  <si>
    <t>Клапан невозвратный  штуцерный проходной Ду 32 Ру100</t>
  </si>
  <si>
    <t>522-01.494-03</t>
  </si>
  <si>
    <t>коробка №9</t>
  </si>
  <si>
    <t>Клапан невозвратный штуцерный проходной Ду20 Ру40</t>
  </si>
  <si>
    <t>522-3м-9</t>
  </si>
  <si>
    <t>Клапан невозвратный штуцерный проходной Ду20Ру160</t>
  </si>
  <si>
    <t>522-03.089</t>
  </si>
  <si>
    <t xml:space="preserve">Клапан штуцерный проходной Ду 20 Ру 100, без маховика , без крышки корпуса </t>
  </si>
  <si>
    <t>521-01.470-02</t>
  </si>
  <si>
    <t>Клапан штуцерный проходной Ду 20 Ру 100</t>
  </si>
  <si>
    <t>521-01.471-03</t>
  </si>
  <si>
    <t>522-01.498-02</t>
  </si>
  <si>
    <t>521-01.052</t>
  </si>
  <si>
    <t>521-01.470-03</t>
  </si>
  <si>
    <t>Клапан штуцерный проходной Ду 20 Ру 40</t>
  </si>
  <si>
    <t>521-3м.58</t>
  </si>
  <si>
    <t>522-01.501-02</t>
  </si>
  <si>
    <t>(Кнопка)Клапан самозакрывающий проходной муфтовый Ду15Ру3</t>
  </si>
  <si>
    <t>528-35.176</t>
  </si>
  <si>
    <t>Клапан штуцерный проходной бессальниковый  Ду15/1</t>
  </si>
  <si>
    <t>521-35.2608-01</t>
  </si>
  <si>
    <t>коробка  № 4</t>
  </si>
  <si>
    <t>Клапан штуцерный проходной Ду 10 Ру40</t>
  </si>
  <si>
    <t>521-01.471-01</t>
  </si>
  <si>
    <t>Клапан штуцерный проходной Ду 10 Ру400</t>
  </si>
  <si>
    <t>521-35.3238</t>
  </si>
  <si>
    <t>Клапан невозвратный штуцерный проходной Ду 10</t>
  </si>
  <si>
    <t>522-01.493</t>
  </si>
  <si>
    <t xml:space="preserve">Краны </t>
  </si>
  <si>
    <t>Кран двухходовой фланцевый Ду32 Ру6</t>
  </si>
  <si>
    <t>УН536-3М.72</t>
  </si>
  <si>
    <t>Кран двухходовой фланцевый Ду 50 Ру6</t>
  </si>
  <si>
    <t>УН536-3М.74</t>
  </si>
  <si>
    <t>Кран трехходовой штуцерный Ду65 Ру10</t>
  </si>
  <si>
    <t>Кран трехходовой штуцерный Ду70</t>
  </si>
  <si>
    <t>536-3м....</t>
  </si>
  <si>
    <t>Кран трехходовой штуцерный Ду32 Ру10</t>
  </si>
  <si>
    <t>536-35.696</t>
  </si>
  <si>
    <t>коробка  № 3</t>
  </si>
  <si>
    <t>Кран двухходовой штуцерный Ду20 Ру16</t>
  </si>
  <si>
    <t>536-3М5</t>
  </si>
  <si>
    <t>Кран трехходовой штуцерный Ду20 Ру16</t>
  </si>
  <si>
    <t>536-35.695</t>
  </si>
  <si>
    <t>кран штуцерный спускной Ду 15 Ру25</t>
  </si>
  <si>
    <t>528-3м.73</t>
  </si>
  <si>
    <t>кран штуцерный Ду6 Ру25</t>
  </si>
  <si>
    <t>536-3м.330</t>
  </si>
  <si>
    <t>Педальные клапаны</t>
  </si>
  <si>
    <t>Клапан педальный Ду25</t>
  </si>
  <si>
    <t>М528-03.001</t>
  </si>
  <si>
    <t xml:space="preserve">Клапан педальный Ду25 </t>
  </si>
  <si>
    <t xml:space="preserve">Стаканы переборочные </t>
  </si>
  <si>
    <t>Стакан переборочный Ду25Ру100</t>
  </si>
  <si>
    <t>554-35.156</t>
  </si>
  <si>
    <t>коробка  № 2</t>
  </si>
  <si>
    <t>Стакан переборочный Ду20Ру100</t>
  </si>
  <si>
    <t>554-03.909-03</t>
  </si>
  <si>
    <t>554-03.905-06</t>
  </si>
  <si>
    <t>Стакан переборочный Ду10Ру100</t>
  </si>
  <si>
    <t>554-35.265</t>
  </si>
  <si>
    <t xml:space="preserve">Редукционные клапаны </t>
  </si>
  <si>
    <t>Клапан редукционный штуц.проход.односедельный Ду20Ру400 у входа</t>
  </si>
  <si>
    <t>525-03.044</t>
  </si>
  <si>
    <t>525-03.044-01</t>
  </si>
  <si>
    <t>Клапан редукционный штуцерный угловой Ду10Ру200…30 с манометром</t>
  </si>
  <si>
    <t>525-35.2634</t>
  </si>
  <si>
    <t>525-35.2634-04</t>
  </si>
  <si>
    <t xml:space="preserve">Электромагнитные клапаны </t>
  </si>
  <si>
    <t>Клапан с электромагнитным ручным управлением Ду20/10 перем. 220В</t>
  </si>
  <si>
    <t>587-35.8490-04</t>
  </si>
  <si>
    <t>Клапан с электромагнитным ручным управлением</t>
  </si>
  <si>
    <t>587-182.126</t>
  </si>
  <si>
    <t>Клапан пусковой Ду32Ру125</t>
  </si>
  <si>
    <t>587-03.082</t>
  </si>
  <si>
    <t>Клапан пусковой Ду20Ру125</t>
  </si>
  <si>
    <t>587-03.080</t>
  </si>
  <si>
    <t>клапан электромагнитный ду 60 Ру32</t>
  </si>
  <si>
    <t>586-35.043</t>
  </si>
  <si>
    <t>Кланан Рр18-2 45/25</t>
  </si>
  <si>
    <t>Клапан Ду20/10</t>
  </si>
  <si>
    <t>581-С673-3</t>
  </si>
  <si>
    <t>587-35.8491-02</t>
  </si>
  <si>
    <t>587-35.8491-07</t>
  </si>
  <si>
    <t xml:space="preserve">клапан для колонки смотровой </t>
  </si>
  <si>
    <t>Клапан для колонки указательной Ду10 Ру16</t>
  </si>
  <si>
    <t>598-03.022-06</t>
  </si>
  <si>
    <t xml:space="preserve">Эжекторы </t>
  </si>
  <si>
    <t>Эжектор ВЭЖ 6,3</t>
  </si>
  <si>
    <t xml:space="preserve">Головки вентиляционные </t>
  </si>
  <si>
    <t>Грибки АМГ Ду 200 с нижнем приводом</t>
  </si>
  <si>
    <t>(541-03.316-04)</t>
  </si>
  <si>
    <t>Грибки АМГ Ду 175 с нижнем приводом</t>
  </si>
  <si>
    <t>541-03.316-03</t>
  </si>
  <si>
    <t>Грибки АМГ Ду 150 (верхние)</t>
  </si>
  <si>
    <t>(541-03.315-02)</t>
  </si>
  <si>
    <t>Грибки АМГ Ду 150 (нижние)</t>
  </si>
  <si>
    <t>(541-03.316-02)</t>
  </si>
  <si>
    <t>Головка воздушно-квадрат.(поплавковая) Ду125 (без поплавка)</t>
  </si>
  <si>
    <t>(541-03.220)</t>
  </si>
  <si>
    <t>Головка воздушно-квадрат.(поплавковая) Ду80</t>
  </si>
  <si>
    <t>(541-03.218)</t>
  </si>
  <si>
    <t>Головка воздушно-квадрат.(поплавковая) Ду32</t>
  </si>
  <si>
    <t>541-03.224</t>
  </si>
  <si>
    <t>Головка воздушно-квадрат.(поплавковая) Ду25</t>
  </si>
  <si>
    <t>(541-03.232)</t>
  </si>
  <si>
    <t xml:space="preserve">Клапан невозвратно-приемный </t>
  </si>
  <si>
    <t>Клапан невозвратно -приемный Ду 50</t>
  </si>
  <si>
    <t>522-35.4043-01</t>
  </si>
  <si>
    <t>Клапан невозвратно -приемный Ду 65</t>
  </si>
  <si>
    <t>522-35.4044-01</t>
  </si>
  <si>
    <t xml:space="preserve">клапан </t>
  </si>
  <si>
    <t>552-03.023</t>
  </si>
  <si>
    <t>ИТОГО</t>
  </si>
  <si>
    <t xml:space="preserve">Упаковочный лист № 1 </t>
  </si>
  <si>
    <t xml:space="preserve">Итого: </t>
  </si>
  <si>
    <t>Упаковочный лист № 2</t>
  </si>
  <si>
    <t>Упаковочный лист № 3</t>
  </si>
  <si>
    <t>ДУ</t>
  </si>
  <si>
    <t>РУ</t>
  </si>
  <si>
    <t>итого</t>
  </si>
  <si>
    <t>Упаковочный лист № 4</t>
  </si>
  <si>
    <t xml:space="preserve">наименование </t>
  </si>
  <si>
    <t xml:space="preserve">чертеж </t>
  </si>
  <si>
    <t xml:space="preserve">состояние </t>
  </si>
  <si>
    <t xml:space="preserve">кол-во </t>
  </si>
  <si>
    <t xml:space="preserve">вес 1 шт </t>
  </si>
  <si>
    <t xml:space="preserve">всего вес </t>
  </si>
  <si>
    <t>Упаковочный лист № 5</t>
  </si>
  <si>
    <t>100-250</t>
  </si>
  <si>
    <t>Итого</t>
  </si>
  <si>
    <t>Упаковочный лист № 6</t>
  </si>
  <si>
    <t xml:space="preserve">вес </t>
  </si>
  <si>
    <t xml:space="preserve">итого вес </t>
  </si>
  <si>
    <t>Упаковочный лист № 7</t>
  </si>
  <si>
    <t>1.</t>
  </si>
  <si>
    <t>2.</t>
  </si>
  <si>
    <t xml:space="preserve">3. </t>
  </si>
  <si>
    <t xml:space="preserve">Итого </t>
  </si>
  <si>
    <t>Упаковочный лист № 8</t>
  </si>
  <si>
    <t xml:space="preserve">сомтояние </t>
  </si>
  <si>
    <t xml:space="preserve">Упаковочный лист №9 </t>
  </si>
  <si>
    <t>кран штуцерный Ду 6 Ру 25</t>
  </si>
  <si>
    <t xml:space="preserve">итого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</si>
</sst>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_ "/>
    <numFmt numFmtId="179" formatCode="#,##0.0"/>
  </numFmts>
  <fonts count="37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color rgb="FF1F3864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rgb="FF000000"/>
      <name val="Calibri"/>
      <charset val="134"/>
    </font>
    <font>
      <b/>
      <sz val="14"/>
      <color theme="3"/>
      <name val="Arial"/>
      <charset val="134"/>
    </font>
    <font>
      <b/>
      <sz val="16"/>
      <color theme="3"/>
      <name val="Arial"/>
      <charset val="134"/>
    </font>
    <font>
      <sz val="16"/>
      <color theme="3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204"/>
    </font>
    <font>
      <sz val="12"/>
      <color theme="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12" applyNumberFormat="0" applyAlignment="0" applyProtection="0">
      <alignment vertical="center"/>
    </xf>
    <xf numFmtId="0" fontId="27" fillId="13" borderId="13" applyNumberFormat="0" applyAlignment="0" applyProtection="0">
      <alignment vertical="center"/>
    </xf>
    <xf numFmtId="0" fontId="28" fillId="13" borderId="12" applyNumberFormat="0" applyAlignment="0" applyProtection="0">
      <alignment vertical="center"/>
    </xf>
    <xf numFmtId="0" fontId="29" fillId="14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10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5" fillId="3" borderId="0" xfId="0" applyFont="1" applyFill="1"/>
    <xf numFmtId="178" fontId="0" fillId="0" borderId="0" xfId="0" applyNumberFormat="1"/>
    <xf numFmtId="0" fontId="6" fillId="8" borderId="6" xfId="0" applyFont="1" applyFill="1" applyBorder="1" applyAlignment="1">
      <alignment horizontal="center" vertical="center" wrapText="1"/>
    </xf>
    <xf numFmtId="178" fontId="6" fillId="8" borderId="6" xfId="0" applyNumberFormat="1" applyFont="1" applyFill="1" applyBorder="1" applyAlignment="1">
      <alignment horizontal="center" vertical="center" wrapText="1"/>
    </xf>
    <xf numFmtId="0" fontId="7" fillId="9" borderId="7" xfId="0" applyFont="1" applyFill="1" applyBorder="1"/>
    <xf numFmtId="178" fontId="7" fillId="9" borderId="7" xfId="0" applyNumberFormat="1" applyFont="1" applyFill="1" applyBorder="1"/>
    <xf numFmtId="0" fontId="7" fillId="9" borderId="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/>
    </xf>
    <xf numFmtId="3" fontId="9" fillId="2" borderId="1" xfId="0" applyNumberFormat="1" applyFont="1" applyFill="1" applyBorder="1" applyAlignment="1">
      <alignment horizontal="center" vertical="top"/>
    </xf>
    <xf numFmtId="179" fontId="8" fillId="2" borderId="1" xfId="0" applyNumberFormat="1" applyFont="1" applyFill="1" applyBorder="1" applyAlignment="1">
      <alignment vertical="top"/>
    </xf>
    <xf numFmtId="178" fontId="8" fillId="2" borderId="1" xfId="0" applyNumberFormat="1" applyFont="1" applyFill="1" applyBorder="1" applyAlignment="1">
      <alignment vertical="top"/>
    </xf>
    <xf numFmtId="0" fontId="0" fillId="2" borderId="1" xfId="0" applyFill="1" applyBorder="1"/>
    <xf numFmtId="0" fontId="7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3" fontId="9" fillId="3" borderId="1" xfId="0" applyNumberFormat="1" applyFont="1" applyFill="1" applyBorder="1" applyAlignment="1">
      <alignment horizontal="center" vertical="top"/>
    </xf>
    <xf numFmtId="179" fontId="8" fillId="3" borderId="1" xfId="0" applyNumberFormat="1" applyFont="1" applyFill="1" applyBorder="1" applyAlignment="1">
      <alignment vertical="top"/>
    </xf>
    <xf numFmtId="0" fontId="0" fillId="3" borderId="1" xfId="0" applyFill="1" applyBorder="1"/>
    <xf numFmtId="178" fontId="8" fillId="2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9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vertical="top"/>
    </xf>
    <xf numFmtId="3" fontId="9" fillId="4" borderId="1" xfId="0" applyNumberFormat="1" applyFont="1" applyFill="1" applyBorder="1" applyAlignment="1">
      <alignment horizontal="center" vertical="top"/>
    </xf>
    <xf numFmtId="179" fontId="8" fillId="4" borderId="1" xfId="0" applyNumberFormat="1" applyFont="1" applyFill="1" applyBorder="1" applyAlignment="1">
      <alignment vertical="top"/>
    </xf>
    <xf numFmtId="0" fontId="8" fillId="5" borderId="1" xfId="0" applyFont="1" applyFill="1" applyBorder="1" applyAlignment="1">
      <alignment horizontal="center" vertical="top"/>
    </xf>
    <xf numFmtId="0" fontId="11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3" fontId="9" fillId="5" borderId="1" xfId="0" applyNumberFormat="1" applyFont="1" applyFill="1" applyBorder="1" applyAlignment="1">
      <alignment horizontal="center" vertical="top"/>
    </xf>
    <xf numFmtId="179" fontId="8" fillId="5" borderId="1" xfId="0" applyNumberFormat="1" applyFont="1" applyFill="1" applyBorder="1" applyAlignment="1">
      <alignment vertical="top"/>
    </xf>
    <xf numFmtId="0" fontId="0" fillId="5" borderId="1" xfId="0" applyFill="1" applyBorder="1"/>
    <xf numFmtId="0" fontId="12" fillId="5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4" fillId="6" borderId="1" xfId="0" applyFont="1" applyFill="1" applyBorder="1"/>
    <xf numFmtId="0" fontId="14" fillId="3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3" fontId="16" fillId="2" borderId="1" xfId="0" applyNumberFormat="1" applyFont="1" applyFill="1" applyBorder="1" applyAlignment="1">
      <alignment horizontal="center" vertical="top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top"/>
    </xf>
    <xf numFmtId="0" fontId="17" fillId="7" borderId="3" xfId="0" applyFont="1" applyFill="1" applyBorder="1" applyAlignment="1">
      <alignment horizontal="center" vertical="top"/>
    </xf>
    <xf numFmtId="0" fontId="17" fillId="7" borderId="4" xfId="0" applyFont="1" applyFill="1" applyBorder="1" applyAlignment="1">
      <alignment horizontal="center" vertical="top"/>
    </xf>
    <xf numFmtId="0" fontId="17" fillId="7" borderId="8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vertical="top"/>
    </xf>
    <xf numFmtId="3" fontId="9" fillId="7" borderId="1" xfId="0" applyNumberFormat="1" applyFont="1" applyFill="1" applyBorder="1" applyAlignment="1">
      <alignment horizontal="center" vertical="top"/>
    </xf>
    <xf numFmtId="179" fontId="8" fillId="7" borderId="1" xfId="0" applyNumberFormat="1" applyFont="1" applyFill="1" applyBorder="1" applyAlignment="1">
      <alignment vertical="top"/>
    </xf>
    <xf numFmtId="0" fontId="8" fillId="7" borderId="1" xfId="0" applyFont="1" applyFill="1" applyBorder="1" applyAlignment="1">
      <alignment horizontal="center" vertical="top"/>
    </xf>
    <xf numFmtId="0" fontId="0" fillId="7" borderId="1" xfId="0" applyFill="1" applyBorder="1"/>
    <xf numFmtId="0" fontId="5" fillId="3" borderId="1" xfId="0" applyFont="1" applyFill="1" applyBorder="1"/>
    <xf numFmtId="0" fontId="9" fillId="0" borderId="1" xfId="0" applyFont="1" applyBorder="1"/>
    <xf numFmtId="3" fontId="9" fillId="0" borderId="1" xfId="0" applyNumberFormat="1" applyFont="1" applyBorder="1"/>
    <xf numFmtId="178" fontId="9" fillId="0" borderId="1" xfId="0" applyNumberFormat="1" applyFont="1" applyBorder="1"/>
    <xf numFmtId="3" fontId="9" fillId="10" borderId="1" xfId="0" applyNumberFormat="1" applyFont="1" applyFill="1" applyBorder="1"/>
    <xf numFmtId="178" fontId="0" fillId="0" borderId="1" xfId="0" applyNumberFormat="1" applyBorder="1"/>
    <xf numFmtId="0" fontId="7" fillId="0" borderId="0" xfId="0" applyFont="1"/>
    <xf numFmtId="0" fontId="8" fillId="0" borderId="0" xfId="0" applyFont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51"/>
  <sheetViews>
    <sheetView tabSelected="1" workbookViewId="0">
      <pane xSplit="3" ySplit="1" topLeftCell="D221" activePane="bottomRight" state="frozen"/>
      <selection/>
      <selection pane="topRight"/>
      <selection pane="bottomLeft"/>
      <selection pane="bottomRight" activeCell="O10" sqref="O10"/>
    </sheetView>
  </sheetViews>
  <sheetFormatPr defaultColWidth="9" defaultRowHeight="15"/>
  <cols>
    <col min="1" max="1" width="5" customWidth="1"/>
    <col min="2" max="2" width="12.4285714285714" customWidth="1"/>
    <col min="3" max="3" width="54" customWidth="1"/>
    <col min="4" max="5" width="8" customWidth="1"/>
    <col min="6" max="6" width="22" customWidth="1"/>
    <col min="7" max="7" width="18.8571428571429" customWidth="1"/>
    <col min="8" max="9" width="12" customWidth="1"/>
    <col min="10" max="10" width="11" customWidth="1"/>
    <col min="11" max="11" width="12" style="35" customWidth="1"/>
    <col min="12" max="12" width="16.8571428571429" customWidth="1"/>
    <col min="13" max="13" width="13" style="11" customWidth="1"/>
    <col min="14" max="14" width="16.1428571428571" customWidth="1"/>
  </cols>
  <sheetData>
    <row r="1" ht="36" customHeight="1" spans="1:14">
      <c r="A1" s="36" t="s">
        <v>0</v>
      </c>
      <c r="B1" s="36"/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7" t="s">
        <v>9</v>
      </c>
      <c r="L1" s="36" t="s">
        <v>10</v>
      </c>
      <c r="M1" s="36" t="s">
        <v>11</v>
      </c>
      <c r="N1" s="36" t="s">
        <v>12</v>
      </c>
    </row>
    <row r="2" ht="21.95" customHeight="1" spans="1:14">
      <c r="A2" s="38" t="s">
        <v>13</v>
      </c>
      <c r="B2" s="38"/>
      <c r="C2" s="38"/>
      <c r="D2" s="38"/>
      <c r="E2" s="38"/>
      <c r="F2" s="38"/>
      <c r="G2" s="38"/>
      <c r="H2" s="38"/>
      <c r="I2" s="38"/>
      <c r="J2" s="38"/>
      <c r="K2" s="39"/>
      <c r="L2" s="38"/>
      <c r="M2" s="40"/>
      <c r="N2" s="40"/>
    </row>
    <row r="3" s="27" customFormat="1" ht="26.1" customHeight="1" spans="1:14">
      <c r="A3" s="41">
        <v>1</v>
      </c>
      <c r="B3" s="41"/>
      <c r="C3" s="42" t="s">
        <v>14</v>
      </c>
      <c r="D3" s="41">
        <v>350</v>
      </c>
      <c r="E3" s="41">
        <v>2.5</v>
      </c>
      <c r="F3" s="43" t="s">
        <v>15</v>
      </c>
      <c r="G3" s="43" t="s">
        <v>16</v>
      </c>
      <c r="H3" s="44">
        <v>1</v>
      </c>
      <c r="I3" s="44"/>
      <c r="J3" s="45">
        <v>212.5</v>
      </c>
      <c r="K3" s="46">
        <f>PRODUCT(H3*J3)</f>
        <v>212.5</v>
      </c>
      <c r="L3" s="43">
        <v>1</v>
      </c>
      <c r="M3" s="41"/>
      <c r="N3" s="47"/>
    </row>
    <row r="4" s="27" customFormat="1" ht="26.1" customHeight="1" spans="1:14">
      <c r="A4" s="41">
        <v>2</v>
      </c>
      <c r="B4" s="41" t="s">
        <v>17</v>
      </c>
      <c r="C4" s="42" t="s">
        <v>18</v>
      </c>
      <c r="D4" s="41">
        <v>300</v>
      </c>
      <c r="E4" s="41" t="s">
        <v>19</v>
      </c>
      <c r="F4" s="43" t="s">
        <v>20</v>
      </c>
      <c r="G4" s="43" t="s">
        <v>16</v>
      </c>
      <c r="H4" s="44">
        <v>2</v>
      </c>
      <c r="I4" s="44"/>
      <c r="J4" s="45">
        <v>60</v>
      </c>
      <c r="K4" s="46">
        <f t="shared" ref="K4:K67" si="0">PRODUCT(H4*J4)</f>
        <v>120</v>
      </c>
      <c r="L4" s="43">
        <v>0</v>
      </c>
      <c r="M4" s="41"/>
      <c r="N4" s="47"/>
    </row>
    <row r="5" s="27" customFormat="1" ht="26.1" customHeight="1" spans="1:14">
      <c r="A5" s="41">
        <v>3</v>
      </c>
      <c r="B5" s="41"/>
      <c r="C5" s="42" t="s">
        <v>21</v>
      </c>
      <c r="D5" s="41">
        <v>300</v>
      </c>
      <c r="E5" s="41">
        <v>2.5</v>
      </c>
      <c r="F5" s="43" t="s">
        <v>22</v>
      </c>
      <c r="G5" s="43" t="s">
        <v>16</v>
      </c>
      <c r="H5" s="44">
        <v>12</v>
      </c>
      <c r="I5" s="44"/>
      <c r="J5" s="45">
        <v>192</v>
      </c>
      <c r="K5" s="46">
        <f t="shared" si="0"/>
        <v>2304</v>
      </c>
      <c r="L5" s="43">
        <v>11</v>
      </c>
      <c r="M5" s="41"/>
      <c r="N5" s="47"/>
    </row>
    <row r="6" s="27" customFormat="1" ht="26.1" customHeight="1" spans="1:14">
      <c r="A6" s="41">
        <v>4</v>
      </c>
      <c r="B6" s="41"/>
      <c r="C6" s="42" t="s">
        <v>23</v>
      </c>
      <c r="D6" s="41">
        <v>300</v>
      </c>
      <c r="E6" s="41">
        <v>2.5</v>
      </c>
      <c r="F6" s="43" t="s">
        <v>22</v>
      </c>
      <c r="G6" s="43" t="s">
        <v>24</v>
      </c>
      <c r="H6" s="44">
        <v>1</v>
      </c>
      <c r="I6" s="44"/>
      <c r="J6" s="45">
        <v>192</v>
      </c>
      <c r="K6" s="46">
        <f t="shared" si="0"/>
        <v>192</v>
      </c>
      <c r="L6" s="43">
        <v>0</v>
      </c>
      <c r="M6" s="41"/>
      <c r="N6" s="47"/>
    </row>
    <row r="7" s="27" customFormat="1" ht="26.1" customHeight="1" spans="1:14">
      <c r="A7" s="41">
        <v>5</v>
      </c>
      <c r="B7" s="41"/>
      <c r="C7" s="42" t="s">
        <v>25</v>
      </c>
      <c r="D7" s="41">
        <v>250</v>
      </c>
      <c r="E7" s="41">
        <v>6</v>
      </c>
      <c r="F7" s="43" t="s">
        <v>26</v>
      </c>
      <c r="G7" s="43" t="s">
        <v>24</v>
      </c>
      <c r="H7" s="44">
        <v>19</v>
      </c>
      <c r="I7" s="44"/>
      <c r="J7" s="45">
        <v>125</v>
      </c>
      <c r="K7" s="46">
        <f t="shared" si="0"/>
        <v>2375</v>
      </c>
      <c r="L7" s="43">
        <v>18</v>
      </c>
      <c r="M7" s="41"/>
      <c r="N7" s="47"/>
    </row>
    <row r="8" s="27" customFormat="1" ht="26.1" customHeight="1" spans="1:14">
      <c r="A8" s="41">
        <v>6</v>
      </c>
      <c r="B8" s="41"/>
      <c r="C8" s="42" t="s">
        <v>27</v>
      </c>
      <c r="D8" s="41">
        <v>250</v>
      </c>
      <c r="E8" s="41">
        <v>6</v>
      </c>
      <c r="F8" s="43" t="s">
        <v>26</v>
      </c>
      <c r="G8" s="43" t="s">
        <v>24</v>
      </c>
      <c r="H8" s="44">
        <v>2</v>
      </c>
      <c r="I8" s="44"/>
      <c r="J8" s="45">
        <v>100</v>
      </c>
      <c r="K8" s="46">
        <f t="shared" si="0"/>
        <v>200</v>
      </c>
      <c r="L8" s="43">
        <v>0</v>
      </c>
      <c r="M8" s="41"/>
      <c r="N8" s="47"/>
    </row>
    <row r="9" s="27" customFormat="1" ht="26.1" customHeight="1" spans="1:14">
      <c r="A9" s="41">
        <v>7</v>
      </c>
      <c r="B9" s="41"/>
      <c r="C9" s="42" t="s">
        <v>28</v>
      </c>
      <c r="D9" s="41">
        <v>200</v>
      </c>
      <c r="E9" s="41">
        <v>6</v>
      </c>
      <c r="F9" s="43" t="s">
        <v>29</v>
      </c>
      <c r="G9" s="43" t="s">
        <v>16</v>
      </c>
      <c r="H9" s="44">
        <v>15</v>
      </c>
      <c r="I9" s="44"/>
      <c r="J9" s="45">
        <v>76.5</v>
      </c>
      <c r="K9" s="46">
        <f t="shared" si="0"/>
        <v>1147.5</v>
      </c>
      <c r="L9" s="43">
        <v>14</v>
      </c>
      <c r="M9" s="41"/>
      <c r="N9" s="47"/>
    </row>
    <row r="10" s="27" customFormat="1" ht="26.1" customHeight="1" spans="1:14">
      <c r="A10" s="41">
        <v>8</v>
      </c>
      <c r="B10" s="41" t="s">
        <v>30</v>
      </c>
      <c r="C10" s="42" t="s">
        <v>31</v>
      </c>
      <c r="D10" s="41">
        <v>125</v>
      </c>
      <c r="E10" s="41">
        <v>6</v>
      </c>
      <c r="F10" s="43" t="s">
        <v>32</v>
      </c>
      <c r="G10" s="43" t="s">
        <v>16</v>
      </c>
      <c r="H10" s="44">
        <v>1</v>
      </c>
      <c r="I10" s="44"/>
      <c r="J10" s="45">
        <v>37.2</v>
      </c>
      <c r="K10" s="46">
        <f t="shared" si="0"/>
        <v>37.2</v>
      </c>
      <c r="L10" s="43">
        <v>1</v>
      </c>
      <c r="M10" s="41"/>
      <c r="N10" s="47"/>
    </row>
    <row r="11" s="27" customFormat="1" ht="26.1" customHeight="1" spans="1:14">
      <c r="A11" s="41">
        <v>9</v>
      </c>
      <c r="B11" s="41" t="s">
        <v>30</v>
      </c>
      <c r="C11" s="42" t="s">
        <v>33</v>
      </c>
      <c r="D11" s="41">
        <v>100</v>
      </c>
      <c r="E11" s="41">
        <v>6</v>
      </c>
      <c r="F11" s="43" t="s">
        <v>34</v>
      </c>
      <c r="G11" s="43" t="s">
        <v>16</v>
      </c>
      <c r="H11" s="44">
        <v>1</v>
      </c>
      <c r="I11" s="44"/>
      <c r="J11" s="45">
        <v>28.3</v>
      </c>
      <c r="K11" s="46">
        <f t="shared" si="0"/>
        <v>28.3</v>
      </c>
      <c r="L11" s="43">
        <v>1</v>
      </c>
      <c r="M11" s="41"/>
      <c r="N11" s="47"/>
    </row>
    <row r="12" s="27" customFormat="1" ht="26.1" customHeight="1" spans="1:14">
      <c r="A12" s="41">
        <v>10</v>
      </c>
      <c r="B12" s="41" t="s">
        <v>30</v>
      </c>
      <c r="C12" s="42" t="s">
        <v>35</v>
      </c>
      <c r="D12" s="41">
        <v>80</v>
      </c>
      <c r="E12" s="41">
        <v>6</v>
      </c>
      <c r="F12" s="43" t="s">
        <v>36</v>
      </c>
      <c r="G12" s="43" t="s">
        <v>16</v>
      </c>
      <c r="H12" s="44">
        <v>36</v>
      </c>
      <c r="I12" s="44"/>
      <c r="J12" s="45">
        <v>21.9</v>
      </c>
      <c r="K12" s="46">
        <f t="shared" si="0"/>
        <v>788.4</v>
      </c>
      <c r="L12" s="43">
        <v>24</v>
      </c>
      <c r="M12" s="41"/>
      <c r="N12" s="47"/>
    </row>
    <row r="13" s="27" customFormat="1" ht="26.1" customHeight="1" spans="1:14">
      <c r="A13" s="41">
        <v>11</v>
      </c>
      <c r="B13" s="41" t="s">
        <v>30</v>
      </c>
      <c r="C13" s="42" t="s">
        <v>37</v>
      </c>
      <c r="D13" s="41">
        <v>60</v>
      </c>
      <c r="E13" s="41">
        <v>6</v>
      </c>
      <c r="F13" s="43" t="s">
        <v>38</v>
      </c>
      <c r="G13" s="43" t="s">
        <v>16</v>
      </c>
      <c r="H13" s="44">
        <v>1</v>
      </c>
      <c r="I13" s="44"/>
      <c r="J13" s="45">
        <v>12.2</v>
      </c>
      <c r="K13" s="46">
        <f t="shared" si="0"/>
        <v>12.2</v>
      </c>
      <c r="L13" s="43">
        <v>0</v>
      </c>
      <c r="M13" s="41"/>
      <c r="N13" s="47"/>
    </row>
    <row r="14" s="27" customFormat="1" ht="26.1" customHeight="1" spans="1:14">
      <c r="A14" s="41">
        <v>12</v>
      </c>
      <c r="B14" s="41" t="s">
        <v>30</v>
      </c>
      <c r="C14" s="42" t="s">
        <v>39</v>
      </c>
      <c r="D14" s="41">
        <v>50</v>
      </c>
      <c r="E14" s="41">
        <v>6</v>
      </c>
      <c r="F14" s="43" t="s">
        <v>40</v>
      </c>
      <c r="G14" s="43" t="s">
        <v>16</v>
      </c>
      <c r="H14" s="44">
        <v>1</v>
      </c>
      <c r="I14" s="44">
        <f>SUM(H3:H14)</f>
        <v>92</v>
      </c>
      <c r="J14" s="45">
        <v>8.5</v>
      </c>
      <c r="K14" s="46">
        <f t="shared" si="0"/>
        <v>8.5</v>
      </c>
      <c r="L14" s="43">
        <v>0</v>
      </c>
      <c r="M14" s="41">
        <f>SUM(K3:K14)</f>
        <v>7425.6</v>
      </c>
      <c r="N14" s="47"/>
    </row>
    <row r="15" ht="21.95" customHeight="1" spans="1:14">
      <c r="A15" s="48" t="s">
        <v>41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9"/>
      <c r="N15" s="49"/>
    </row>
    <row r="16" s="28" customFormat="1" ht="26.1" customHeight="1" spans="1:14">
      <c r="A16" s="50">
        <v>13</v>
      </c>
      <c r="B16" s="50" t="s">
        <v>17</v>
      </c>
      <c r="C16" s="51" t="s">
        <v>42</v>
      </c>
      <c r="D16" s="50">
        <v>200</v>
      </c>
      <c r="E16" s="50" t="s">
        <v>19</v>
      </c>
      <c r="F16" s="52" t="s">
        <v>43</v>
      </c>
      <c r="G16" s="52" t="s">
        <v>16</v>
      </c>
      <c r="H16" s="53">
        <v>2</v>
      </c>
      <c r="I16" s="53"/>
      <c r="J16" s="54">
        <v>110</v>
      </c>
      <c r="K16" s="46">
        <f t="shared" si="0"/>
        <v>220</v>
      </c>
      <c r="L16" s="52">
        <v>1</v>
      </c>
      <c r="M16" s="50"/>
      <c r="N16" s="55"/>
    </row>
    <row r="17" s="28" customFormat="1" ht="26.1" customHeight="1" spans="1:14">
      <c r="A17" s="50">
        <v>14</v>
      </c>
      <c r="B17" s="50" t="s">
        <v>17</v>
      </c>
      <c r="C17" s="51" t="s">
        <v>42</v>
      </c>
      <c r="D17" s="50">
        <v>200</v>
      </c>
      <c r="E17" s="50"/>
      <c r="F17" s="52" t="s">
        <v>44</v>
      </c>
      <c r="G17" s="52" t="s">
        <v>16</v>
      </c>
      <c r="H17" s="53">
        <v>1</v>
      </c>
      <c r="I17" s="53"/>
      <c r="J17" s="54">
        <v>110</v>
      </c>
      <c r="K17" s="46">
        <f t="shared" si="0"/>
        <v>110</v>
      </c>
      <c r="L17" s="52">
        <v>1</v>
      </c>
      <c r="M17" s="50">
        <v>330</v>
      </c>
      <c r="N17" s="55"/>
    </row>
    <row r="18" s="27" customFormat="1" ht="26.1" customHeight="1" spans="1:14">
      <c r="A18" s="50">
        <v>15</v>
      </c>
      <c r="B18" s="41" t="s">
        <v>17</v>
      </c>
      <c r="C18" s="42" t="s">
        <v>45</v>
      </c>
      <c r="D18" s="41">
        <v>125</v>
      </c>
      <c r="E18" s="41">
        <v>10</v>
      </c>
      <c r="F18" s="43" t="s">
        <v>46</v>
      </c>
      <c r="G18" s="43" t="s">
        <v>16</v>
      </c>
      <c r="H18" s="44">
        <v>2</v>
      </c>
      <c r="I18" s="44"/>
      <c r="J18" s="45">
        <v>46</v>
      </c>
      <c r="K18" s="46">
        <f t="shared" si="0"/>
        <v>92</v>
      </c>
      <c r="L18" s="43"/>
      <c r="M18" s="41"/>
      <c r="N18" s="47"/>
    </row>
    <row r="19" s="27" customFormat="1" ht="26.1" customHeight="1" spans="1:14">
      <c r="A19" s="50">
        <v>16</v>
      </c>
      <c r="B19" s="41" t="s">
        <v>17</v>
      </c>
      <c r="C19" s="42" t="s">
        <v>45</v>
      </c>
      <c r="D19" s="41">
        <v>125</v>
      </c>
      <c r="E19" s="41">
        <v>10</v>
      </c>
      <c r="F19" s="43" t="s">
        <v>47</v>
      </c>
      <c r="G19" s="43" t="s">
        <v>16</v>
      </c>
      <c r="H19" s="44">
        <v>7</v>
      </c>
      <c r="I19" s="44"/>
      <c r="J19" s="45">
        <v>45.5</v>
      </c>
      <c r="K19" s="46">
        <f t="shared" si="0"/>
        <v>318.5</v>
      </c>
      <c r="L19" s="43"/>
      <c r="M19" s="41"/>
      <c r="N19" s="47"/>
    </row>
    <row r="20" s="27" customFormat="1" ht="26.1" customHeight="1" spans="1:14">
      <c r="A20" s="50">
        <v>17</v>
      </c>
      <c r="B20" s="41" t="s">
        <v>17</v>
      </c>
      <c r="C20" s="42" t="s">
        <v>45</v>
      </c>
      <c r="D20" s="41">
        <v>125</v>
      </c>
      <c r="E20" s="41">
        <v>10</v>
      </c>
      <c r="F20" s="43" t="s">
        <v>20</v>
      </c>
      <c r="G20" s="43" t="s">
        <v>16</v>
      </c>
      <c r="H20" s="44">
        <v>1</v>
      </c>
      <c r="I20" s="44"/>
      <c r="J20" s="45">
        <v>60</v>
      </c>
      <c r="K20" s="46">
        <f t="shared" si="0"/>
        <v>60</v>
      </c>
      <c r="L20" s="43"/>
      <c r="M20" s="41"/>
      <c r="N20" s="47"/>
    </row>
    <row r="21" s="27" customFormat="1" ht="26.1" customHeight="1" spans="1:14">
      <c r="A21" s="50">
        <v>18</v>
      </c>
      <c r="B21" s="41" t="s">
        <v>17</v>
      </c>
      <c r="C21" s="42" t="s">
        <v>48</v>
      </c>
      <c r="D21" s="41">
        <v>125</v>
      </c>
      <c r="E21" s="41">
        <v>10</v>
      </c>
      <c r="F21" s="43" t="s">
        <v>49</v>
      </c>
      <c r="G21" s="43" t="s">
        <v>16</v>
      </c>
      <c r="H21" s="44">
        <v>1</v>
      </c>
      <c r="I21" s="44">
        <f>SUM(H18:H21)</f>
        <v>11</v>
      </c>
      <c r="J21" s="45">
        <v>46</v>
      </c>
      <c r="K21" s="46">
        <f t="shared" si="0"/>
        <v>46</v>
      </c>
      <c r="L21" s="43"/>
      <c r="M21" s="41">
        <f>SUM(K18:K21)</f>
        <v>516.5</v>
      </c>
      <c r="N21" s="47"/>
    </row>
    <row r="22" s="27" customFormat="1" ht="26.1" customHeight="1" spans="1:14">
      <c r="A22" s="50">
        <v>19</v>
      </c>
      <c r="B22" s="41" t="s">
        <v>17</v>
      </c>
      <c r="C22" s="42" t="s">
        <v>50</v>
      </c>
      <c r="D22" s="41">
        <v>100</v>
      </c>
      <c r="E22" s="41"/>
      <c r="F22" s="43" t="s">
        <v>51</v>
      </c>
      <c r="G22" s="43" t="s">
        <v>16</v>
      </c>
      <c r="H22" s="44">
        <v>1</v>
      </c>
      <c r="I22" s="44">
        <v>1</v>
      </c>
      <c r="J22" s="45">
        <v>29</v>
      </c>
      <c r="K22" s="46">
        <f t="shared" si="0"/>
        <v>29</v>
      </c>
      <c r="L22" s="43"/>
      <c r="M22" s="41">
        <f>K22</f>
        <v>29</v>
      </c>
      <c r="N22" s="47"/>
    </row>
    <row r="23" s="27" customFormat="1" ht="26.1" customHeight="1" spans="1:14">
      <c r="A23" s="50">
        <v>20</v>
      </c>
      <c r="B23" s="41" t="s">
        <v>17</v>
      </c>
      <c r="C23" s="42" t="s">
        <v>52</v>
      </c>
      <c r="D23" s="41">
        <v>100</v>
      </c>
      <c r="E23" s="41"/>
      <c r="F23" s="43" t="s">
        <v>53</v>
      </c>
      <c r="G23" s="43" t="s">
        <v>54</v>
      </c>
      <c r="H23" s="44">
        <v>4</v>
      </c>
      <c r="I23" s="44"/>
      <c r="J23" s="45">
        <v>28.8</v>
      </c>
      <c r="K23" s="46">
        <f t="shared" si="0"/>
        <v>115.2</v>
      </c>
      <c r="L23" s="43"/>
      <c r="M23" s="41"/>
      <c r="N23" s="47"/>
    </row>
    <row r="24" s="27" customFormat="1" ht="26.1" customHeight="1" spans="1:14">
      <c r="A24" s="50">
        <v>21</v>
      </c>
      <c r="B24" s="41" t="s">
        <v>30</v>
      </c>
      <c r="C24" s="42" t="s">
        <v>52</v>
      </c>
      <c r="D24" s="41">
        <v>100</v>
      </c>
      <c r="E24" s="41"/>
      <c r="F24" s="43" t="s">
        <v>55</v>
      </c>
      <c r="G24" s="43" t="s">
        <v>54</v>
      </c>
      <c r="H24" s="44">
        <v>1</v>
      </c>
      <c r="I24" s="44"/>
      <c r="J24" s="45">
        <v>28.8</v>
      </c>
      <c r="K24" s="46">
        <f t="shared" si="0"/>
        <v>28.8</v>
      </c>
      <c r="L24" s="43"/>
      <c r="M24" s="56">
        <f>SUM(K23:K24)</f>
        <v>144</v>
      </c>
      <c r="N24" s="47"/>
    </row>
    <row r="25" s="27" customFormat="1" ht="26.1" customHeight="1" spans="1:14">
      <c r="A25" s="50">
        <v>22</v>
      </c>
      <c r="B25" s="41" t="s">
        <v>17</v>
      </c>
      <c r="C25" s="42" t="s">
        <v>56</v>
      </c>
      <c r="D25" s="41">
        <v>50</v>
      </c>
      <c r="E25" s="41"/>
      <c r="F25" s="43" t="s">
        <v>57</v>
      </c>
      <c r="G25" s="43" t="s">
        <v>54</v>
      </c>
      <c r="H25" s="44">
        <v>60</v>
      </c>
      <c r="I25" s="44"/>
      <c r="J25" s="45">
        <v>17.8</v>
      </c>
      <c r="K25" s="46">
        <f t="shared" si="0"/>
        <v>1068</v>
      </c>
      <c r="L25" s="43"/>
      <c r="M25" s="41">
        <f>K25</f>
        <v>1068</v>
      </c>
      <c r="N25" s="47"/>
    </row>
    <row r="26" s="28" customFormat="1" ht="26.1" customHeight="1" spans="1:14">
      <c r="A26" s="50">
        <v>23</v>
      </c>
      <c r="B26" s="50" t="s">
        <v>17</v>
      </c>
      <c r="C26" s="51" t="s">
        <v>58</v>
      </c>
      <c r="D26" s="50">
        <v>50</v>
      </c>
      <c r="E26" s="50">
        <v>10</v>
      </c>
      <c r="F26" s="52" t="s">
        <v>59</v>
      </c>
      <c r="G26" s="52" t="s">
        <v>16</v>
      </c>
      <c r="H26" s="53">
        <v>13</v>
      </c>
      <c r="I26" s="53"/>
      <c r="J26" s="54">
        <v>14</v>
      </c>
      <c r="K26" s="46">
        <f t="shared" si="0"/>
        <v>182</v>
      </c>
      <c r="L26" s="52"/>
      <c r="M26" s="50"/>
      <c r="N26" s="55"/>
    </row>
    <row r="27" s="28" customFormat="1" ht="26.1" customHeight="1" spans="1:14">
      <c r="A27" s="50">
        <v>24</v>
      </c>
      <c r="B27" s="50" t="s">
        <v>17</v>
      </c>
      <c r="C27" s="51" t="s">
        <v>56</v>
      </c>
      <c r="D27" s="50">
        <v>50</v>
      </c>
      <c r="E27" s="50">
        <v>25</v>
      </c>
      <c r="F27" s="52" t="s">
        <v>60</v>
      </c>
      <c r="G27" s="52" t="s">
        <v>16</v>
      </c>
      <c r="H27" s="53">
        <v>9</v>
      </c>
      <c r="I27" s="53"/>
      <c r="J27" s="54">
        <v>11.3</v>
      </c>
      <c r="K27" s="46">
        <f t="shared" si="0"/>
        <v>101.7</v>
      </c>
      <c r="L27" s="52"/>
      <c r="M27" s="50"/>
      <c r="N27" s="55"/>
    </row>
    <row r="28" s="28" customFormat="1" ht="26.1" customHeight="1" spans="1:14">
      <c r="A28" s="50">
        <v>25</v>
      </c>
      <c r="B28" s="50" t="s">
        <v>17</v>
      </c>
      <c r="C28" s="51" t="s">
        <v>56</v>
      </c>
      <c r="D28" s="50">
        <v>50</v>
      </c>
      <c r="E28" s="50">
        <v>25</v>
      </c>
      <c r="F28" s="52" t="s">
        <v>61</v>
      </c>
      <c r="G28" s="52" t="s">
        <v>16</v>
      </c>
      <c r="H28" s="53">
        <v>5</v>
      </c>
      <c r="I28" s="53"/>
      <c r="J28" s="54">
        <v>11.9</v>
      </c>
      <c r="K28" s="46">
        <f t="shared" si="0"/>
        <v>59.5</v>
      </c>
      <c r="L28" s="52"/>
      <c r="M28" s="50"/>
      <c r="N28" s="55"/>
    </row>
    <row r="29" s="28" customFormat="1" ht="26.1" customHeight="1" spans="1:14">
      <c r="A29" s="50">
        <v>26</v>
      </c>
      <c r="B29" s="50" t="s">
        <v>17</v>
      </c>
      <c r="C29" s="51" t="s">
        <v>56</v>
      </c>
      <c r="D29" s="50">
        <v>50</v>
      </c>
      <c r="E29" s="50">
        <v>25</v>
      </c>
      <c r="F29" s="52" t="s">
        <v>62</v>
      </c>
      <c r="G29" s="52" t="s">
        <v>16</v>
      </c>
      <c r="H29" s="53">
        <v>1</v>
      </c>
      <c r="I29" s="53"/>
      <c r="J29" s="54">
        <v>12.5</v>
      </c>
      <c r="K29" s="46">
        <f t="shared" si="0"/>
        <v>12.5</v>
      </c>
      <c r="L29" s="52"/>
      <c r="M29" s="50"/>
      <c r="N29" s="55"/>
    </row>
    <row r="30" s="28" customFormat="1" ht="26.1" customHeight="1" spans="1:14">
      <c r="A30" s="50">
        <v>27</v>
      </c>
      <c r="B30" s="50" t="s">
        <v>17</v>
      </c>
      <c r="C30" s="51" t="s">
        <v>56</v>
      </c>
      <c r="D30" s="50">
        <v>50</v>
      </c>
      <c r="E30" s="50"/>
      <c r="F30" s="52" t="s">
        <v>63</v>
      </c>
      <c r="G30" s="52" t="s">
        <v>16</v>
      </c>
      <c r="H30" s="53">
        <v>3</v>
      </c>
      <c r="I30" s="53"/>
      <c r="J30" s="54">
        <v>12</v>
      </c>
      <c r="K30" s="46">
        <f t="shared" si="0"/>
        <v>36</v>
      </c>
      <c r="L30" s="52"/>
      <c r="M30" s="50"/>
      <c r="N30" s="55"/>
    </row>
    <row r="31" s="28" customFormat="1" ht="26.1" customHeight="1" spans="1:14">
      <c r="A31" s="50">
        <v>28</v>
      </c>
      <c r="B31" s="50" t="s">
        <v>17</v>
      </c>
      <c r="C31" s="51" t="s">
        <v>56</v>
      </c>
      <c r="D31" s="50">
        <v>50</v>
      </c>
      <c r="E31" s="50">
        <v>10</v>
      </c>
      <c r="F31" s="52" t="s">
        <v>64</v>
      </c>
      <c r="G31" s="52" t="s">
        <v>16</v>
      </c>
      <c r="H31" s="53">
        <v>1</v>
      </c>
      <c r="I31" s="53"/>
      <c r="J31" s="54">
        <v>19</v>
      </c>
      <c r="K31" s="46">
        <f t="shared" si="0"/>
        <v>19</v>
      </c>
      <c r="L31" s="52"/>
      <c r="M31" s="50"/>
      <c r="N31" s="55"/>
    </row>
    <row r="32" s="28" customFormat="1" ht="26.1" customHeight="1" spans="1:14">
      <c r="A32" s="50">
        <v>29</v>
      </c>
      <c r="B32" s="50" t="s">
        <v>17</v>
      </c>
      <c r="C32" s="51" t="s">
        <v>56</v>
      </c>
      <c r="D32" s="50">
        <v>50</v>
      </c>
      <c r="E32" s="50">
        <v>25</v>
      </c>
      <c r="F32" s="52" t="s">
        <v>65</v>
      </c>
      <c r="G32" s="52" t="s">
        <v>16</v>
      </c>
      <c r="H32" s="53">
        <v>1</v>
      </c>
      <c r="I32" s="53"/>
      <c r="J32" s="54">
        <v>12</v>
      </c>
      <c r="K32" s="46">
        <f t="shared" si="0"/>
        <v>12</v>
      </c>
      <c r="L32" s="52"/>
      <c r="M32" s="50"/>
      <c r="N32" s="55"/>
    </row>
    <row r="33" s="28" customFormat="1" ht="26.1" customHeight="1" spans="1:14">
      <c r="A33" s="50">
        <v>30</v>
      </c>
      <c r="B33" s="50" t="s">
        <v>17</v>
      </c>
      <c r="C33" s="51" t="s">
        <v>56</v>
      </c>
      <c r="D33" s="50">
        <v>50</v>
      </c>
      <c r="E33" s="50"/>
      <c r="F33" s="52" t="s">
        <v>66</v>
      </c>
      <c r="G33" s="52" t="s">
        <v>16</v>
      </c>
      <c r="H33" s="53">
        <v>5</v>
      </c>
      <c r="I33" s="53"/>
      <c r="J33" s="54">
        <v>12</v>
      </c>
      <c r="K33" s="46">
        <f t="shared" si="0"/>
        <v>60</v>
      </c>
      <c r="L33" s="52"/>
      <c r="M33" s="50"/>
      <c r="N33" s="55"/>
    </row>
    <row r="34" s="28" customFormat="1" ht="26.1" customHeight="1" spans="1:14">
      <c r="A34" s="50">
        <v>31</v>
      </c>
      <c r="B34" s="50" t="s">
        <v>17</v>
      </c>
      <c r="C34" s="51" t="s">
        <v>56</v>
      </c>
      <c r="D34" s="50">
        <v>50</v>
      </c>
      <c r="E34" s="50">
        <v>10</v>
      </c>
      <c r="F34" s="52" t="s">
        <v>67</v>
      </c>
      <c r="G34" s="52" t="s">
        <v>16</v>
      </c>
      <c r="H34" s="53">
        <v>2</v>
      </c>
      <c r="I34" s="53"/>
      <c r="J34" s="54">
        <v>13.9</v>
      </c>
      <c r="K34" s="46">
        <f t="shared" si="0"/>
        <v>27.8</v>
      </c>
      <c r="L34" s="52"/>
      <c r="M34" s="50"/>
      <c r="N34" s="55"/>
    </row>
    <row r="35" s="28" customFormat="1" ht="26.1" customHeight="1" spans="1:14">
      <c r="A35" s="50">
        <v>32</v>
      </c>
      <c r="B35" s="50" t="s">
        <v>17</v>
      </c>
      <c r="C35" s="51" t="s">
        <v>56</v>
      </c>
      <c r="D35" s="50">
        <v>50</v>
      </c>
      <c r="E35" s="50">
        <v>25</v>
      </c>
      <c r="F35" s="52" t="s">
        <v>68</v>
      </c>
      <c r="G35" s="52" t="s">
        <v>16</v>
      </c>
      <c r="H35" s="53">
        <v>1</v>
      </c>
      <c r="I35" s="53"/>
      <c r="J35" s="54">
        <v>12</v>
      </c>
      <c r="K35" s="46">
        <f t="shared" si="0"/>
        <v>12</v>
      </c>
      <c r="L35" s="52"/>
      <c r="M35" s="50"/>
      <c r="N35" s="55"/>
    </row>
    <row r="36" s="28" customFormat="1" ht="26.1" customHeight="1" spans="1:14">
      <c r="A36" s="50">
        <v>33</v>
      </c>
      <c r="B36" s="50" t="s">
        <v>17</v>
      </c>
      <c r="C36" s="51" t="s">
        <v>56</v>
      </c>
      <c r="D36" s="50">
        <v>50</v>
      </c>
      <c r="E36" s="50">
        <v>25</v>
      </c>
      <c r="F36" s="52" t="s">
        <v>69</v>
      </c>
      <c r="G36" s="52" t="s">
        <v>16</v>
      </c>
      <c r="H36" s="53">
        <v>1</v>
      </c>
      <c r="I36" s="53"/>
      <c r="J36" s="54">
        <v>12.4</v>
      </c>
      <c r="K36" s="46">
        <f t="shared" si="0"/>
        <v>12.4</v>
      </c>
      <c r="L36" s="52"/>
      <c r="M36" s="50"/>
      <c r="N36" s="55"/>
    </row>
    <row r="37" s="28" customFormat="1" ht="26.1" customHeight="1" spans="1:14">
      <c r="A37" s="50">
        <v>34</v>
      </c>
      <c r="B37" s="50" t="s">
        <v>17</v>
      </c>
      <c r="C37" s="51" t="s">
        <v>56</v>
      </c>
      <c r="D37" s="50">
        <v>50</v>
      </c>
      <c r="E37" s="50"/>
      <c r="F37" s="52" t="s">
        <v>70</v>
      </c>
      <c r="G37" s="52" t="s">
        <v>16</v>
      </c>
      <c r="H37" s="53">
        <v>1</v>
      </c>
      <c r="I37" s="53"/>
      <c r="J37" s="54">
        <v>12</v>
      </c>
      <c r="K37" s="46">
        <f t="shared" si="0"/>
        <v>12</v>
      </c>
      <c r="L37" s="52"/>
      <c r="M37" s="50"/>
      <c r="N37" s="55"/>
    </row>
    <row r="38" s="28" customFormat="1" ht="26.1" customHeight="1" spans="1:14">
      <c r="A38" s="50">
        <v>35</v>
      </c>
      <c r="B38" s="50" t="s">
        <v>17</v>
      </c>
      <c r="C38" s="51" t="s">
        <v>56</v>
      </c>
      <c r="D38" s="50">
        <v>50</v>
      </c>
      <c r="E38" s="50"/>
      <c r="F38" s="52" t="s">
        <v>71</v>
      </c>
      <c r="G38" s="52" t="s">
        <v>16</v>
      </c>
      <c r="H38" s="53">
        <v>1</v>
      </c>
      <c r="I38" s="53"/>
      <c r="J38" s="54">
        <v>12</v>
      </c>
      <c r="K38" s="46">
        <f t="shared" si="0"/>
        <v>12</v>
      </c>
      <c r="L38" s="52"/>
      <c r="M38" s="50"/>
      <c r="N38" s="55"/>
    </row>
    <row r="39" s="28" customFormat="1" ht="26.1" customHeight="1" spans="1:14">
      <c r="A39" s="50">
        <v>36</v>
      </c>
      <c r="B39" s="50" t="s">
        <v>17</v>
      </c>
      <c r="C39" s="51" t="s">
        <v>56</v>
      </c>
      <c r="D39" s="50">
        <v>50</v>
      </c>
      <c r="E39" s="50"/>
      <c r="F39" s="52" t="s">
        <v>72</v>
      </c>
      <c r="G39" s="52" t="s">
        <v>16</v>
      </c>
      <c r="H39" s="53">
        <v>1</v>
      </c>
      <c r="I39" s="53"/>
      <c r="J39" s="54">
        <v>12</v>
      </c>
      <c r="K39" s="46">
        <f t="shared" si="0"/>
        <v>12</v>
      </c>
      <c r="L39" s="52"/>
      <c r="M39" s="50"/>
      <c r="N39" s="55"/>
    </row>
    <row r="40" s="28" customFormat="1" ht="26.1" customHeight="1" spans="1:14">
      <c r="A40" s="50">
        <v>37</v>
      </c>
      <c r="B40" s="50" t="s">
        <v>17</v>
      </c>
      <c r="C40" s="51" t="s">
        <v>56</v>
      </c>
      <c r="D40" s="50">
        <v>50</v>
      </c>
      <c r="E40" s="50"/>
      <c r="F40" s="52" t="s">
        <v>73</v>
      </c>
      <c r="G40" s="52" t="s">
        <v>74</v>
      </c>
      <c r="H40" s="53">
        <v>3</v>
      </c>
      <c r="I40" s="53"/>
      <c r="J40" s="54">
        <v>12</v>
      </c>
      <c r="K40" s="46">
        <f t="shared" si="0"/>
        <v>36</v>
      </c>
      <c r="L40" s="52"/>
      <c r="M40" s="50"/>
      <c r="N40" s="55"/>
    </row>
    <row r="41" s="28" customFormat="1" ht="26.1" customHeight="1" spans="1:14">
      <c r="A41" s="50">
        <v>38</v>
      </c>
      <c r="B41" s="50" t="s">
        <v>17</v>
      </c>
      <c r="C41" s="51" t="s">
        <v>56</v>
      </c>
      <c r="D41" s="50">
        <v>50</v>
      </c>
      <c r="E41" s="50"/>
      <c r="F41" s="52" t="s">
        <v>20</v>
      </c>
      <c r="G41" s="52" t="s">
        <v>16</v>
      </c>
      <c r="H41" s="53">
        <v>3</v>
      </c>
      <c r="I41" s="53">
        <f>SUM(H26:H41)</f>
        <v>51</v>
      </c>
      <c r="J41" s="54">
        <v>12</v>
      </c>
      <c r="K41" s="46">
        <f t="shared" si="0"/>
        <v>36</v>
      </c>
      <c r="L41" s="52">
        <v>10</v>
      </c>
      <c r="M41" s="50">
        <f>SUM(K26:K41)</f>
        <v>642.9</v>
      </c>
      <c r="N41" s="55"/>
    </row>
    <row r="42" s="28" customFormat="1" ht="26.1" customHeight="1" spans="1:14">
      <c r="A42" s="50">
        <v>39</v>
      </c>
      <c r="B42" s="50" t="s">
        <v>17</v>
      </c>
      <c r="C42" s="51" t="s">
        <v>75</v>
      </c>
      <c r="D42" s="50">
        <v>80</v>
      </c>
      <c r="E42" s="50">
        <v>40</v>
      </c>
      <c r="F42" s="57" t="s">
        <v>76</v>
      </c>
      <c r="G42" s="52" t="s">
        <v>54</v>
      </c>
      <c r="H42" s="53">
        <v>1</v>
      </c>
      <c r="I42" s="53"/>
      <c r="J42" s="54">
        <v>33</v>
      </c>
      <c r="K42" s="46">
        <f t="shared" si="0"/>
        <v>33</v>
      </c>
      <c r="L42" s="52">
        <v>0</v>
      </c>
      <c r="M42" s="50"/>
      <c r="N42" s="55"/>
    </row>
    <row r="43" s="28" customFormat="1" ht="26.1" customHeight="1" spans="1:14">
      <c r="A43" s="50">
        <v>40</v>
      </c>
      <c r="B43" s="50" t="s">
        <v>17</v>
      </c>
      <c r="C43" s="51" t="s">
        <v>75</v>
      </c>
      <c r="D43" s="50">
        <v>80</v>
      </c>
      <c r="E43" s="50">
        <v>40</v>
      </c>
      <c r="F43" s="57" t="s">
        <v>77</v>
      </c>
      <c r="G43" s="52" t="s">
        <v>54</v>
      </c>
      <c r="H43" s="53">
        <v>1</v>
      </c>
      <c r="I43" s="53"/>
      <c r="J43" s="54">
        <v>19.6</v>
      </c>
      <c r="K43" s="46">
        <f t="shared" si="0"/>
        <v>19.6</v>
      </c>
      <c r="L43" s="52">
        <v>1</v>
      </c>
      <c r="M43" s="50"/>
      <c r="N43" s="55"/>
    </row>
    <row r="44" s="28" customFormat="1" ht="26.1" customHeight="1" spans="1:14">
      <c r="A44" s="50">
        <v>41</v>
      </c>
      <c r="B44" s="50" t="s">
        <v>17</v>
      </c>
      <c r="C44" s="51" t="s">
        <v>78</v>
      </c>
      <c r="D44" s="50">
        <v>50</v>
      </c>
      <c r="E44" s="50">
        <v>40</v>
      </c>
      <c r="F44" s="52" t="s">
        <v>79</v>
      </c>
      <c r="G44" s="52" t="s">
        <v>54</v>
      </c>
      <c r="H44" s="53">
        <v>2</v>
      </c>
      <c r="I44" s="53"/>
      <c r="J44" s="54">
        <v>15.9</v>
      </c>
      <c r="K44" s="46">
        <f t="shared" si="0"/>
        <v>31.8</v>
      </c>
      <c r="L44" s="52">
        <v>1</v>
      </c>
      <c r="M44" s="50">
        <f>SUM(K42:K44)</f>
        <v>84.4</v>
      </c>
      <c r="N44" s="55"/>
    </row>
    <row r="45" s="27" customFormat="1" ht="26.1" customHeight="1" spans="1:14">
      <c r="A45" s="50">
        <v>42</v>
      </c>
      <c r="B45" s="41" t="s">
        <v>17</v>
      </c>
      <c r="C45" s="42" t="s">
        <v>80</v>
      </c>
      <c r="D45" s="41">
        <v>40</v>
      </c>
      <c r="E45" s="41" t="s">
        <v>81</v>
      </c>
      <c r="F45" s="43" t="s">
        <v>82</v>
      </c>
      <c r="G45" s="43" t="s">
        <v>16</v>
      </c>
      <c r="H45" s="44">
        <v>23</v>
      </c>
      <c r="I45" s="44"/>
      <c r="J45" s="45">
        <v>11.5</v>
      </c>
      <c r="K45" s="46">
        <f t="shared" si="0"/>
        <v>264.5</v>
      </c>
      <c r="L45" s="43"/>
      <c r="M45" s="41"/>
      <c r="N45" s="47"/>
    </row>
    <row r="46" s="27" customFormat="1" ht="26.1" customHeight="1" spans="1:14">
      <c r="A46" s="50">
        <v>43</v>
      </c>
      <c r="B46" s="41" t="s">
        <v>17</v>
      </c>
      <c r="C46" s="42" t="s">
        <v>83</v>
      </c>
      <c r="D46" s="41">
        <v>65</v>
      </c>
      <c r="E46" s="41"/>
      <c r="F46" s="43" t="s">
        <v>84</v>
      </c>
      <c r="G46" s="43" t="s">
        <v>16</v>
      </c>
      <c r="H46" s="44">
        <v>4</v>
      </c>
      <c r="I46" s="44"/>
      <c r="J46" s="45">
        <v>22.5</v>
      </c>
      <c r="K46" s="46">
        <f t="shared" si="0"/>
        <v>90</v>
      </c>
      <c r="L46" s="43"/>
      <c r="M46" s="41"/>
      <c r="N46" s="47"/>
    </row>
    <row r="47" s="27" customFormat="1" ht="26.1" customHeight="1" spans="1:14">
      <c r="A47" s="50">
        <v>44</v>
      </c>
      <c r="B47" s="41" t="s">
        <v>17</v>
      </c>
      <c r="C47" s="42" t="s">
        <v>85</v>
      </c>
      <c r="D47" s="41">
        <v>100</v>
      </c>
      <c r="E47" s="41"/>
      <c r="F47" s="43" t="s">
        <v>86</v>
      </c>
      <c r="G47" s="43" t="s">
        <v>16</v>
      </c>
      <c r="H47" s="44">
        <v>2</v>
      </c>
      <c r="I47" s="44">
        <f>SUM(H45:H47)</f>
        <v>29</v>
      </c>
      <c r="J47" s="45">
        <v>36</v>
      </c>
      <c r="K47" s="46">
        <f t="shared" si="0"/>
        <v>72</v>
      </c>
      <c r="L47" s="43"/>
      <c r="M47" s="41">
        <f>SUM(K45:K47)</f>
        <v>426.5</v>
      </c>
      <c r="N47" s="47"/>
    </row>
    <row r="48" s="28" customFormat="1" ht="26.1" customHeight="1" spans="1:14">
      <c r="A48" s="50">
        <v>45</v>
      </c>
      <c r="B48" s="50" t="s">
        <v>17</v>
      </c>
      <c r="C48" s="51" t="s">
        <v>87</v>
      </c>
      <c r="D48" s="50">
        <v>20</v>
      </c>
      <c r="E48" s="50" t="s">
        <v>88</v>
      </c>
      <c r="F48" s="52" t="s">
        <v>89</v>
      </c>
      <c r="G48" s="52" t="s">
        <v>16</v>
      </c>
      <c r="H48" s="53">
        <v>3</v>
      </c>
      <c r="I48" s="53"/>
      <c r="J48" s="54">
        <v>5.3</v>
      </c>
      <c r="K48" s="46">
        <f t="shared" si="0"/>
        <v>15.9</v>
      </c>
      <c r="L48" s="52">
        <v>2</v>
      </c>
      <c r="M48" s="50"/>
      <c r="N48" s="55"/>
    </row>
    <row r="49" s="28" customFormat="1" ht="26.1" customHeight="1" spans="1:14">
      <c r="A49" s="50">
        <v>46</v>
      </c>
      <c r="B49" s="50" t="s">
        <v>17</v>
      </c>
      <c r="C49" s="51" t="s">
        <v>87</v>
      </c>
      <c r="D49" s="50">
        <v>20</v>
      </c>
      <c r="E49" s="50">
        <v>25</v>
      </c>
      <c r="F49" s="52" t="s">
        <v>90</v>
      </c>
      <c r="G49" s="52" t="s">
        <v>16</v>
      </c>
      <c r="H49" s="53">
        <v>1</v>
      </c>
      <c r="I49" s="53"/>
      <c r="J49" s="54">
        <v>5.5</v>
      </c>
      <c r="K49" s="46">
        <f t="shared" si="0"/>
        <v>5.5</v>
      </c>
      <c r="L49" s="52">
        <v>1</v>
      </c>
      <c r="M49" s="50">
        <f>SUM(K48:K49)</f>
        <v>21.4</v>
      </c>
      <c r="N49" s="55"/>
    </row>
    <row r="50" ht="21.95" customHeight="1" spans="1:14">
      <c r="A50" s="48" t="s">
        <v>91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="27" customFormat="1" ht="26.1" customHeight="1" spans="1:14">
      <c r="A51" s="41">
        <v>47</v>
      </c>
      <c r="B51" s="41"/>
      <c r="C51" s="42" t="s">
        <v>92</v>
      </c>
      <c r="D51" s="41">
        <v>200</v>
      </c>
      <c r="E51" s="41" t="s">
        <v>19</v>
      </c>
      <c r="F51" s="43" t="s">
        <v>93</v>
      </c>
      <c r="G51" s="43" t="s">
        <v>16</v>
      </c>
      <c r="H51" s="44">
        <v>8</v>
      </c>
      <c r="I51" s="44"/>
      <c r="J51" s="45">
        <v>148.5</v>
      </c>
      <c r="K51" s="46">
        <f t="shared" si="0"/>
        <v>1188</v>
      </c>
      <c r="L51" s="43" t="s">
        <v>94</v>
      </c>
      <c r="M51" s="41"/>
      <c r="N51" s="47"/>
    </row>
    <row r="52" s="27" customFormat="1" ht="26.1" customHeight="1" spans="1:14">
      <c r="A52" s="41">
        <v>48</v>
      </c>
      <c r="B52" s="41"/>
      <c r="C52" s="42" t="s">
        <v>95</v>
      </c>
      <c r="D52" s="41">
        <v>150</v>
      </c>
      <c r="E52" s="41" t="s">
        <v>19</v>
      </c>
      <c r="F52" s="52" t="s">
        <v>96</v>
      </c>
      <c r="G52" s="43" t="s">
        <v>16</v>
      </c>
      <c r="H52" s="44">
        <v>5</v>
      </c>
      <c r="I52" s="44"/>
      <c r="J52" s="45">
        <v>64</v>
      </c>
      <c r="K52" s="46">
        <f t="shared" si="0"/>
        <v>320</v>
      </c>
      <c r="L52" s="43" t="s">
        <v>94</v>
      </c>
      <c r="M52" s="41"/>
      <c r="N52" s="47"/>
    </row>
    <row r="53" s="27" customFormat="1" ht="26.1" customHeight="1" spans="1:14">
      <c r="A53" s="41">
        <v>49</v>
      </c>
      <c r="B53" s="41"/>
      <c r="C53" s="42" t="s">
        <v>97</v>
      </c>
      <c r="D53" s="41">
        <v>100</v>
      </c>
      <c r="E53" s="41" t="s">
        <v>19</v>
      </c>
      <c r="F53" s="43" t="s">
        <v>98</v>
      </c>
      <c r="G53" s="43" t="s">
        <v>16</v>
      </c>
      <c r="H53" s="44">
        <v>1</v>
      </c>
      <c r="I53" s="44"/>
      <c r="J53" s="45">
        <v>42</v>
      </c>
      <c r="K53" s="46">
        <f t="shared" si="0"/>
        <v>42</v>
      </c>
      <c r="L53" s="43"/>
      <c r="M53" s="41"/>
      <c r="N53" s="47"/>
    </row>
    <row r="54" s="27" customFormat="1" ht="26.1" customHeight="1" spans="1:14">
      <c r="A54" s="41">
        <v>50</v>
      </c>
      <c r="B54" s="41"/>
      <c r="C54" s="42" t="s">
        <v>99</v>
      </c>
      <c r="D54" s="41">
        <v>80</v>
      </c>
      <c r="E54" s="41" t="s">
        <v>19</v>
      </c>
      <c r="F54" s="43" t="s">
        <v>100</v>
      </c>
      <c r="G54" s="43" t="s">
        <v>16</v>
      </c>
      <c r="H54" s="44">
        <v>4</v>
      </c>
      <c r="I54" s="44"/>
      <c r="J54" s="45">
        <v>27</v>
      </c>
      <c r="K54" s="46">
        <f t="shared" si="0"/>
        <v>108</v>
      </c>
      <c r="L54" s="43"/>
      <c r="M54" s="41"/>
      <c r="N54" s="47"/>
    </row>
    <row r="55" s="27" customFormat="1" ht="26.1" customHeight="1" spans="1:14">
      <c r="A55" s="41">
        <v>51</v>
      </c>
      <c r="B55" s="41"/>
      <c r="C55" s="42" t="s">
        <v>101</v>
      </c>
      <c r="D55" s="41">
        <v>80</v>
      </c>
      <c r="E55" s="41"/>
      <c r="F55" s="43" t="s">
        <v>102</v>
      </c>
      <c r="G55" s="43" t="s">
        <v>24</v>
      </c>
      <c r="H55" s="44">
        <v>1</v>
      </c>
      <c r="I55" s="44">
        <f>SUM(H51:H55)</f>
        <v>19</v>
      </c>
      <c r="J55" s="45">
        <v>27</v>
      </c>
      <c r="K55" s="46">
        <f t="shared" si="0"/>
        <v>27</v>
      </c>
      <c r="L55" s="43"/>
      <c r="M55" s="41">
        <f>SUM(K51:K55)</f>
        <v>1685</v>
      </c>
      <c r="N55" s="47"/>
    </row>
    <row r="56" s="27" customFormat="1" ht="26.1" customHeight="1" spans="1:14">
      <c r="A56" s="41">
        <v>52</v>
      </c>
      <c r="B56" s="41"/>
      <c r="C56" s="42" t="s">
        <v>103</v>
      </c>
      <c r="D56" s="41">
        <v>80</v>
      </c>
      <c r="E56" s="41"/>
      <c r="F56" s="43" t="s">
        <v>20</v>
      </c>
      <c r="G56" s="43" t="s">
        <v>24</v>
      </c>
      <c r="H56" s="44">
        <v>1</v>
      </c>
      <c r="I56" s="44"/>
      <c r="J56" s="45">
        <v>20</v>
      </c>
      <c r="K56" s="46">
        <f t="shared" si="0"/>
        <v>20</v>
      </c>
      <c r="L56" s="43"/>
      <c r="M56" s="41"/>
      <c r="N56" s="47"/>
    </row>
    <row r="57" s="27" customFormat="1" ht="26.1" customHeight="1" spans="1:14">
      <c r="A57" s="41">
        <v>53</v>
      </c>
      <c r="B57" s="41" t="s">
        <v>30</v>
      </c>
      <c r="C57" s="42" t="s">
        <v>104</v>
      </c>
      <c r="D57" s="41">
        <v>25</v>
      </c>
      <c r="E57" s="41"/>
      <c r="F57" s="43" t="s">
        <v>105</v>
      </c>
      <c r="G57" s="43" t="s">
        <v>16</v>
      </c>
      <c r="H57" s="44">
        <v>3</v>
      </c>
      <c r="I57" s="44"/>
      <c r="J57" s="45">
        <v>9.2</v>
      </c>
      <c r="K57" s="46">
        <f t="shared" si="0"/>
        <v>27.6</v>
      </c>
      <c r="L57" s="43"/>
      <c r="M57" s="41"/>
      <c r="N57" s="47"/>
    </row>
    <row r="58" s="27" customFormat="1" ht="26.1" customHeight="1" spans="1:14">
      <c r="A58" s="41">
        <v>54</v>
      </c>
      <c r="B58" s="41" t="s">
        <v>30</v>
      </c>
      <c r="C58" s="42" t="s">
        <v>106</v>
      </c>
      <c r="D58" s="41">
        <v>20</v>
      </c>
      <c r="E58" s="41"/>
      <c r="F58" s="43" t="s">
        <v>107</v>
      </c>
      <c r="G58" s="43" t="s">
        <v>16</v>
      </c>
      <c r="H58" s="44">
        <v>1</v>
      </c>
      <c r="I58" s="44"/>
      <c r="J58" s="45">
        <v>8.5</v>
      </c>
      <c r="K58" s="46">
        <f t="shared" si="0"/>
        <v>8.5</v>
      </c>
      <c r="L58" s="43"/>
      <c r="M58" s="41"/>
      <c r="N58" s="47"/>
    </row>
    <row r="59" ht="21.95" customHeight="1" spans="1:14">
      <c r="A59" s="48" t="s">
        <v>108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</row>
    <row r="60" s="27" customFormat="1" ht="26.1" customHeight="1" spans="1:14">
      <c r="A60" s="41">
        <v>55</v>
      </c>
      <c r="B60" s="41" t="s">
        <v>17</v>
      </c>
      <c r="C60" s="42" t="s">
        <v>109</v>
      </c>
      <c r="D60" s="41">
        <v>100</v>
      </c>
      <c r="E60" s="41"/>
      <c r="F60" s="43" t="s">
        <v>110</v>
      </c>
      <c r="G60" s="43" t="s">
        <v>16</v>
      </c>
      <c r="H60" s="44">
        <v>6</v>
      </c>
      <c r="I60" s="44"/>
      <c r="J60" s="45">
        <v>28</v>
      </c>
      <c r="K60" s="46">
        <f t="shared" si="0"/>
        <v>168</v>
      </c>
      <c r="L60" s="43"/>
      <c r="M60" s="41"/>
      <c r="N60" s="47"/>
    </row>
    <row r="61" s="27" customFormat="1" ht="26.1" customHeight="1" spans="1:14">
      <c r="A61" s="41">
        <v>56</v>
      </c>
      <c r="B61" s="41" t="s">
        <v>17</v>
      </c>
      <c r="C61" s="42" t="s">
        <v>109</v>
      </c>
      <c r="D61" s="41">
        <v>100</v>
      </c>
      <c r="E61" s="41"/>
      <c r="F61" s="43" t="s">
        <v>111</v>
      </c>
      <c r="G61" s="43" t="s">
        <v>16</v>
      </c>
      <c r="H61" s="44">
        <v>2</v>
      </c>
      <c r="I61" s="44"/>
      <c r="J61" s="45">
        <v>28</v>
      </c>
      <c r="K61" s="46">
        <f t="shared" si="0"/>
        <v>56</v>
      </c>
      <c r="L61" s="43"/>
      <c r="M61" s="41"/>
      <c r="N61" s="47"/>
    </row>
    <row r="62" s="27" customFormat="1" ht="26.1" customHeight="1" spans="1:14">
      <c r="A62" s="41">
        <v>57</v>
      </c>
      <c r="B62" s="41" t="s">
        <v>17</v>
      </c>
      <c r="C62" s="42" t="s">
        <v>109</v>
      </c>
      <c r="D62" s="41">
        <v>100</v>
      </c>
      <c r="E62" s="41" t="s">
        <v>19</v>
      </c>
      <c r="F62" s="43" t="s">
        <v>112</v>
      </c>
      <c r="G62" s="43" t="s">
        <v>16</v>
      </c>
      <c r="H62" s="44">
        <v>1</v>
      </c>
      <c r="I62" s="44"/>
      <c r="J62" s="45">
        <v>28</v>
      </c>
      <c r="K62" s="46">
        <f t="shared" si="0"/>
        <v>28</v>
      </c>
      <c r="L62" s="43"/>
      <c r="M62" s="41"/>
      <c r="N62" s="47"/>
    </row>
    <row r="63" s="27" customFormat="1" ht="26.1" customHeight="1" spans="1:14">
      <c r="A63" s="41">
        <v>58</v>
      </c>
      <c r="B63" s="41" t="s">
        <v>17</v>
      </c>
      <c r="C63" s="42" t="s">
        <v>109</v>
      </c>
      <c r="D63" s="41">
        <v>100</v>
      </c>
      <c r="E63" s="41">
        <v>6</v>
      </c>
      <c r="F63" s="43" t="s">
        <v>113</v>
      </c>
      <c r="G63" s="43" t="s">
        <v>16</v>
      </c>
      <c r="H63" s="44">
        <v>1</v>
      </c>
      <c r="I63" s="44">
        <f>SUM(H60:H63)</f>
        <v>10</v>
      </c>
      <c r="J63" s="45">
        <v>35.4</v>
      </c>
      <c r="K63" s="46">
        <f t="shared" si="0"/>
        <v>35.4</v>
      </c>
      <c r="L63" s="43"/>
      <c r="M63" s="41">
        <f>SUM(K60:K63)</f>
        <v>287.4</v>
      </c>
      <c r="N63" s="47"/>
    </row>
    <row r="64" s="27" customFormat="1" ht="26.1" customHeight="1" spans="1:14">
      <c r="A64" s="41">
        <v>59</v>
      </c>
      <c r="B64" s="41" t="s">
        <v>17</v>
      </c>
      <c r="C64" s="42" t="s">
        <v>114</v>
      </c>
      <c r="D64" s="41">
        <v>80</v>
      </c>
      <c r="E64" s="41">
        <v>10</v>
      </c>
      <c r="F64" s="43" t="s">
        <v>115</v>
      </c>
      <c r="G64" s="43" t="s">
        <v>16</v>
      </c>
      <c r="H64" s="44">
        <v>4</v>
      </c>
      <c r="I64" s="44"/>
      <c r="J64" s="45">
        <v>26</v>
      </c>
      <c r="K64" s="46">
        <f t="shared" si="0"/>
        <v>104</v>
      </c>
      <c r="L64" s="43"/>
      <c r="M64" s="41"/>
      <c r="N64" s="47"/>
    </row>
    <row r="65" s="27" customFormat="1" ht="26.1" customHeight="1" spans="1:14">
      <c r="A65" s="41">
        <v>60</v>
      </c>
      <c r="B65" s="41" t="s">
        <v>17</v>
      </c>
      <c r="C65" s="42" t="s">
        <v>114</v>
      </c>
      <c r="D65" s="41">
        <v>80</v>
      </c>
      <c r="E65" s="41">
        <v>10</v>
      </c>
      <c r="F65" s="43" t="s">
        <v>116</v>
      </c>
      <c r="G65" s="43" t="s">
        <v>16</v>
      </c>
      <c r="H65" s="44">
        <v>2</v>
      </c>
      <c r="I65" s="44"/>
      <c r="J65" s="45">
        <v>22.5</v>
      </c>
      <c r="K65" s="46">
        <f t="shared" si="0"/>
        <v>45</v>
      </c>
      <c r="L65" s="43"/>
      <c r="M65" s="41"/>
      <c r="N65" s="47"/>
    </row>
    <row r="66" s="27" customFormat="1" ht="26.1" customHeight="1" spans="1:14">
      <c r="A66" s="41">
        <v>61</v>
      </c>
      <c r="B66" s="41" t="s">
        <v>17</v>
      </c>
      <c r="C66" s="42" t="s">
        <v>114</v>
      </c>
      <c r="D66" s="41">
        <v>80</v>
      </c>
      <c r="E66" s="41"/>
      <c r="F66" s="43" t="s">
        <v>117</v>
      </c>
      <c r="G66" s="43" t="s">
        <v>16</v>
      </c>
      <c r="H66" s="44">
        <v>3</v>
      </c>
      <c r="I66" s="44"/>
      <c r="J66" s="45">
        <v>20</v>
      </c>
      <c r="K66" s="46">
        <f t="shared" si="0"/>
        <v>60</v>
      </c>
      <c r="L66" s="43"/>
      <c r="M66" s="41"/>
      <c r="N66" s="47"/>
    </row>
    <row r="67" s="27" customFormat="1" ht="26.1" customHeight="1" spans="1:14">
      <c r="A67" s="41">
        <v>62</v>
      </c>
      <c r="B67" s="41" t="s">
        <v>17</v>
      </c>
      <c r="C67" s="42" t="s">
        <v>118</v>
      </c>
      <c r="D67" s="41">
        <v>80</v>
      </c>
      <c r="E67" s="41"/>
      <c r="F67" s="43" t="s">
        <v>119</v>
      </c>
      <c r="G67" s="43" t="s">
        <v>16</v>
      </c>
      <c r="H67" s="44">
        <v>1</v>
      </c>
      <c r="I67" s="44"/>
      <c r="J67" s="45">
        <v>20</v>
      </c>
      <c r="K67" s="46">
        <f t="shared" si="0"/>
        <v>20</v>
      </c>
      <c r="L67" s="43"/>
      <c r="M67" s="41"/>
      <c r="N67" s="47"/>
    </row>
    <row r="68" s="27" customFormat="1" ht="26.1" customHeight="1" spans="1:14">
      <c r="A68" s="41">
        <v>63</v>
      </c>
      <c r="B68" s="41" t="s">
        <v>17</v>
      </c>
      <c r="C68" s="42" t="s">
        <v>114</v>
      </c>
      <c r="D68" s="41">
        <v>80</v>
      </c>
      <c r="E68" s="41">
        <v>10</v>
      </c>
      <c r="F68" s="43" t="s">
        <v>120</v>
      </c>
      <c r="G68" s="43" t="s">
        <v>16</v>
      </c>
      <c r="H68" s="44">
        <v>4</v>
      </c>
      <c r="I68" s="44"/>
      <c r="J68" s="45">
        <v>19.5</v>
      </c>
      <c r="K68" s="46">
        <f t="shared" ref="K68:K131" si="1">PRODUCT(H68*J68)</f>
        <v>78</v>
      </c>
      <c r="L68" s="43"/>
      <c r="M68" s="41"/>
      <c r="N68" s="47"/>
    </row>
    <row r="69" s="27" customFormat="1" ht="26.1" customHeight="1" spans="1:14">
      <c r="A69" s="41">
        <v>64</v>
      </c>
      <c r="B69" s="41" t="s">
        <v>17</v>
      </c>
      <c r="C69" s="42" t="s">
        <v>114</v>
      </c>
      <c r="D69" s="41">
        <v>80</v>
      </c>
      <c r="E69" s="41">
        <v>10</v>
      </c>
      <c r="F69" s="43" t="s">
        <v>121</v>
      </c>
      <c r="G69" s="43" t="s">
        <v>16</v>
      </c>
      <c r="H69" s="44">
        <v>5</v>
      </c>
      <c r="I69" s="44"/>
      <c r="J69" s="45"/>
      <c r="K69" s="46">
        <f t="shared" si="1"/>
        <v>0</v>
      </c>
      <c r="L69" s="43"/>
      <c r="M69" s="41"/>
      <c r="N69" s="47"/>
    </row>
    <row r="70" s="27" customFormat="1" ht="30" customHeight="1" spans="1:14">
      <c r="A70" s="41">
        <v>65</v>
      </c>
      <c r="B70" s="41" t="s">
        <v>17</v>
      </c>
      <c r="C70" s="42" t="s">
        <v>114</v>
      </c>
      <c r="D70" s="58">
        <v>80</v>
      </c>
      <c r="E70" s="47"/>
      <c r="F70" s="59" t="s">
        <v>122</v>
      </c>
      <c r="G70" s="47" t="s">
        <v>24</v>
      </c>
      <c r="H70" s="60">
        <v>2</v>
      </c>
      <c r="I70" s="47"/>
      <c r="J70" s="47">
        <v>20</v>
      </c>
      <c r="K70" s="46">
        <f t="shared" si="1"/>
        <v>40</v>
      </c>
      <c r="L70" s="47"/>
      <c r="M70" s="58"/>
      <c r="N70" s="47"/>
    </row>
    <row r="71" s="27" customFormat="1" ht="30" customHeight="1" spans="1:14">
      <c r="A71" s="41">
        <v>66</v>
      </c>
      <c r="B71" s="41" t="s">
        <v>17</v>
      </c>
      <c r="C71" s="42" t="s">
        <v>114</v>
      </c>
      <c r="D71" s="58">
        <v>80</v>
      </c>
      <c r="E71" s="47"/>
      <c r="F71" s="59" t="s">
        <v>122</v>
      </c>
      <c r="G71" s="47" t="s">
        <v>123</v>
      </c>
      <c r="H71" s="60">
        <v>1</v>
      </c>
      <c r="I71" s="47"/>
      <c r="J71" s="47">
        <v>20</v>
      </c>
      <c r="K71" s="46">
        <f t="shared" si="1"/>
        <v>20</v>
      </c>
      <c r="L71" s="47"/>
      <c r="M71" s="58"/>
      <c r="N71" s="47"/>
    </row>
    <row r="72" s="27" customFormat="1" ht="27.95" customHeight="1" spans="1:14">
      <c r="A72" s="41">
        <v>67</v>
      </c>
      <c r="B72" s="41" t="s">
        <v>17</v>
      </c>
      <c r="C72" s="42" t="s">
        <v>114</v>
      </c>
      <c r="D72" s="58">
        <v>80</v>
      </c>
      <c r="E72" s="47"/>
      <c r="F72" s="59" t="s">
        <v>124</v>
      </c>
      <c r="G72" s="47" t="s">
        <v>74</v>
      </c>
      <c r="H72" s="60">
        <v>5</v>
      </c>
      <c r="I72" s="47"/>
      <c r="J72" s="47">
        <v>20</v>
      </c>
      <c r="K72" s="46">
        <f t="shared" si="1"/>
        <v>100</v>
      </c>
      <c r="L72" s="47"/>
      <c r="M72" s="58"/>
      <c r="N72" s="47"/>
    </row>
    <row r="73" s="27" customFormat="1" ht="27.95" customHeight="1" spans="1:14">
      <c r="A73" s="41">
        <v>68</v>
      </c>
      <c r="B73" s="41" t="s">
        <v>17</v>
      </c>
      <c r="C73" s="42" t="s">
        <v>114</v>
      </c>
      <c r="D73" s="58">
        <v>80</v>
      </c>
      <c r="E73" s="47"/>
      <c r="F73" s="59" t="s">
        <v>124</v>
      </c>
      <c r="G73" s="47" t="s">
        <v>123</v>
      </c>
      <c r="H73" s="60">
        <v>4</v>
      </c>
      <c r="I73" s="47"/>
      <c r="J73" s="47">
        <v>20</v>
      </c>
      <c r="K73" s="46">
        <f t="shared" si="1"/>
        <v>80</v>
      </c>
      <c r="L73" s="47"/>
      <c r="M73" s="58"/>
      <c r="N73" s="47"/>
    </row>
    <row r="74" s="27" customFormat="1" ht="26.1" customHeight="1" spans="1:14">
      <c r="A74" s="41">
        <v>69</v>
      </c>
      <c r="B74" s="41" t="s">
        <v>17</v>
      </c>
      <c r="C74" s="42" t="s">
        <v>114</v>
      </c>
      <c r="D74" s="41">
        <v>80</v>
      </c>
      <c r="E74" s="41">
        <v>10</v>
      </c>
      <c r="F74" s="43" t="s">
        <v>125</v>
      </c>
      <c r="G74" s="43" t="s">
        <v>16</v>
      </c>
      <c r="H74" s="61">
        <v>1</v>
      </c>
      <c r="I74" s="44"/>
      <c r="J74" s="45">
        <v>24.5</v>
      </c>
      <c r="K74" s="46">
        <f t="shared" si="1"/>
        <v>24.5</v>
      </c>
      <c r="L74" s="43"/>
      <c r="M74" s="41"/>
      <c r="N74" s="47"/>
    </row>
    <row r="75" s="27" customFormat="1" ht="26.1" customHeight="1" spans="1:14">
      <c r="A75" s="41">
        <v>70</v>
      </c>
      <c r="B75" s="41" t="s">
        <v>17</v>
      </c>
      <c r="C75" s="42" t="s">
        <v>114</v>
      </c>
      <c r="D75" s="41">
        <v>80</v>
      </c>
      <c r="E75" s="41">
        <v>10</v>
      </c>
      <c r="F75" s="43" t="s">
        <v>126</v>
      </c>
      <c r="G75" s="43" t="s">
        <v>123</v>
      </c>
      <c r="H75" s="44">
        <v>1</v>
      </c>
      <c r="I75" s="44"/>
      <c r="J75" s="45">
        <v>18.7</v>
      </c>
      <c r="K75" s="46">
        <f t="shared" si="1"/>
        <v>18.7</v>
      </c>
      <c r="L75" s="43"/>
      <c r="M75" s="41"/>
      <c r="N75" s="47"/>
    </row>
    <row r="76" s="27" customFormat="1" ht="26.1" customHeight="1" spans="1:14">
      <c r="A76" s="41">
        <v>71</v>
      </c>
      <c r="B76" s="41" t="s">
        <v>17</v>
      </c>
      <c r="C76" s="42" t="s">
        <v>114</v>
      </c>
      <c r="D76" s="41">
        <v>80</v>
      </c>
      <c r="E76" s="41">
        <v>10</v>
      </c>
      <c r="F76" s="43" t="s">
        <v>127</v>
      </c>
      <c r="G76" s="43" t="s">
        <v>54</v>
      </c>
      <c r="H76" s="44">
        <v>2</v>
      </c>
      <c r="I76" s="44"/>
      <c r="J76" s="45">
        <v>18.7</v>
      </c>
      <c r="K76" s="46">
        <f t="shared" si="1"/>
        <v>37.4</v>
      </c>
      <c r="L76" s="43"/>
      <c r="M76" s="41"/>
      <c r="N76" s="47"/>
    </row>
    <row r="77" s="27" customFormat="1" ht="26.1" customHeight="1" spans="1:14">
      <c r="A77" s="41">
        <v>72</v>
      </c>
      <c r="B77" s="41" t="s">
        <v>17</v>
      </c>
      <c r="C77" s="42" t="s">
        <v>114</v>
      </c>
      <c r="D77" s="41">
        <v>80</v>
      </c>
      <c r="E77" s="41">
        <v>10</v>
      </c>
      <c r="F77" s="43" t="s">
        <v>128</v>
      </c>
      <c r="G77" s="43" t="s">
        <v>16</v>
      </c>
      <c r="H77" s="44">
        <v>1</v>
      </c>
      <c r="I77" s="44"/>
      <c r="J77" s="45">
        <v>18.7</v>
      </c>
      <c r="K77" s="46">
        <f t="shared" si="1"/>
        <v>18.7</v>
      </c>
      <c r="L77" s="43"/>
      <c r="M77" s="41"/>
      <c r="N77" s="47"/>
    </row>
    <row r="78" s="27" customFormat="1" ht="26.1" customHeight="1" spans="1:14">
      <c r="A78" s="41">
        <v>73</v>
      </c>
      <c r="B78" s="41" t="s">
        <v>17</v>
      </c>
      <c r="C78" s="42" t="s">
        <v>114</v>
      </c>
      <c r="D78" s="41">
        <v>80</v>
      </c>
      <c r="E78" s="41">
        <v>30</v>
      </c>
      <c r="F78" s="43" t="s">
        <v>129</v>
      </c>
      <c r="G78" s="43" t="s">
        <v>130</v>
      </c>
      <c r="H78" s="44">
        <v>1</v>
      </c>
      <c r="I78" s="44">
        <f>SUM(H64:H78)</f>
        <v>37</v>
      </c>
      <c r="J78" s="45">
        <v>25.5</v>
      </c>
      <c r="K78" s="46">
        <f t="shared" si="1"/>
        <v>25.5</v>
      </c>
      <c r="L78" s="43"/>
      <c r="M78" s="41">
        <f>SUM(K64:K78)</f>
        <v>671.8</v>
      </c>
      <c r="N78" s="47"/>
    </row>
    <row r="79" s="27" customFormat="1" ht="26.1" customHeight="1" spans="1:14">
      <c r="A79" s="41">
        <v>74</v>
      </c>
      <c r="B79" s="41" t="s">
        <v>17</v>
      </c>
      <c r="C79" s="42" t="s">
        <v>131</v>
      </c>
      <c r="D79" s="41">
        <v>70</v>
      </c>
      <c r="E79" s="41"/>
      <c r="F79" s="43" t="s">
        <v>132</v>
      </c>
      <c r="G79" s="43" t="s">
        <v>16</v>
      </c>
      <c r="H79" s="44">
        <v>1</v>
      </c>
      <c r="I79" s="44">
        <v>1</v>
      </c>
      <c r="J79" s="45">
        <v>15.5</v>
      </c>
      <c r="K79" s="46">
        <f t="shared" si="1"/>
        <v>15.5</v>
      </c>
      <c r="L79" s="43"/>
      <c r="M79" s="41">
        <v>15.5</v>
      </c>
      <c r="N79" s="47"/>
    </row>
    <row r="80" s="27" customFormat="1" ht="26.1" customHeight="1" spans="1:14">
      <c r="A80" s="41">
        <v>75</v>
      </c>
      <c r="B80" s="41" t="s">
        <v>17</v>
      </c>
      <c r="C80" s="42" t="s">
        <v>133</v>
      </c>
      <c r="D80" s="41">
        <v>65</v>
      </c>
      <c r="E80" s="41">
        <v>10</v>
      </c>
      <c r="F80" s="43" t="s">
        <v>134</v>
      </c>
      <c r="G80" s="43" t="s">
        <v>16</v>
      </c>
      <c r="H80" s="44">
        <v>3</v>
      </c>
      <c r="I80" s="44"/>
      <c r="J80" s="45">
        <v>16</v>
      </c>
      <c r="K80" s="46">
        <f t="shared" si="1"/>
        <v>48</v>
      </c>
      <c r="L80" s="43"/>
      <c r="M80" s="41"/>
      <c r="N80" s="47"/>
    </row>
    <row r="81" s="27" customFormat="1" ht="26.1" customHeight="1" spans="1:14">
      <c r="A81" s="41">
        <v>76</v>
      </c>
      <c r="B81" s="41" t="s">
        <v>17</v>
      </c>
      <c r="C81" s="42" t="s">
        <v>133</v>
      </c>
      <c r="D81" s="41">
        <v>65</v>
      </c>
      <c r="E81" s="41" t="s">
        <v>135</v>
      </c>
      <c r="F81" s="43" t="s">
        <v>136</v>
      </c>
      <c r="G81" s="43" t="s">
        <v>16</v>
      </c>
      <c r="H81" s="44">
        <v>1</v>
      </c>
      <c r="I81" s="44"/>
      <c r="J81" s="45">
        <v>17</v>
      </c>
      <c r="K81" s="46">
        <f t="shared" si="1"/>
        <v>17</v>
      </c>
      <c r="L81" s="43"/>
      <c r="M81" s="41"/>
      <c r="N81" s="47"/>
    </row>
    <row r="82" s="27" customFormat="1" ht="26.1" customHeight="1" spans="1:14">
      <c r="A82" s="41">
        <v>77</v>
      </c>
      <c r="B82" s="41" t="s">
        <v>17</v>
      </c>
      <c r="C82" s="42" t="s">
        <v>137</v>
      </c>
      <c r="D82" s="41">
        <v>65</v>
      </c>
      <c r="E82" s="41">
        <v>40</v>
      </c>
      <c r="F82" s="43" t="s">
        <v>138</v>
      </c>
      <c r="G82" s="43" t="s">
        <v>54</v>
      </c>
      <c r="H82" s="44">
        <v>1</v>
      </c>
      <c r="I82" s="44">
        <f>SUM(H80:H82)</f>
        <v>5</v>
      </c>
      <c r="J82" s="45">
        <v>20</v>
      </c>
      <c r="K82" s="46">
        <f t="shared" si="1"/>
        <v>20</v>
      </c>
      <c r="L82" s="43"/>
      <c r="M82" s="41">
        <f>SUM(K80:K82)</f>
        <v>85</v>
      </c>
      <c r="N82" s="47"/>
    </row>
    <row r="83" s="27" customFormat="1" ht="26.1" customHeight="1" spans="1:14">
      <c r="A83" s="41">
        <v>78</v>
      </c>
      <c r="B83" s="41" t="s">
        <v>17</v>
      </c>
      <c r="C83" s="42" t="s">
        <v>139</v>
      </c>
      <c r="D83" s="41">
        <v>50</v>
      </c>
      <c r="E83" s="41"/>
      <c r="F83" s="43" t="s">
        <v>20</v>
      </c>
      <c r="G83" s="43" t="s">
        <v>16</v>
      </c>
      <c r="H83" s="44">
        <v>1</v>
      </c>
      <c r="I83" s="44"/>
      <c r="J83" s="45">
        <v>11</v>
      </c>
      <c r="K83" s="46">
        <f t="shared" si="1"/>
        <v>11</v>
      </c>
      <c r="L83" s="43"/>
      <c r="M83" s="41"/>
      <c r="N83" s="47"/>
    </row>
    <row r="84" s="27" customFormat="1" ht="26.1" customHeight="1" spans="1:14">
      <c r="A84" s="41">
        <v>79</v>
      </c>
      <c r="B84" s="41" t="s">
        <v>17</v>
      </c>
      <c r="C84" s="42" t="s">
        <v>139</v>
      </c>
      <c r="D84" s="41">
        <v>50</v>
      </c>
      <c r="E84" s="41">
        <v>25</v>
      </c>
      <c r="F84" s="43" t="s">
        <v>140</v>
      </c>
      <c r="G84" s="43" t="s">
        <v>16</v>
      </c>
      <c r="H84" s="44">
        <v>1</v>
      </c>
      <c r="I84" s="44"/>
      <c r="J84" s="45">
        <v>10.8</v>
      </c>
      <c r="K84" s="46">
        <f t="shared" si="1"/>
        <v>10.8</v>
      </c>
      <c r="L84" s="43"/>
      <c r="M84" s="41"/>
      <c r="N84" s="47"/>
    </row>
    <row r="85" s="27" customFormat="1" ht="26.1" customHeight="1" spans="1:14">
      <c r="A85" s="41">
        <v>80</v>
      </c>
      <c r="B85" s="41" t="s">
        <v>17</v>
      </c>
      <c r="C85" s="42" t="s">
        <v>139</v>
      </c>
      <c r="D85" s="41">
        <v>50</v>
      </c>
      <c r="E85" s="41"/>
      <c r="F85" s="43" t="s">
        <v>141</v>
      </c>
      <c r="G85" s="43" t="s">
        <v>16</v>
      </c>
      <c r="H85" s="44">
        <v>1</v>
      </c>
      <c r="I85" s="44">
        <f>SUM(H83:H85)</f>
        <v>3</v>
      </c>
      <c r="J85" s="45">
        <v>11</v>
      </c>
      <c r="K85" s="46">
        <f t="shared" si="1"/>
        <v>11</v>
      </c>
      <c r="L85" s="43"/>
      <c r="M85" s="41">
        <f>SUM(K83:K85)</f>
        <v>32.8</v>
      </c>
      <c r="N85" s="47"/>
    </row>
    <row r="86" s="27" customFormat="1" ht="26.1" customHeight="1" spans="1:14">
      <c r="A86" s="41">
        <v>81</v>
      </c>
      <c r="B86" s="41" t="s">
        <v>30</v>
      </c>
      <c r="C86" s="42" t="s">
        <v>142</v>
      </c>
      <c r="D86" s="41">
        <v>40</v>
      </c>
      <c r="E86" s="41">
        <v>25</v>
      </c>
      <c r="F86" s="43" t="s">
        <v>143</v>
      </c>
      <c r="G86" s="43" t="s">
        <v>123</v>
      </c>
      <c r="H86" s="44">
        <v>2</v>
      </c>
      <c r="I86" s="44"/>
      <c r="J86" s="45">
        <v>13.1</v>
      </c>
      <c r="K86" s="46">
        <f t="shared" si="1"/>
        <v>26.2</v>
      </c>
      <c r="L86" s="43"/>
      <c r="M86" s="41">
        <v>26.2</v>
      </c>
      <c r="N86" s="47"/>
    </row>
    <row r="87" s="27" customFormat="1" ht="26.1" customHeight="1" spans="1:14">
      <c r="A87" s="41">
        <v>82</v>
      </c>
      <c r="B87" s="41" t="s">
        <v>17</v>
      </c>
      <c r="C87" s="42" t="s">
        <v>144</v>
      </c>
      <c r="D87" s="41">
        <v>32</v>
      </c>
      <c r="E87" s="41">
        <v>25</v>
      </c>
      <c r="F87" s="43" t="s">
        <v>145</v>
      </c>
      <c r="G87" s="43" t="s">
        <v>16</v>
      </c>
      <c r="H87" s="44">
        <v>3</v>
      </c>
      <c r="I87" s="44"/>
      <c r="J87" s="45">
        <v>5.6</v>
      </c>
      <c r="K87" s="46">
        <f t="shared" si="1"/>
        <v>16.8</v>
      </c>
      <c r="L87" s="43">
        <v>0</v>
      </c>
      <c r="M87" s="41">
        <v>16.8</v>
      </c>
      <c r="N87" s="47"/>
    </row>
    <row r="88" s="28" customFormat="1" ht="26.1" customHeight="1" spans="1:14">
      <c r="A88" s="41">
        <v>83</v>
      </c>
      <c r="B88" s="50" t="s">
        <v>17</v>
      </c>
      <c r="C88" s="51" t="s">
        <v>146</v>
      </c>
      <c r="D88" s="50">
        <v>25</v>
      </c>
      <c r="E88" s="50" t="s">
        <v>19</v>
      </c>
      <c r="F88" s="52" t="s">
        <v>147</v>
      </c>
      <c r="G88" s="43" t="s">
        <v>16</v>
      </c>
      <c r="H88" s="53">
        <v>13</v>
      </c>
      <c r="I88" s="53"/>
      <c r="J88" s="54">
        <v>5.5</v>
      </c>
      <c r="K88" s="46">
        <f t="shared" si="1"/>
        <v>71.5</v>
      </c>
      <c r="L88" s="52"/>
      <c r="M88" s="50"/>
      <c r="N88" s="55"/>
    </row>
    <row r="89" s="28" customFormat="1" ht="26.1" customHeight="1" spans="1:14">
      <c r="A89" s="41">
        <v>84</v>
      </c>
      <c r="B89" s="50" t="s">
        <v>17</v>
      </c>
      <c r="C89" s="51" t="s">
        <v>146</v>
      </c>
      <c r="D89" s="50">
        <v>25</v>
      </c>
      <c r="E89" s="50" t="s">
        <v>19</v>
      </c>
      <c r="F89" s="52" t="s">
        <v>148</v>
      </c>
      <c r="G89" s="43" t="s">
        <v>16</v>
      </c>
      <c r="H89" s="53">
        <v>1</v>
      </c>
      <c r="I89" s="53"/>
      <c r="J89" s="54">
        <v>5.5</v>
      </c>
      <c r="K89" s="46">
        <f t="shared" si="1"/>
        <v>5.5</v>
      </c>
      <c r="L89" s="52"/>
      <c r="M89" s="50"/>
      <c r="N89" s="55"/>
    </row>
    <row r="90" s="28" customFormat="1" ht="26.1" customHeight="1" spans="1:14">
      <c r="A90" s="41">
        <v>85</v>
      </c>
      <c r="B90" s="50" t="s">
        <v>17</v>
      </c>
      <c r="C90" s="51" t="s">
        <v>149</v>
      </c>
      <c r="D90" s="50">
        <v>25</v>
      </c>
      <c r="E90" s="50" t="s">
        <v>19</v>
      </c>
      <c r="F90" s="52" t="s">
        <v>20</v>
      </c>
      <c r="G90" s="43" t="s">
        <v>16</v>
      </c>
      <c r="H90" s="53">
        <v>1</v>
      </c>
      <c r="I90" s="53"/>
      <c r="J90" s="54">
        <v>8</v>
      </c>
      <c r="K90" s="46">
        <f t="shared" si="1"/>
        <v>8</v>
      </c>
      <c r="L90" s="52"/>
      <c r="M90" s="50">
        <f>SUM(K88:K90)</f>
        <v>85</v>
      </c>
      <c r="N90" s="55"/>
    </row>
    <row r="91" s="29" customFormat="1" ht="26.1" customHeight="1" spans="1:14">
      <c r="A91" s="62"/>
      <c r="B91" s="62"/>
      <c r="C91" s="63" t="s">
        <v>150</v>
      </c>
      <c r="D91" s="64"/>
      <c r="E91" s="64"/>
      <c r="F91" s="65"/>
      <c r="G91" s="65"/>
      <c r="H91" s="66"/>
      <c r="I91" s="66"/>
      <c r="J91" s="67"/>
      <c r="K91" s="67"/>
      <c r="L91" s="65"/>
      <c r="M91" s="64"/>
      <c r="N91" s="62"/>
    </row>
    <row r="92" s="27" customFormat="1" ht="26.1" customHeight="1" spans="1:14">
      <c r="A92" s="41">
        <v>86</v>
      </c>
      <c r="B92" s="41" t="s">
        <v>17</v>
      </c>
      <c r="C92" s="42" t="s">
        <v>151</v>
      </c>
      <c r="D92" s="41">
        <v>32</v>
      </c>
      <c r="E92" s="41" t="s">
        <v>135</v>
      </c>
      <c r="F92" s="43" t="s">
        <v>152</v>
      </c>
      <c r="G92" s="43" t="s">
        <v>54</v>
      </c>
      <c r="H92" s="44">
        <v>1</v>
      </c>
      <c r="I92" s="44"/>
      <c r="J92" s="45">
        <v>5.8</v>
      </c>
      <c r="K92" s="46">
        <f t="shared" si="1"/>
        <v>5.8</v>
      </c>
      <c r="L92" s="43"/>
      <c r="M92" s="41"/>
      <c r="N92" s="47"/>
    </row>
    <row r="93" s="27" customFormat="1" ht="26.1" customHeight="1" spans="1:14">
      <c r="A93" s="41">
        <v>87</v>
      </c>
      <c r="B93" s="41" t="s">
        <v>17</v>
      </c>
      <c r="C93" s="42" t="s">
        <v>153</v>
      </c>
      <c r="D93" s="41">
        <v>32</v>
      </c>
      <c r="E93" s="41">
        <v>16</v>
      </c>
      <c r="F93" s="43" t="s">
        <v>154</v>
      </c>
      <c r="G93" s="43" t="s">
        <v>54</v>
      </c>
      <c r="H93" s="44">
        <v>2</v>
      </c>
      <c r="I93" s="44"/>
      <c r="J93" s="45">
        <v>5.4</v>
      </c>
      <c r="K93" s="46">
        <f t="shared" si="1"/>
        <v>10.8</v>
      </c>
      <c r="L93" s="43"/>
      <c r="M93" s="41"/>
      <c r="N93" s="47"/>
    </row>
    <row r="94" s="27" customFormat="1" ht="26.1" customHeight="1" spans="1:14">
      <c r="A94" s="41">
        <v>88</v>
      </c>
      <c r="B94" s="41" t="s">
        <v>17</v>
      </c>
      <c r="C94" s="42" t="s">
        <v>155</v>
      </c>
      <c r="D94" s="41">
        <v>50</v>
      </c>
      <c r="E94" s="41">
        <v>10</v>
      </c>
      <c r="F94" s="43" t="s">
        <v>156</v>
      </c>
      <c r="G94" s="43" t="s">
        <v>16</v>
      </c>
      <c r="H94" s="44">
        <v>1</v>
      </c>
      <c r="I94" s="44"/>
      <c r="J94" s="45">
        <v>10.3</v>
      </c>
      <c r="K94" s="46">
        <f t="shared" si="1"/>
        <v>10.3</v>
      </c>
      <c r="L94" s="43"/>
      <c r="M94" s="41"/>
      <c r="N94" s="47"/>
    </row>
    <row r="95" s="27" customFormat="1" ht="26.1" customHeight="1" spans="1:14">
      <c r="A95" s="41">
        <v>89</v>
      </c>
      <c r="B95" s="41" t="s">
        <v>17</v>
      </c>
      <c r="C95" s="42" t="s">
        <v>155</v>
      </c>
      <c r="D95" s="41">
        <v>50</v>
      </c>
      <c r="E95" s="41">
        <v>16</v>
      </c>
      <c r="F95" s="43" t="s">
        <v>157</v>
      </c>
      <c r="G95" s="43" t="s">
        <v>16</v>
      </c>
      <c r="H95" s="44">
        <v>1</v>
      </c>
      <c r="I95" s="44">
        <f>SUM(H92:H95)</f>
        <v>5</v>
      </c>
      <c r="J95" s="45">
        <v>11</v>
      </c>
      <c r="K95" s="46">
        <f t="shared" si="1"/>
        <v>11</v>
      </c>
      <c r="L95" s="43"/>
      <c r="M95" s="41">
        <f>SUM(K92:K95)</f>
        <v>37.9</v>
      </c>
      <c r="N95" s="47"/>
    </row>
    <row r="96" ht="21.95" customHeight="1" spans="1:14">
      <c r="A96" s="48" t="s">
        <v>158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9"/>
      <c r="N96" s="3"/>
    </row>
    <row r="97" s="27" customFormat="1" ht="26.1" customHeight="1" spans="1:14">
      <c r="A97" s="41">
        <v>90</v>
      </c>
      <c r="B97" s="41" t="s">
        <v>17</v>
      </c>
      <c r="C97" s="42" t="s">
        <v>159</v>
      </c>
      <c r="D97" s="41">
        <v>100</v>
      </c>
      <c r="E97" s="41" t="s">
        <v>19</v>
      </c>
      <c r="F97" s="43" t="s">
        <v>160</v>
      </c>
      <c r="G97" s="43" t="s">
        <v>16</v>
      </c>
      <c r="H97" s="44">
        <v>1</v>
      </c>
      <c r="I97" s="44"/>
      <c r="J97" s="45">
        <v>89.5</v>
      </c>
      <c r="K97" s="46">
        <f t="shared" si="1"/>
        <v>89.5</v>
      </c>
      <c r="L97" s="43"/>
      <c r="M97" s="41"/>
      <c r="N97" s="47"/>
    </row>
    <row r="98" s="27" customFormat="1" ht="26.1" customHeight="1" spans="1:14">
      <c r="A98" s="41">
        <v>91</v>
      </c>
      <c r="B98" s="41" t="s">
        <v>17</v>
      </c>
      <c r="C98" s="42" t="s">
        <v>161</v>
      </c>
      <c r="D98" s="41">
        <v>80</v>
      </c>
      <c r="E98" s="41" t="s">
        <v>19</v>
      </c>
      <c r="F98" s="43" t="s">
        <v>162</v>
      </c>
      <c r="G98" s="43" t="s">
        <v>16</v>
      </c>
      <c r="H98" s="44">
        <v>4</v>
      </c>
      <c r="I98" s="44"/>
      <c r="J98" s="45">
        <v>42</v>
      </c>
      <c r="K98" s="46">
        <f t="shared" si="1"/>
        <v>168</v>
      </c>
      <c r="L98" s="43"/>
      <c r="M98" s="41"/>
      <c r="N98" s="47"/>
    </row>
    <row r="99" s="27" customFormat="1" ht="26.1" customHeight="1" spans="1:14">
      <c r="A99" s="41">
        <v>92</v>
      </c>
      <c r="B99" s="41" t="s">
        <v>17</v>
      </c>
      <c r="C99" s="42" t="s">
        <v>161</v>
      </c>
      <c r="D99" s="41">
        <v>80</v>
      </c>
      <c r="E99" s="41" t="s">
        <v>19</v>
      </c>
      <c r="F99" s="43" t="s">
        <v>163</v>
      </c>
      <c r="G99" s="43" t="s">
        <v>16</v>
      </c>
      <c r="H99" s="44">
        <v>11</v>
      </c>
      <c r="I99" s="44"/>
      <c r="J99" s="45">
        <v>47.2</v>
      </c>
      <c r="K99" s="46">
        <f t="shared" si="1"/>
        <v>519.2</v>
      </c>
      <c r="L99" s="43"/>
      <c r="M99" s="41"/>
      <c r="N99" s="47"/>
    </row>
    <row r="100" s="27" customFormat="1" ht="26.1" customHeight="1" spans="1:14">
      <c r="A100" s="41">
        <v>93</v>
      </c>
      <c r="B100" s="41" t="s">
        <v>17</v>
      </c>
      <c r="C100" s="42" t="s">
        <v>164</v>
      </c>
      <c r="D100" s="41">
        <v>80</v>
      </c>
      <c r="E100" s="41" t="s">
        <v>19</v>
      </c>
      <c r="F100" s="43" t="s">
        <v>165</v>
      </c>
      <c r="G100" s="43" t="s">
        <v>16</v>
      </c>
      <c r="H100" s="44">
        <v>7</v>
      </c>
      <c r="I100" s="44"/>
      <c r="J100" s="45">
        <v>62</v>
      </c>
      <c r="K100" s="46">
        <f t="shared" si="1"/>
        <v>434</v>
      </c>
      <c r="L100" s="43"/>
      <c r="M100" s="41"/>
      <c r="N100" s="47"/>
    </row>
    <row r="101" s="27" customFormat="1" ht="26.1" customHeight="1" spans="1:14">
      <c r="A101" s="41">
        <v>94</v>
      </c>
      <c r="B101" s="41" t="s">
        <v>17</v>
      </c>
      <c r="C101" s="42" t="s">
        <v>164</v>
      </c>
      <c r="D101" s="41">
        <v>80</v>
      </c>
      <c r="E101" s="41" t="s">
        <v>19</v>
      </c>
      <c r="F101" s="43" t="s">
        <v>166</v>
      </c>
      <c r="G101" s="43" t="s">
        <v>16</v>
      </c>
      <c r="H101" s="44">
        <v>3</v>
      </c>
      <c r="I101" s="44"/>
      <c r="J101" s="45">
        <v>59</v>
      </c>
      <c r="K101" s="46">
        <f t="shared" si="1"/>
        <v>177</v>
      </c>
      <c r="L101" s="43"/>
      <c r="M101" s="41"/>
      <c r="N101" s="47"/>
    </row>
    <row r="102" s="27" customFormat="1" ht="26.1" customHeight="1" spans="1:14">
      <c r="A102" s="41">
        <v>95</v>
      </c>
      <c r="B102" s="41" t="s">
        <v>17</v>
      </c>
      <c r="C102" s="42" t="s">
        <v>164</v>
      </c>
      <c r="D102" s="41">
        <v>80</v>
      </c>
      <c r="E102" s="41" t="s">
        <v>167</v>
      </c>
      <c r="F102" s="43" t="s">
        <v>168</v>
      </c>
      <c r="G102" s="43" t="s">
        <v>16</v>
      </c>
      <c r="H102" s="44">
        <v>2</v>
      </c>
      <c r="I102" s="44"/>
      <c r="J102" s="45">
        <v>67.4</v>
      </c>
      <c r="K102" s="46">
        <f t="shared" si="1"/>
        <v>134.8</v>
      </c>
      <c r="L102" s="43"/>
      <c r="M102" s="41"/>
      <c r="N102" s="47"/>
    </row>
    <row r="103" s="27" customFormat="1" ht="26.1" customHeight="1" spans="1:14">
      <c r="A103" s="41">
        <v>96</v>
      </c>
      <c r="B103" s="41" t="s">
        <v>17</v>
      </c>
      <c r="C103" s="42" t="s">
        <v>169</v>
      </c>
      <c r="D103" s="41">
        <v>50</v>
      </c>
      <c r="E103" s="41" t="s">
        <v>19</v>
      </c>
      <c r="F103" s="43" t="s">
        <v>170</v>
      </c>
      <c r="G103" s="43" t="s">
        <v>16</v>
      </c>
      <c r="H103" s="44">
        <v>2</v>
      </c>
      <c r="I103" s="44"/>
      <c r="J103" s="45">
        <v>25.5</v>
      </c>
      <c r="K103" s="46">
        <f t="shared" si="1"/>
        <v>51</v>
      </c>
      <c r="L103" s="43"/>
      <c r="M103" s="41"/>
      <c r="N103" s="47"/>
    </row>
    <row r="104" s="27" customFormat="1" ht="26.1" customHeight="1" spans="1:14">
      <c r="A104" s="41">
        <v>97</v>
      </c>
      <c r="B104" s="41" t="s">
        <v>17</v>
      </c>
      <c r="C104" s="42" t="s">
        <v>169</v>
      </c>
      <c r="D104" s="41">
        <v>50</v>
      </c>
      <c r="E104" s="41" t="s">
        <v>19</v>
      </c>
      <c r="F104" s="43" t="s">
        <v>171</v>
      </c>
      <c r="G104" s="43" t="s">
        <v>16</v>
      </c>
      <c r="H104" s="44">
        <v>2</v>
      </c>
      <c r="I104" s="44"/>
      <c r="J104" s="45">
        <v>28.6</v>
      </c>
      <c r="K104" s="46">
        <f t="shared" si="1"/>
        <v>57.2</v>
      </c>
      <c r="L104" s="43"/>
      <c r="M104" s="41"/>
      <c r="N104" s="47"/>
    </row>
    <row r="105" s="27" customFormat="1" ht="26.1" customHeight="1" spans="1:14">
      <c r="A105" s="41">
        <v>98</v>
      </c>
      <c r="B105" s="41" t="s">
        <v>17</v>
      </c>
      <c r="C105" s="42" t="s">
        <v>172</v>
      </c>
      <c r="D105" s="41">
        <v>50</v>
      </c>
      <c r="E105" s="41" t="s">
        <v>19</v>
      </c>
      <c r="F105" s="43" t="s">
        <v>173</v>
      </c>
      <c r="G105" s="43" t="s">
        <v>16</v>
      </c>
      <c r="H105" s="44">
        <v>2</v>
      </c>
      <c r="I105" s="44"/>
      <c r="J105" s="45">
        <v>38</v>
      </c>
      <c r="K105" s="46">
        <f t="shared" si="1"/>
        <v>76</v>
      </c>
      <c r="L105" s="43"/>
      <c r="M105" s="41"/>
      <c r="N105" s="47"/>
    </row>
    <row r="106" s="27" customFormat="1" ht="26.1" customHeight="1" spans="1:14">
      <c r="A106" s="41">
        <v>99</v>
      </c>
      <c r="B106" s="41" t="s">
        <v>17</v>
      </c>
      <c r="C106" s="42" t="s">
        <v>172</v>
      </c>
      <c r="D106" s="41">
        <v>50</v>
      </c>
      <c r="E106" s="41" t="s">
        <v>19</v>
      </c>
      <c r="F106" s="43" t="s">
        <v>174</v>
      </c>
      <c r="G106" s="43" t="s">
        <v>16</v>
      </c>
      <c r="H106" s="44">
        <v>1</v>
      </c>
      <c r="I106" s="44">
        <f>SUM(H97:H106)</f>
        <v>35</v>
      </c>
      <c r="J106" s="45">
        <v>34.3</v>
      </c>
      <c r="K106" s="46">
        <f t="shared" si="1"/>
        <v>34.3</v>
      </c>
      <c r="L106" s="43"/>
      <c r="M106" s="41">
        <f>SUM(K97:K106)</f>
        <v>1741</v>
      </c>
      <c r="N106" s="47"/>
    </row>
    <row r="107" ht="21.95" customHeight="1" spans="1:14">
      <c r="A107" s="48" t="s">
        <v>175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9"/>
      <c r="N107" s="3"/>
    </row>
    <row r="108" s="27" customFormat="1" ht="26.1" customHeight="1" spans="1:14">
      <c r="A108" s="41">
        <v>100</v>
      </c>
      <c r="B108" s="41" t="s">
        <v>17</v>
      </c>
      <c r="C108" s="42" t="s">
        <v>176</v>
      </c>
      <c r="D108" s="41">
        <v>100</v>
      </c>
      <c r="E108" s="41">
        <v>1</v>
      </c>
      <c r="F108" s="43" t="s">
        <v>177</v>
      </c>
      <c r="G108" s="43" t="s">
        <v>16</v>
      </c>
      <c r="H108" s="44">
        <v>1</v>
      </c>
      <c r="I108" s="44"/>
      <c r="J108" s="45">
        <v>33.7</v>
      </c>
      <c r="K108" s="46">
        <f t="shared" si="1"/>
        <v>33.7</v>
      </c>
      <c r="L108" s="43"/>
      <c r="M108" s="41"/>
      <c r="N108" s="47"/>
    </row>
    <row r="109" s="27" customFormat="1" ht="26.1" customHeight="1" spans="1:14">
      <c r="A109" s="41">
        <v>101</v>
      </c>
      <c r="B109" s="41" t="s">
        <v>17</v>
      </c>
      <c r="C109" s="42" t="s">
        <v>178</v>
      </c>
      <c r="D109" s="41">
        <v>100</v>
      </c>
      <c r="E109" s="41">
        <v>10</v>
      </c>
      <c r="F109" s="43" t="s">
        <v>179</v>
      </c>
      <c r="G109" s="43" t="s">
        <v>16</v>
      </c>
      <c r="H109" s="44">
        <v>4</v>
      </c>
      <c r="I109" s="44"/>
      <c r="J109" s="45">
        <v>22</v>
      </c>
      <c r="K109" s="46">
        <f t="shared" si="1"/>
        <v>88</v>
      </c>
      <c r="L109" s="43"/>
      <c r="M109" s="41"/>
      <c r="N109" s="47"/>
    </row>
    <row r="110" s="27" customFormat="1" ht="26.1" customHeight="1" spans="1:14">
      <c r="A110" s="41">
        <v>102</v>
      </c>
      <c r="B110" s="41" t="s">
        <v>17</v>
      </c>
      <c r="C110" s="42" t="s">
        <v>180</v>
      </c>
      <c r="D110" s="41">
        <v>100</v>
      </c>
      <c r="E110" s="41">
        <v>6.3</v>
      </c>
      <c r="F110" s="43" t="s">
        <v>181</v>
      </c>
      <c r="G110" s="43" t="s">
        <v>16</v>
      </c>
      <c r="H110" s="44">
        <v>1</v>
      </c>
      <c r="I110" s="44"/>
      <c r="J110" s="45">
        <v>23.6</v>
      </c>
      <c r="K110" s="46">
        <f t="shared" si="1"/>
        <v>23.6</v>
      </c>
      <c r="L110" s="43"/>
      <c r="M110" s="41"/>
      <c r="N110" s="47"/>
    </row>
    <row r="111" s="27" customFormat="1" ht="26.1" customHeight="1" spans="1:14">
      <c r="A111" s="41">
        <v>103</v>
      </c>
      <c r="B111" s="41" t="s">
        <v>17</v>
      </c>
      <c r="C111" s="42" t="s">
        <v>182</v>
      </c>
      <c r="D111" s="41">
        <v>100</v>
      </c>
      <c r="E111" s="41">
        <v>6.3</v>
      </c>
      <c r="F111" s="43" t="s">
        <v>183</v>
      </c>
      <c r="G111" s="43" t="s">
        <v>16</v>
      </c>
      <c r="H111" s="44">
        <v>1</v>
      </c>
      <c r="I111" s="44"/>
      <c r="J111" s="45">
        <v>26</v>
      </c>
      <c r="K111" s="46">
        <f t="shared" si="1"/>
        <v>26</v>
      </c>
      <c r="L111" s="43"/>
      <c r="M111" s="41"/>
      <c r="N111" s="47"/>
    </row>
    <row r="112" s="27" customFormat="1" ht="26.1" customHeight="1" spans="1:14">
      <c r="A112" s="41">
        <v>104</v>
      </c>
      <c r="B112" s="41" t="s">
        <v>17</v>
      </c>
      <c r="C112" s="42" t="s">
        <v>184</v>
      </c>
      <c r="D112" s="41">
        <v>50</v>
      </c>
      <c r="E112" s="41">
        <v>6.3</v>
      </c>
      <c r="F112" s="43" t="s">
        <v>185</v>
      </c>
      <c r="G112" s="43" t="s">
        <v>16</v>
      </c>
      <c r="H112" s="44">
        <v>1</v>
      </c>
      <c r="I112" s="44"/>
      <c r="J112" s="45">
        <v>10.5</v>
      </c>
      <c r="K112" s="46">
        <f t="shared" si="1"/>
        <v>10.5</v>
      </c>
      <c r="L112" s="43"/>
      <c r="M112" s="41"/>
      <c r="N112" s="47"/>
    </row>
    <row r="113" s="27" customFormat="1" ht="26.1" customHeight="1" spans="1:14">
      <c r="A113" s="41">
        <v>105</v>
      </c>
      <c r="B113" s="41" t="s">
        <v>17</v>
      </c>
      <c r="C113" s="42" t="s">
        <v>186</v>
      </c>
      <c r="D113" s="41">
        <v>50</v>
      </c>
      <c r="E113" s="41">
        <v>1</v>
      </c>
      <c r="F113" s="43" t="s">
        <v>187</v>
      </c>
      <c r="G113" s="43" t="s">
        <v>16</v>
      </c>
      <c r="H113" s="44">
        <v>1</v>
      </c>
      <c r="I113" s="44"/>
      <c r="J113" s="45">
        <v>11.2</v>
      </c>
      <c r="K113" s="46">
        <f t="shared" si="1"/>
        <v>11.2</v>
      </c>
      <c r="L113" s="43"/>
      <c r="M113" s="41"/>
      <c r="N113" s="47"/>
    </row>
    <row r="114" s="27" customFormat="1" ht="26.1" customHeight="1" spans="1:14">
      <c r="A114" s="41">
        <v>106</v>
      </c>
      <c r="B114" s="41" t="s">
        <v>17</v>
      </c>
      <c r="C114" s="42" t="s">
        <v>182</v>
      </c>
      <c r="D114" s="41">
        <v>100</v>
      </c>
      <c r="E114" s="41">
        <v>10</v>
      </c>
      <c r="F114" s="43" t="s">
        <v>188</v>
      </c>
      <c r="G114" s="43" t="s">
        <v>16</v>
      </c>
      <c r="H114" s="44">
        <v>1</v>
      </c>
      <c r="I114" s="44"/>
      <c r="J114" s="45">
        <v>24.7</v>
      </c>
      <c r="K114" s="46">
        <f t="shared" si="1"/>
        <v>24.7</v>
      </c>
      <c r="L114" s="43"/>
      <c r="M114" s="41"/>
      <c r="N114" s="47"/>
    </row>
    <row r="115" s="27" customFormat="1" ht="26.1" customHeight="1" spans="1:14">
      <c r="A115" s="41">
        <v>107</v>
      </c>
      <c r="B115" s="41" t="s">
        <v>17</v>
      </c>
      <c r="C115" s="42" t="s">
        <v>189</v>
      </c>
      <c r="D115" s="41">
        <v>80</v>
      </c>
      <c r="E115" s="41">
        <v>10</v>
      </c>
      <c r="F115" s="43" t="s">
        <v>190</v>
      </c>
      <c r="G115" s="43" t="s">
        <v>16</v>
      </c>
      <c r="H115" s="44">
        <v>1</v>
      </c>
      <c r="I115" s="44">
        <f>SUM(H108:H115)</f>
        <v>11</v>
      </c>
      <c r="J115" s="45">
        <v>14.4</v>
      </c>
      <c r="K115" s="46">
        <f t="shared" si="1"/>
        <v>14.4</v>
      </c>
      <c r="L115" s="43"/>
      <c r="M115" s="41">
        <f>SUM(K108:K115)</f>
        <v>232.1</v>
      </c>
      <c r="N115" s="47"/>
    </row>
    <row r="116" ht="21.95" customHeight="1" spans="1:14">
      <c r="A116" s="48" t="s">
        <v>191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9"/>
      <c r="N116" s="3"/>
    </row>
    <row r="117" s="27" customFormat="1" ht="26.1" customHeight="1" spans="1:14">
      <c r="A117" s="41">
        <v>108</v>
      </c>
      <c r="B117" s="41" t="s">
        <v>17</v>
      </c>
      <c r="C117" s="42" t="s">
        <v>192</v>
      </c>
      <c r="D117" s="41">
        <v>80</v>
      </c>
      <c r="E117" s="41">
        <v>2</v>
      </c>
      <c r="F117" s="43" t="s">
        <v>193</v>
      </c>
      <c r="G117" s="43" t="s">
        <v>54</v>
      </c>
      <c r="H117" s="44">
        <v>2</v>
      </c>
      <c r="I117" s="44"/>
      <c r="J117" s="45">
        <v>19</v>
      </c>
      <c r="K117" s="46">
        <f t="shared" si="1"/>
        <v>38</v>
      </c>
      <c r="L117" s="43"/>
      <c r="M117" s="41"/>
      <c r="N117" s="47"/>
    </row>
    <row r="118" s="27" customFormat="1" ht="26.1" customHeight="1" spans="1:14">
      <c r="A118" s="41">
        <v>109</v>
      </c>
      <c r="B118" s="41" t="s">
        <v>17</v>
      </c>
      <c r="C118" s="42" t="s">
        <v>192</v>
      </c>
      <c r="D118" s="41">
        <v>80</v>
      </c>
      <c r="E118" s="41">
        <v>2</v>
      </c>
      <c r="F118" s="43" t="s">
        <v>194</v>
      </c>
      <c r="G118" s="43" t="s">
        <v>16</v>
      </c>
      <c r="H118" s="44">
        <v>1</v>
      </c>
      <c r="I118" s="44"/>
      <c r="J118" s="45">
        <v>20</v>
      </c>
      <c r="K118" s="46">
        <f t="shared" si="1"/>
        <v>20</v>
      </c>
      <c r="L118" s="43"/>
      <c r="M118" s="41"/>
      <c r="N118" s="47"/>
    </row>
    <row r="119" s="27" customFormat="1" ht="26.1" customHeight="1" spans="1:14">
      <c r="A119" s="41">
        <v>110</v>
      </c>
      <c r="B119" s="41" t="s">
        <v>17</v>
      </c>
      <c r="C119" s="42" t="s">
        <v>195</v>
      </c>
      <c r="D119" s="41">
        <v>50</v>
      </c>
      <c r="E119" s="41">
        <v>2</v>
      </c>
      <c r="F119" s="43" t="s">
        <v>196</v>
      </c>
      <c r="G119" s="43" t="s">
        <v>16</v>
      </c>
      <c r="H119" s="44">
        <v>2</v>
      </c>
      <c r="I119" s="44"/>
      <c r="J119" s="45">
        <v>11</v>
      </c>
      <c r="K119" s="46">
        <f t="shared" si="1"/>
        <v>22</v>
      </c>
      <c r="L119" s="43"/>
      <c r="M119" s="41"/>
      <c r="N119" s="47"/>
    </row>
    <row r="120" s="27" customFormat="1" ht="26.1" customHeight="1" spans="1:14">
      <c r="A120" s="41">
        <v>111</v>
      </c>
      <c r="B120" s="41" t="s">
        <v>17</v>
      </c>
      <c r="C120" s="42" t="s">
        <v>195</v>
      </c>
      <c r="D120" s="41">
        <v>50</v>
      </c>
      <c r="E120" s="41">
        <v>2</v>
      </c>
      <c r="F120" s="43" t="s">
        <v>197</v>
      </c>
      <c r="G120" s="43" t="s">
        <v>16</v>
      </c>
      <c r="H120" s="44">
        <v>1</v>
      </c>
      <c r="I120" s="44"/>
      <c r="J120" s="45">
        <v>9.4</v>
      </c>
      <c r="K120" s="46">
        <f t="shared" si="1"/>
        <v>9.4</v>
      </c>
      <c r="L120" s="43"/>
      <c r="M120" s="41"/>
      <c r="N120" s="47"/>
    </row>
    <row r="121" s="27" customFormat="1" ht="26.1" customHeight="1" spans="1:14">
      <c r="A121" s="41">
        <v>112</v>
      </c>
      <c r="B121" s="41" t="s">
        <v>17</v>
      </c>
      <c r="C121" s="42" t="s">
        <v>198</v>
      </c>
      <c r="D121" s="41">
        <v>32</v>
      </c>
      <c r="E121" s="41">
        <v>2</v>
      </c>
      <c r="F121" s="43" t="s">
        <v>199</v>
      </c>
      <c r="G121" s="43" t="s">
        <v>16</v>
      </c>
      <c r="H121" s="44">
        <v>1</v>
      </c>
      <c r="I121" s="44">
        <f>SUM(H117:H121)</f>
        <v>7</v>
      </c>
      <c r="J121" s="45">
        <v>11.2</v>
      </c>
      <c r="K121" s="46">
        <f t="shared" si="1"/>
        <v>11.2</v>
      </c>
      <c r="L121" s="43"/>
      <c r="M121" s="41">
        <f>SUM(K117:K121)</f>
        <v>100.6</v>
      </c>
      <c r="N121" s="47"/>
    </row>
    <row r="122" ht="21.95" customHeight="1" spans="1:14">
      <c r="A122" s="48" t="s">
        <v>200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9"/>
      <c r="N122" s="3"/>
    </row>
    <row r="123" s="28" customFormat="1" ht="26.1" customHeight="1" spans="1:14">
      <c r="A123" s="50">
        <v>113</v>
      </c>
      <c r="B123" s="50" t="s">
        <v>17</v>
      </c>
      <c r="C123" s="51" t="s">
        <v>201</v>
      </c>
      <c r="D123" s="50">
        <v>65</v>
      </c>
      <c r="E123" s="50">
        <v>6</v>
      </c>
      <c r="F123" s="52" t="s">
        <v>202</v>
      </c>
      <c r="G123" s="52" t="s">
        <v>54</v>
      </c>
      <c r="H123" s="53">
        <v>5</v>
      </c>
      <c r="I123" s="53"/>
      <c r="J123" s="54">
        <v>5.7</v>
      </c>
      <c r="K123" s="46">
        <f t="shared" si="1"/>
        <v>28.5</v>
      </c>
      <c r="L123" s="52">
        <v>5</v>
      </c>
      <c r="M123" s="50"/>
      <c r="N123" s="55"/>
    </row>
    <row r="124" s="28" customFormat="1" ht="26.1" customHeight="1" spans="1:14">
      <c r="A124" s="50">
        <v>114</v>
      </c>
      <c r="B124" s="50" t="s">
        <v>17</v>
      </c>
      <c r="C124" s="51" t="s">
        <v>201</v>
      </c>
      <c r="D124" s="50">
        <v>65</v>
      </c>
      <c r="E124" s="50">
        <v>6</v>
      </c>
      <c r="F124" s="52" t="s">
        <v>203</v>
      </c>
      <c r="G124" s="52" t="s">
        <v>54</v>
      </c>
      <c r="H124" s="53">
        <v>5</v>
      </c>
      <c r="I124" s="53"/>
      <c r="J124" s="54">
        <v>5.7</v>
      </c>
      <c r="K124" s="46">
        <f t="shared" si="1"/>
        <v>28.5</v>
      </c>
      <c r="L124" s="52">
        <v>5</v>
      </c>
      <c r="M124" s="50"/>
      <c r="N124" s="55"/>
    </row>
    <row r="125" s="28" customFormat="1" ht="26.1" customHeight="1" spans="1:14">
      <c r="A125" s="50">
        <v>115</v>
      </c>
      <c r="B125" s="50" t="s">
        <v>17</v>
      </c>
      <c r="C125" s="51" t="s">
        <v>204</v>
      </c>
      <c r="D125" s="50">
        <v>50</v>
      </c>
      <c r="E125" s="50">
        <v>6</v>
      </c>
      <c r="F125" s="52" t="s">
        <v>205</v>
      </c>
      <c r="G125" s="52" t="s">
        <v>123</v>
      </c>
      <c r="H125" s="53">
        <v>10</v>
      </c>
      <c r="I125" s="53"/>
      <c r="J125" s="54">
        <v>5.5</v>
      </c>
      <c r="K125" s="46">
        <f t="shared" si="1"/>
        <v>55</v>
      </c>
      <c r="L125" s="52">
        <v>10</v>
      </c>
      <c r="M125" s="50"/>
      <c r="N125" s="55"/>
    </row>
    <row r="126" s="28" customFormat="1" ht="26.1" customHeight="1" spans="1:14">
      <c r="A126" s="50">
        <v>116</v>
      </c>
      <c r="B126" s="50" t="s">
        <v>17</v>
      </c>
      <c r="C126" s="51" t="s">
        <v>204</v>
      </c>
      <c r="D126" s="50">
        <v>50</v>
      </c>
      <c r="E126" s="50">
        <v>6</v>
      </c>
      <c r="F126" s="52" t="s">
        <v>206</v>
      </c>
      <c r="G126" s="52" t="s">
        <v>54</v>
      </c>
      <c r="H126" s="53">
        <v>5</v>
      </c>
      <c r="I126" s="53"/>
      <c r="J126" s="54">
        <v>5.5</v>
      </c>
      <c r="K126" s="46">
        <f t="shared" si="1"/>
        <v>27.5</v>
      </c>
      <c r="L126" s="52">
        <v>5</v>
      </c>
      <c r="M126" s="50"/>
      <c r="N126" s="55"/>
    </row>
    <row r="127" s="28" customFormat="1" ht="26.1" customHeight="1" spans="1:14">
      <c r="A127" s="50">
        <v>117</v>
      </c>
      <c r="B127" s="50" t="s">
        <v>17</v>
      </c>
      <c r="C127" s="51" t="s">
        <v>204</v>
      </c>
      <c r="D127" s="50">
        <v>50</v>
      </c>
      <c r="E127" s="50">
        <v>6</v>
      </c>
      <c r="F127" s="52" t="s">
        <v>207</v>
      </c>
      <c r="G127" s="52" t="s">
        <v>54</v>
      </c>
      <c r="H127" s="53">
        <v>5</v>
      </c>
      <c r="I127" s="53"/>
      <c r="J127" s="54">
        <v>5.5</v>
      </c>
      <c r="K127" s="46">
        <f t="shared" si="1"/>
        <v>27.5</v>
      </c>
      <c r="L127" s="52">
        <v>4</v>
      </c>
      <c r="M127" s="50"/>
      <c r="N127" s="55"/>
    </row>
    <row r="128" s="28" customFormat="1" ht="26.1" customHeight="1" spans="1:14">
      <c r="A128" s="50">
        <v>118</v>
      </c>
      <c r="B128" s="50" t="s">
        <v>17</v>
      </c>
      <c r="C128" s="51" t="s">
        <v>208</v>
      </c>
      <c r="D128" s="50">
        <v>50</v>
      </c>
      <c r="E128" s="50">
        <v>6</v>
      </c>
      <c r="F128" s="52" t="s">
        <v>209</v>
      </c>
      <c r="G128" s="52" t="s">
        <v>54</v>
      </c>
      <c r="H128" s="53">
        <v>1</v>
      </c>
      <c r="I128" s="53"/>
      <c r="J128" s="54">
        <v>1.5</v>
      </c>
      <c r="K128" s="46">
        <f t="shared" si="1"/>
        <v>1.5</v>
      </c>
      <c r="L128" s="52"/>
      <c r="M128" s="50"/>
      <c r="N128" s="55" t="s">
        <v>210</v>
      </c>
    </row>
    <row r="129" s="28" customFormat="1" ht="26.1" customHeight="1" spans="1:14">
      <c r="A129" s="50">
        <v>119</v>
      </c>
      <c r="B129" s="50" t="s">
        <v>30</v>
      </c>
      <c r="C129" s="51" t="s">
        <v>211</v>
      </c>
      <c r="D129" s="50">
        <v>50</v>
      </c>
      <c r="E129" s="50">
        <v>4</v>
      </c>
      <c r="F129" s="52" t="s">
        <v>212</v>
      </c>
      <c r="G129" s="52" t="s">
        <v>54</v>
      </c>
      <c r="H129" s="53">
        <v>4</v>
      </c>
      <c r="I129" s="53"/>
      <c r="J129" s="54">
        <v>1.3</v>
      </c>
      <c r="K129" s="46">
        <f t="shared" si="1"/>
        <v>5.2</v>
      </c>
      <c r="L129" s="52"/>
      <c r="M129" s="50"/>
      <c r="N129" s="55" t="s">
        <v>210</v>
      </c>
    </row>
    <row r="130" s="30" customFormat="1" ht="26.1" customHeight="1" spans="1:14">
      <c r="A130" s="68"/>
      <c r="B130" s="68"/>
      <c r="C130" s="69" t="s">
        <v>213</v>
      </c>
      <c r="D130" s="68"/>
      <c r="E130" s="68"/>
      <c r="F130" s="70"/>
      <c r="G130" s="70"/>
      <c r="H130" s="71"/>
      <c r="I130" s="71"/>
      <c r="J130" s="72"/>
      <c r="K130" s="72"/>
      <c r="L130" s="70"/>
      <c r="M130" s="68"/>
      <c r="N130" s="73"/>
    </row>
    <row r="131" s="28" customFormat="1" ht="26.1" customHeight="1" spans="1:14">
      <c r="A131" s="50">
        <v>120</v>
      </c>
      <c r="B131" s="50" t="s">
        <v>30</v>
      </c>
      <c r="C131" s="51" t="s">
        <v>214</v>
      </c>
      <c r="D131" s="50">
        <v>100</v>
      </c>
      <c r="E131" s="50">
        <v>10</v>
      </c>
      <c r="F131" s="52" t="s">
        <v>215</v>
      </c>
      <c r="G131" s="52" t="s">
        <v>54</v>
      </c>
      <c r="H131" s="53">
        <v>1</v>
      </c>
      <c r="I131" s="53"/>
      <c r="J131" s="54">
        <v>9.7</v>
      </c>
      <c r="K131" s="46">
        <f t="shared" si="1"/>
        <v>9.7</v>
      </c>
      <c r="L131" s="52"/>
      <c r="M131" s="50"/>
      <c r="N131" s="55" t="s">
        <v>210</v>
      </c>
    </row>
    <row r="132" s="28" customFormat="1" ht="26.1" customHeight="1" spans="1:14">
      <c r="A132" s="50">
        <v>121</v>
      </c>
      <c r="B132" s="50" t="s">
        <v>30</v>
      </c>
      <c r="C132" s="51" t="s">
        <v>216</v>
      </c>
      <c r="D132" s="50">
        <v>50</v>
      </c>
      <c r="E132" s="50">
        <v>10</v>
      </c>
      <c r="F132" s="52" t="s">
        <v>217</v>
      </c>
      <c r="G132" s="52" t="s">
        <v>123</v>
      </c>
      <c r="H132" s="53">
        <v>5</v>
      </c>
      <c r="I132" s="53"/>
      <c r="J132" s="54">
        <v>3.5</v>
      </c>
      <c r="K132" s="46">
        <f t="shared" ref="K132:K195" si="2">PRODUCT(H132*J132)</f>
        <v>17.5</v>
      </c>
      <c r="L132" s="52"/>
      <c r="M132" s="50"/>
      <c r="N132" s="55" t="s">
        <v>218</v>
      </c>
    </row>
    <row r="133" s="30" customFormat="1" ht="45" customHeight="1" spans="1:14">
      <c r="A133" s="68"/>
      <c r="B133" s="68"/>
      <c r="C133" s="74" t="s">
        <v>219</v>
      </c>
      <c r="D133" s="68"/>
      <c r="E133" s="68"/>
      <c r="F133" s="70"/>
      <c r="G133" s="70"/>
      <c r="H133" s="71"/>
      <c r="I133" s="71"/>
      <c r="J133" s="72"/>
      <c r="K133" s="72"/>
      <c r="L133" s="70"/>
      <c r="M133" s="68"/>
      <c r="N133" s="73"/>
    </row>
    <row r="134" s="28" customFormat="1" ht="26.1" customHeight="1" spans="1:14">
      <c r="A134" s="50">
        <v>122</v>
      </c>
      <c r="B134" s="50" t="s">
        <v>30</v>
      </c>
      <c r="C134" s="51" t="s">
        <v>220</v>
      </c>
      <c r="D134" s="50">
        <v>10</v>
      </c>
      <c r="E134" s="50" t="s">
        <v>221</v>
      </c>
      <c r="F134" s="52" t="s">
        <v>222</v>
      </c>
      <c r="G134" s="52" t="s">
        <v>54</v>
      </c>
      <c r="H134" s="53">
        <v>1</v>
      </c>
      <c r="I134" s="53"/>
      <c r="J134" s="54">
        <v>0.8</v>
      </c>
      <c r="K134" s="46">
        <f t="shared" si="2"/>
        <v>0.8</v>
      </c>
      <c r="L134" s="52"/>
      <c r="M134" s="50"/>
      <c r="N134" s="55" t="s">
        <v>223</v>
      </c>
    </row>
    <row r="135" s="28" customFormat="1" ht="26.1" customHeight="1" spans="1:14">
      <c r="A135" s="50">
        <v>123</v>
      </c>
      <c r="B135" s="50" t="s">
        <v>17</v>
      </c>
      <c r="C135" s="51" t="s">
        <v>224</v>
      </c>
      <c r="D135" s="50">
        <v>10</v>
      </c>
      <c r="E135" s="50" t="s">
        <v>225</v>
      </c>
      <c r="F135" s="52" t="s">
        <v>226</v>
      </c>
      <c r="G135" s="52" t="s">
        <v>54</v>
      </c>
      <c r="H135" s="53">
        <v>1</v>
      </c>
      <c r="I135" s="53"/>
      <c r="J135" s="54">
        <v>1.2</v>
      </c>
      <c r="K135" s="46">
        <f t="shared" si="2"/>
        <v>1.2</v>
      </c>
      <c r="L135" s="52"/>
      <c r="M135" s="50"/>
      <c r="N135" s="55" t="s">
        <v>223</v>
      </c>
    </row>
    <row r="136" s="28" customFormat="1" ht="26.1" customHeight="1" spans="1:14">
      <c r="A136" s="50">
        <v>124</v>
      </c>
      <c r="B136" s="50" t="s">
        <v>30</v>
      </c>
      <c r="C136" s="51" t="s">
        <v>227</v>
      </c>
      <c r="D136" s="50">
        <v>6</v>
      </c>
      <c r="E136" s="50" t="s">
        <v>228</v>
      </c>
      <c r="F136" s="52" t="s">
        <v>229</v>
      </c>
      <c r="G136" s="52" t="s">
        <v>54</v>
      </c>
      <c r="H136" s="53">
        <v>1</v>
      </c>
      <c r="I136" s="53"/>
      <c r="J136" s="54">
        <v>3.5</v>
      </c>
      <c r="K136" s="46">
        <f t="shared" si="2"/>
        <v>3.5</v>
      </c>
      <c r="L136" s="52"/>
      <c r="M136" s="50"/>
      <c r="N136" s="55" t="s">
        <v>223</v>
      </c>
    </row>
    <row r="137" s="28" customFormat="1" ht="26.1" customHeight="1" spans="1:14">
      <c r="A137" s="50">
        <v>125</v>
      </c>
      <c r="B137" s="50" t="s">
        <v>17</v>
      </c>
      <c r="C137" s="51" t="s">
        <v>230</v>
      </c>
      <c r="D137" s="50">
        <v>6</v>
      </c>
      <c r="E137" s="50">
        <v>100</v>
      </c>
      <c r="F137" s="52" t="s">
        <v>231</v>
      </c>
      <c r="G137" s="52" t="s">
        <v>54</v>
      </c>
      <c r="H137" s="53">
        <v>2</v>
      </c>
      <c r="I137" s="53"/>
      <c r="J137" s="54">
        <v>2.06</v>
      </c>
      <c r="K137" s="46">
        <f t="shared" si="2"/>
        <v>4.12</v>
      </c>
      <c r="L137" s="52"/>
      <c r="M137" s="50"/>
      <c r="N137" s="55" t="s">
        <v>223</v>
      </c>
    </row>
    <row r="138" s="28" customFormat="1" ht="26.1" customHeight="1" spans="1:14">
      <c r="A138" s="50">
        <v>126</v>
      </c>
      <c r="B138" s="50" t="s">
        <v>30</v>
      </c>
      <c r="C138" s="51" t="s">
        <v>232</v>
      </c>
      <c r="D138" s="50">
        <v>32</v>
      </c>
      <c r="E138" s="50" t="s">
        <v>233</v>
      </c>
      <c r="F138" s="52" t="s">
        <v>234</v>
      </c>
      <c r="G138" s="52" t="s">
        <v>16</v>
      </c>
      <c r="H138" s="53">
        <v>1</v>
      </c>
      <c r="I138" s="53"/>
      <c r="J138" s="54">
        <v>7</v>
      </c>
      <c r="K138" s="46">
        <f t="shared" si="2"/>
        <v>7</v>
      </c>
      <c r="L138" s="52">
        <v>0</v>
      </c>
      <c r="M138" s="50"/>
      <c r="N138" s="55"/>
    </row>
    <row r="139" s="30" customFormat="1" ht="26.1" customHeight="1" spans="1:14">
      <c r="A139" s="68"/>
      <c r="B139" s="68"/>
      <c r="C139" s="75" t="s">
        <v>235</v>
      </c>
      <c r="D139" s="68"/>
      <c r="E139" s="68"/>
      <c r="F139" s="70"/>
      <c r="G139" s="70"/>
      <c r="H139" s="71"/>
      <c r="I139" s="71"/>
      <c r="J139" s="72"/>
      <c r="K139" s="72"/>
      <c r="L139" s="70"/>
      <c r="M139" s="68"/>
      <c r="N139" s="73"/>
    </row>
    <row r="140" s="28" customFormat="1" ht="26.1" customHeight="1" spans="1:14">
      <c r="A140" s="50">
        <v>127</v>
      </c>
      <c r="B140" s="50" t="s">
        <v>17</v>
      </c>
      <c r="C140" s="51" t="s">
        <v>236</v>
      </c>
      <c r="D140" s="50">
        <v>3</v>
      </c>
      <c r="E140" s="50">
        <v>400</v>
      </c>
      <c r="F140" s="52" t="s">
        <v>237</v>
      </c>
      <c r="G140" s="52" t="s">
        <v>123</v>
      </c>
      <c r="H140" s="53">
        <v>2</v>
      </c>
      <c r="I140" s="53"/>
      <c r="J140" s="54">
        <v>1.1</v>
      </c>
      <c r="K140" s="46">
        <f t="shared" si="2"/>
        <v>2.2</v>
      </c>
      <c r="L140" s="52"/>
      <c r="M140" s="50"/>
      <c r="N140" s="55" t="s">
        <v>223</v>
      </c>
    </row>
    <row r="141" ht="21.95" customHeight="1" spans="1:14">
      <c r="A141" s="48" t="s">
        <v>238</v>
      </c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9"/>
      <c r="N141" s="3"/>
    </row>
    <row r="142" s="28" customFormat="1" ht="26.1" customHeight="1" spans="1:14">
      <c r="A142" s="50">
        <v>128</v>
      </c>
      <c r="B142" s="50"/>
      <c r="C142" s="51" t="s">
        <v>239</v>
      </c>
      <c r="D142" s="50">
        <v>65</v>
      </c>
      <c r="E142" s="50">
        <v>10</v>
      </c>
      <c r="F142" s="52" t="s">
        <v>240</v>
      </c>
      <c r="G142" s="52" t="s">
        <v>123</v>
      </c>
      <c r="H142" s="53">
        <v>1</v>
      </c>
      <c r="I142" s="53"/>
      <c r="J142" s="54">
        <v>32.6</v>
      </c>
      <c r="K142" s="46">
        <f t="shared" si="2"/>
        <v>32.6</v>
      </c>
      <c r="L142" s="52"/>
      <c r="M142" s="50"/>
      <c r="N142" s="55"/>
    </row>
    <row r="143" ht="21.95" customHeight="1" spans="1:14">
      <c r="A143" s="48" t="s">
        <v>241</v>
      </c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9"/>
      <c r="N143" s="3"/>
    </row>
    <row r="144" s="31" customFormat="1" ht="21.95" customHeight="1" spans="1:14">
      <c r="A144" s="76">
        <v>129</v>
      </c>
      <c r="B144" s="77" t="s">
        <v>17</v>
      </c>
      <c r="C144" s="76" t="s">
        <v>242</v>
      </c>
      <c r="D144" s="76">
        <v>32</v>
      </c>
      <c r="E144" s="76">
        <v>160</v>
      </c>
      <c r="F144" s="76" t="s">
        <v>243</v>
      </c>
      <c r="G144" s="76" t="s">
        <v>123</v>
      </c>
      <c r="H144" s="78">
        <v>8</v>
      </c>
      <c r="I144" s="76"/>
      <c r="J144" s="77">
        <v>4.7</v>
      </c>
      <c r="K144" s="46">
        <f t="shared" si="2"/>
        <v>37.6</v>
      </c>
      <c r="L144" s="76"/>
      <c r="M144" s="79"/>
      <c r="N144" s="80"/>
    </row>
    <row r="145" s="32" customFormat="1" ht="21.95" customHeight="1" spans="1:14">
      <c r="A145" s="76">
        <v>130</v>
      </c>
      <c r="B145" s="77" t="s">
        <v>17</v>
      </c>
      <c r="C145" s="76" t="s">
        <v>242</v>
      </c>
      <c r="D145" s="77">
        <v>32</v>
      </c>
      <c r="E145" s="77">
        <v>160</v>
      </c>
      <c r="F145" s="81" t="s">
        <v>244</v>
      </c>
      <c r="G145" s="81" t="s">
        <v>123</v>
      </c>
      <c r="H145" s="78">
        <v>16</v>
      </c>
      <c r="I145" s="77"/>
      <c r="J145" s="77">
        <v>3.9</v>
      </c>
      <c r="K145" s="46">
        <f t="shared" si="2"/>
        <v>62.4</v>
      </c>
      <c r="L145" s="77"/>
      <c r="M145" s="79"/>
      <c r="N145" s="82"/>
    </row>
    <row r="146" s="28" customFormat="1" ht="26.1" customHeight="1" spans="1:14">
      <c r="A146" s="76">
        <v>131</v>
      </c>
      <c r="B146" s="50" t="s">
        <v>30</v>
      </c>
      <c r="C146" s="51" t="s">
        <v>245</v>
      </c>
      <c r="D146" s="50">
        <v>32</v>
      </c>
      <c r="E146" s="50" t="s">
        <v>246</v>
      </c>
      <c r="F146" s="52" t="s">
        <v>247</v>
      </c>
      <c r="G146" s="52" t="s">
        <v>54</v>
      </c>
      <c r="H146" s="53">
        <v>31</v>
      </c>
      <c r="I146" s="53"/>
      <c r="J146" s="54">
        <v>3.3</v>
      </c>
      <c r="K146" s="46">
        <f t="shared" si="2"/>
        <v>102.3</v>
      </c>
      <c r="L146" s="52">
        <v>9</v>
      </c>
      <c r="M146" s="50"/>
      <c r="N146" s="55" t="s">
        <v>248</v>
      </c>
    </row>
    <row r="147" s="28" customFormat="1" ht="26.1" customHeight="1" spans="1:14">
      <c r="A147" s="76">
        <v>132</v>
      </c>
      <c r="B147" s="50" t="s">
        <v>30</v>
      </c>
      <c r="C147" s="51" t="s">
        <v>249</v>
      </c>
      <c r="D147" s="50">
        <v>32</v>
      </c>
      <c r="E147" s="50">
        <v>100</v>
      </c>
      <c r="F147" s="52" t="s">
        <v>250</v>
      </c>
      <c r="G147" s="52" t="s">
        <v>54</v>
      </c>
      <c r="H147" s="53">
        <v>14</v>
      </c>
      <c r="I147" s="53"/>
      <c r="J147" s="54">
        <v>3.3</v>
      </c>
      <c r="K147" s="46">
        <f t="shared" si="2"/>
        <v>46.2</v>
      </c>
      <c r="L147" s="52">
        <v>3</v>
      </c>
      <c r="M147" s="50"/>
      <c r="N147" s="55" t="s">
        <v>248</v>
      </c>
    </row>
    <row r="148" s="28" customFormat="1" ht="26.1" customHeight="1" spans="1:14">
      <c r="A148" s="76">
        <v>133</v>
      </c>
      <c r="B148" s="50" t="s">
        <v>30</v>
      </c>
      <c r="C148" s="51" t="s">
        <v>249</v>
      </c>
      <c r="D148" s="50">
        <v>32</v>
      </c>
      <c r="E148" s="50">
        <v>100</v>
      </c>
      <c r="F148" s="52" t="s">
        <v>251</v>
      </c>
      <c r="G148" s="52" t="s">
        <v>54</v>
      </c>
      <c r="H148" s="53">
        <v>1</v>
      </c>
      <c r="I148" s="53"/>
      <c r="J148" s="54">
        <v>3.3</v>
      </c>
      <c r="K148" s="46">
        <f t="shared" si="2"/>
        <v>3.3</v>
      </c>
      <c r="L148" s="52">
        <v>0</v>
      </c>
      <c r="M148" s="50"/>
      <c r="N148" s="55" t="s">
        <v>248</v>
      </c>
    </row>
    <row r="149" s="28" customFormat="1" ht="26.1" customHeight="1" spans="1:14">
      <c r="A149" s="76">
        <v>134</v>
      </c>
      <c r="B149" s="50" t="s">
        <v>30</v>
      </c>
      <c r="C149" s="51" t="s">
        <v>249</v>
      </c>
      <c r="D149" s="50">
        <v>32</v>
      </c>
      <c r="E149" s="50">
        <v>100</v>
      </c>
      <c r="F149" s="52" t="s">
        <v>252</v>
      </c>
      <c r="G149" s="52" t="s">
        <v>54</v>
      </c>
      <c r="H149" s="53">
        <v>1</v>
      </c>
      <c r="I149" s="53"/>
      <c r="J149" s="54">
        <v>3.3</v>
      </c>
      <c r="K149" s="46">
        <f t="shared" si="2"/>
        <v>3.3</v>
      </c>
      <c r="L149" s="52">
        <v>0</v>
      </c>
      <c r="M149" s="50"/>
      <c r="N149" s="55" t="s">
        <v>248</v>
      </c>
    </row>
    <row r="150" s="28" customFormat="1" ht="26.1" customHeight="1" spans="1:14">
      <c r="A150" s="76">
        <v>135</v>
      </c>
      <c r="B150" s="50"/>
      <c r="C150" s="51" t="s">
        <v>253</v>
      </c>
      <c r="D150" s="50">
        <v>32</v>
      </c>
      <c r="E150" s="50"/>
      <c r="F150" s="52" t="s">
        <v>252</v>
      </c>
      <c r="G150" s="52" t="s">
        <v>24</v>
      </c>
      <c r="H150" s="53">
        <v>3</v>
      </c>
      <c r="I150" s="53"/>
      <c r="J150" s="54">
        <v>3.7</v>
      </c>
      <c r="K150" s="46">
        <f t="shared" si="2"/>
        <v>11.1</v>
      </c>
      <c r="L150" s="52">
        <v>0</v>
      </c>
      <c r="M150" s="50"/>
      <c r="N150" s="55"/>
    </row>
    <row r="151" s="28" customFormat="1" ht="26.1" customHeight="1" spans="1:14">
      <c r="A151" s="76">
        <v>136</v>
      </c>
      <c r="B151" s="50"/>
      <c r="C151" s="51" t="s">
        <v>254</v>
      </c>
      <c r="D151" s="50">
        <v>32</v>
      </c>
      <c r="E151" s="50"/>
      <c r="F151" s="52" t="s">
        <v>247</v>
      </c>
      <c r="G151" s="52" t="s">
        <v>16</v>
      </c>
      <c r="H151" s="53">
        <v>8</v>
      </c>
      <c r="I151" s="53"/>
      <c r="J151" s="54">
        <v>3.7</v>
      </c>
      <c r="K151" s="46">
        <f t="shared" si="2"/>
        <v>29.6</v>
      </c>
      <c r="L151" s="52"/>
      <c r="M151" s="50"/>
      <c r="N151" s="55"/>
    </row>
    <row r="152" s="28" customFormat="1" ht="26.1" customHeight="1" spans="1:14">
      <c r="A152" s="76">
        <v>137</v>
      </c>
      <c r="B152" s="50"/>
      <c r="C152" s="51" t="s">
        <v>255</v>
      </c>
      <c r="D152" s="50">
        <v>25</v>
      </c>
      <c r="E152" s="50">
        <v>100</v>
      </c>
      <c r="F152" s="52" t="s">
        <v>256</v>
      </c>
      <c r="G152" s="52" t="s">
        <v>123</v>
      </c>
      <c r="H152" s="53">
        <v>1</v>
      </c>
      <c r="I152" s="53"/>
      <c r="J152" s="54">
        <v>2.9</v>
      </c>
      <c r="K152" s="46">
        <f t="shared" si="2"/>
        <v>2.9</v>
      </c>
      <c r="L152" s="52"/>
      <c r="M152" s="50"/>
      <c r="N152" s="55" t="s">
        <v>257</v>
      </c>
    </row>
    <row r="153" s="28" customFormat="1" ht="26.1" customHeight="1" spans="1:14">
      <c r="A153" s="76">
        <v>138</v>
      </c>
      <c r="B153" s="50"/>
      <c r="C153" s="51" t="s">
        <v>255</v>
      </c>
      <c r="D153" s="50">
        <v>25</v>
      </c>
      <c r="E153" s="50">
        <v>100</v>
      </c>
      <c r="F153" s="52" t="s">
        <v>258</v>
      </c>
      <c r="G153" s="52" t="s">
        <v>16</v>
      </c>
      <c r="H153" s="53">
        <v>4</v>
      </c>
      <c r="I153" s="53"/>
      <c r="J153" s="54">
        <v>3.1</v>
      </c>
      <c r="K153" s="46">
        <f t="shared" si="2"/>
        <v>12.4</v>
      </c>
      <c r="L153" s="52">
        <v>0</v>
      </c>
      <c r="M153" s="50"/>
      <c r="N153" s="55"/>
    </row>
    <row r="154" s="28" customFormat="1" ht="26.1" customHeight="1" spans="1:14">
      <c r="A154" s="76">
        <v>139</v>
      </c>
      <c r="B154" s="50"/>
      <c r="C154" s="51" t="s">
        <v>259</v>
      </c>
      <c r="D154" s="50">
        <v>25</v>
      </c>
      <c r="E154" s="50">
        <v>100</v>
      </c>
      <c r="F154" s="52" t="s">
        <v>258</v>
      </c>
      <c r="G154" s="52" t="s">
        <v>16</v>
      </c>
      <c r="H154" s="53">
        <v>7</v>
      </c>
      <c r="I154" s="53"/>
      <c r="J154" s="54">
        <v>3.1</v>
      </c>
      <c r="K154" s="46">
        <f t="shared" si="2"/>
        <v>21.7</v>
      </c>
      <c r="L154" s="52">
        <v>0</v>
      </c>
      <c r="M154" s="50"/>
      <c r="N154" s="55"/>
    </row>
    <row r="155" s="28" customFormat="1" ht="26.1" customHeight="1" spans="1:14">
      <c r="A155" s="76">
        <v>140</v>
      </c>
      <c r="B155" s="50"/>
      <c r="C155" s="51" t="s">
        <v>255</v>
      </c>
      <c r="D155" s="50">
        <v>25</v>
      </c>
      <c r="E155" s="50">
        <v>100</v>
      </c>
      <c r="F155" s="52" t="s">
        <v>260</v>
      </c>
      <c r="G155" s="52" t="s">
        <v>16</v>
      </c>
      <c r="H155" s="53">
        <v>4</v>
      </c>
      <c r="I155" s="53"/>
      <c r="J155" s="54">
        <v>3.1</v>
      </c>
      <c r="K155" s="46">
        <f t="shared" si="2"/>
        <v>12.4</v>
      </c>
      <c r="L155" s="52">
        <v>0</v>
      </c>
      <c r="M155" s="50"/>
      <c r="N155" s="55"/>
    </row>
    <row r="156" s="28" customFormat="1" ht="26.1" customHeight="1" spans="1:14">
      <c r="A156" s="76">
        <v>141</v>
      </c>
      <c r="B156" s="50"/>
      <c r="C156" s="51" t="s">
        <v>259</v>
      </c>
      <c r="D156" s="50">
        <v>25</v>
      </c>
      <c r="E156" s="50">
        <v>100</v>
      </c>
      <c r="F156" s="52" t="s">
        <v>260</v>
      </c>
      <c r="G156" s="52" t="s">
        <v>74</v>
      </c>
      <c r="H156" s="53">
        <v>1</v>
      </c>
      <c r="I156" s="53"/>
      <c r="J156" s="54">
        <v>3.1</v>
      </c>
      <c r="K156" s="46">
        <f t="shared" si="2"/>
        <v>3.1</v>
      </c>
      <c r="L156" s="52">
        <v>0</v>
      </c>
      <c r="M156" s="50"/>
      <c r="N156" s="55"/>
    </row>
    <row r="157" s="28" customFormat="1" ht="26.1" customHeight="1" spans="1:14">
      <c r="A157" s="76">
        <v>142</v>
      </c>
      <c r="B157" s="50"/>
      <c r="C157" s="51" t="s">
        <v>261</v>
      </c>
      <c r="D157" s="50">
        <v>25</v>
      </c>
      <c r="E157" s="50">
        <v>40</v>
      </c>
      <c r="F157" s="52" t="s">
        <v>262</v>
      </c>
      <c r="G157" s="52" t="s">
        <v>16</v>
      </c>
      <c r="H157" s="53">
        <v>1</v>
      </c>
      <c r="I157" s="53"/>
      <c r="J157" s="54">
        <v>3.1</v>
      </c>
      <c r="K157" s="46">
        <f t="shared" si="2"/>
        <v>3.1</v>
      </c>
      <c r="L157" s="52">
        <v>0</v>
      </c>
      <c r="M157" s="50"/>
      <c r="N157" s="55"/>
    </row>
    <row r="158" s="28" customFormat="1" ht="26.1" customHeight="1" spans="1:14">
      <c r="A158" s="76">
        <v>143</v>
      </c>
      <c r="B158" s="50"/>
      <c r="C158" s="51" t="s">
        <v>263</v>
      </c>
      <c r="D158" s="50">
        <v>25</v>
      </c>
      <c r="E158" s="50">
        <v>40</v>
      </c>
      <c r="F158" s="52" t="s">
        <v>262</v>
      </c>
      <c r="G158" s="52" t="s">
        <v>16</v>
      </c>
      <c r="H158" s="53">
        <v>5</v>
      </c>
      <c r="I158" s="53"/>
      <c r="J158" s="54">
        <v>3.1</v>
      </c>
      <c r="K158" s="46">
        <f t="shared" si="2"/>
        <v>15.5</v>
      </c>
      <c r="L158" s="52">
        <v>0</v>
      </c>
      <c r="M158" s="50"/>
      <c r="N158" s="55"/>
    </row>
    <row r="159" s="28" customFormat="1" ht="26.1" customHeight="1" spans="1:14">
      <c r="A159" s="76">
        <v>144</v>
      </c>
      <c r="B159" s="50"/>
      <c r="C159" s="51" t="s">
        <v>261</v>
      </c>
      <c r="D159" s="50">
        <v>25</v>
      </c>
      <c r="E159" s="50">
        <v>40</v>
      </c>
      <c r="F159" s="52" t="s">
        <v>264</v>
      </c>
      <c r="G159" s="52" t="s">
        <v>16</v>
      </c>
      <c r="H159" s="53">
        <v>5</v>
      </c>
      <c r="I159" s="53"/>
      <c r="J159" s="54">
        <v>3.1</v>
      </c>
      <c r="K159" s="46">
        <f t="shared" si="2"/>
        <v>15.5</v>
      </c>
      <c r="L159" s="52">
        <v>0</v>
      </c>
      <c r="M159" s="50"/>
      <c r="N159" s="55"/>
    </row>
    <row r="160" s="28" customFormat="1" ht="26.1" customHeight="1" spans="1:14">
      <c r="A160" s="76">
        <v>145</v>
      </c>
      <c r="B160" s="50" t="s">
        <v>30</v>
      </c>
      <c r="C160" s="51" t="s">
        <v>265</v>
      </c>
      <c r="D160" s="50">
        <v>20</v>
      </c>
      <c r="E160" s="50">
        <v>6</v>
      </c>
      <c r="F160" s="52" t="s">
        <v>266</v>
      </c>
      <c r="G160" s="52" t="s">
        <v>123</v>
      </c>
      <c r="H160" s="53">
        <v>2</v>
      </c>
      <c r="I160" s="53"/>
      <c r="J160" s="54">
        <v>1.8</v>
      </c>
      <c r="K160" s="46">
        <f t="shared" si="2"/>
        <v>3.6</v>
      </c>
      <c r="L160" s="52"/>
      <c r="M160" s="50"/>
      <c r="N160" s="55" t="s">
        <v>267</v>
      </c>
    </row>
    <row r="161" s="28" customFormat="1" ht="26.1" customHeight="1" spans="1:14">
      <c r="A161" s="76">
        <v>146</v>
      </c>
      <c r="B161" s="50" t="s">
        <v>30</v>
      </c>
      <c r="C161" s="51" t="s">
        <v>268</v>
      </c>
      <c r="D161" s="50">
        <v>20</v>
      </c>
      <c r="E161" s="50">
        <v>160</v>
      </c>
      <c r="F161" s="52" t="s">
        <v>269</v>
      </c>
      <c r="G161" s="52" t="s">
        <v>123</v>
      </c>
      <c r="H161" s="53">
        <v>1</v>
      </c>
      <c r="I161" s="53"/>
      <c r="J161" s="54">
        <v>1.8</v>
      </c>
      <c r="K161" s="46">
        <f t="shared" si="2"/>
        <v>1.8</v>
      </c>
      <c r="L161" s="52"/>
      <c r="M161" s="50"/>
      <c r="N161" s="55" t="s">
        <v>267</v>
      </c>
    </row>
    <row r="162" s="28" customFormat="1" ht="26.1" customHeight="1" spans="1:14">
      <c r="A162" s="76">
        <v>147</v>
      </c>
      <c r="B162" s="50" t="s">
        <v>30</v>
      </c>
      <c r="C162" s="51" t="s">
        <v>270</v>
      </c>
      <c r="D162" s="50">
        <v>15</v>
      </c>
      <c r="E162" s="50">
        <v>160</v>
      </c>
      <c r="F162" s="52" t="s">
        <v>271</v>
      </c>
      <c r="G162" s="52" t="s">
        <v>16</v>
      </c>
      <c r="H162" s="53">
        <v>1</v>
      </c>
      <c r="I162" s="53"/>
      <c r="J162" s="54">
        <v>0.9</v>
      </c>
      <c r="K162" s="46">
        <f t="shared" si="2"/>
        <v>0.9</v>
      </c>
      <c r="L162" s="52">
        <v>0</v>
      </c>
      <c r="M162" s="50"/>
      <c r="N162" s="55" t="s">
        <v>223</v>
      </c>
    </row>
    <row r="163" s="28" customFormat="1" ht="26.1" customHeight="1" spans="1:14">
      <c r="A163" s="76">
        <v>148</v>
      </c>
      <c r="B163" s="50"/>
      <c r="C163" s="51" t="s">
        <v>272</v>
      </c>
      <c r="D163" s="50">
        <v>15</v>
      </c>
      <c r="E163" s="50" t="s">
        <v>19</v>
      </c>
      <c r="F163" s="52" t="s">
        <v>273</v>
      </c>
      <c r="G163" s="52" t="s">
        <v>16</v>
      </c>
      <c r="H163" s="53">
        <v>2</v>
      </c>
      <c r="I163" s="53"/>
      <c r="J163" s="54">
        <v>2</v>
      </c>
      <c r="K163" s="46">
        <f t="shared" si="2"/>
        <v>4</v>
      </c>
      <c r="L163" s="52">
        <v>0</v>
      </c>
      <c r="M163" s="50"/>
      <c r="N163" s="55"/>
    </row>
    <row r="164" s="28" customFormat="1" ht="26.1" customHeight="1" spans="1:14">
      <c r="A164" s="76">
        <v>149</v>
      </c>
      <c r="B164" s="50"/>
      <c r="C164" s="51" t="s">
        <v>274</v>
      </c>
      <c r="D164" s="50">
        <v>15</v>
      </c>
      <c r="E164" s="50"/>
      <c r="F164" s="52" t="s">
        <v>275</v>
      </c>
      <c r="G164" s="52" t="s">
        <v>74</v>
      </c>
      <c r="H164" s="53">
        <v>1</v>
      </c>
      <c r="I164" s="53"/>
      <c r="J164" s="54">
        <v>2</v>
      </c>
      <c r="K164" s="46">
        <f t="shared" si="2"/>
        <v>2</v>
      </c>
      <c r="L164" s="52">
        <v>0</v>
      </c>
      <c r="M164" s="50"/>
      <c r="N164" s="55"/>
    </row>
    <row r="165" s="28" customFormat="1" ht="26.1" customHeight="1" spans="1:14">
      <c r="A165" s="76">
        <v>150</v>
      </c>
      <c r="B165" s="50"/>
      <c r="C165" s="51" t="s">
        <v>272</v>
      </c>
      <c r="D165" s="50">
        <v>15</v>
      </c>
      <c r="E165" s="50"/>
      <c r="F165" s="52" t="s">
        <v>276</v>
      </c>
      <c r="G165" s="52" t="s">
        <v>123</v>
      </c>
      <c r="H165" s="53">
        <v>1</v>
      </c>
      <c r="I165" s="53"/>
      <c r="J165" s="54">
        <v>2</v>
      </c>
      <c r="K165" s="46">
        <f t="shared" si="2"/>
        <v>2</v>
      </c>
      <c r="L165" s="52">
        <v>0</v>
      </c>
      <c r="M165" s="50"/>
      <c r="N165" s="55" t="s">
        <v>257</v>
      </c>
    </row>
    <row r="166" s="28" customFormat="1" ht="26.1" customHeight="1" spans="1:14">
      <c r="A166" s="76">
        <v>151</v>
      </c>
      <c r="B166" s="50"/>
      <c r="C166" s="51" t="s">
        <v>272</v>
      </c>
      <c r="D166" s="50">
        <v>15</v>
      </c>
      <c r="E166" s="50"/>
      <c r="F166" s="52" t="s">
        <v>277</v>
      </c>
      <c r="G166" s="52" t="s">
        <v>16</v>
      </c>
      <c r="H166" s="53">
        <v>1</v>
      </c>
      <c r="I166" s="53"/>
      <c r="J166" s="54">
        <v>2</v>
      </c>
      <c r="K166" s="46">
        <f t="shared" si="2"/>
        <v>2</v>
      </c>
      <c r="L166" s="52"/>
      <c r="M166" s="50"/>
      <c r="N166" s="55"/>
    </row>
    <row r="167" s="28" customFormat="1" ht="26.1" customHeight="1" spans="1:14">
      <c r="A167" s="76">
        <v>152</v>
      </c>
      <c r="B167" s="50"/>
      <c r="C167" s="51" t="s">
        <v>278</v>
      </c>
      <c r="D167" s="50">
        <v>15</v>
      </c>
      <c r="E167" s="50"/>
      <c r="F167" s="52" t="s">
        <v>277</v>
      </c>
      <c r="G167" s="52" t="s">
        <v>16</v>
      </c>
      <c r="H167" s="53">
        <v>2</v>
      </c>
      <c r="I167" s="53"/>
      <c r="J167" s="54">
        <v>2</v>
      </c>
      <c r="K167" s="46">
        <f t="shared" si="2"/>
        <v>4</v>
      </c>
      <c r="L167" s="52"/>
      <c r="M167" s="50"/>
      <c r="N167" s="55"/>
    </row>
    <row r="168" s="28" customFormat="1" ht="26.1" customHeight="1" spans="1:14">
      <c r="A168" s="76">
        <v>153</v>
      </c>
      <c r="B168" s="83" t="s">
        <v>17</v>
      </c>
      <c r="C168" s="51" t="s">
        <v>279</v>
      </c>
      <c r="D168" s="50">
        <v>15</v>
      </c>
      <c r="E168" s="50" t="s">
        <v>280</v>
      </c>
      <c r="F168" s="52" t="s">
        <v>281</v>
      </c>
      <c r="G168" s="52" t="s">
        <v>123</v>
      </c>
      <c r="H168" s="53">
        <v>4</v>
      </c>
      <c r="I168" s="53"/>
      <c r="J168" s="54">
        <v>4.6</v>
      </c>
      <c r="K168" s="46">
        <f t="shared" si="2"/>
        <v>18.4</v>
      </c>
      <c r="L168" s="52">
        <v>3</v>
      </c>
      <c r="M168" s="50"/>
      <c r="N168" s="55"/>
    </row>
    <row r="169" s="28" customFormat="1" ht="26.1" customHeight="1" spans="1:14">
      <c r="A169" s="76">
        <v>154</v>
      </c>
      <c r="B169" s="50" t="s">
        <v>17</v>
      </c>
      <c r="C169" s="51" t="s">
        <v>279</v>
      </c>
      <c r="D169" s="50">
        <v>15</v>
      </c>
      <c r="E169" s="50">
        <v>160</v>
      </c>
      <c r="F169" s="52" t="s">
        <v>282</v>
      </c>
      <c r="G169" s="52" t="s">
        <v>54</v>
      </c>
      <c r="H169" s="53">
        <v>4</v>
      </c>
      <c r="I169" s="53"/>
      <c r="J169" s="54">
        <v>4.9</v>
      </c>
      <c r="K169" s="46">
        <f t="shared" si="2"/>
        <v>19.6</v>
      </c>
      <c r="L169" s="52"/>
      <c r="M169" s="50"/>
      <c r="N169" s="55"/>
    </row>
    <row r="170" s="28" customFormat="1" ht="26.1" customHeight="1" spans="1:14">
      <c r="A170" s="76">
        <v>155</v>
      </c>
      <c r="B170" s="50"/>
      <c r="C170" s="51" t="s">
        <v>283</v>
      </c>
      <c r="D170" s="50">
        <v>15</v>
      </c>
      <c r="E170" s="50" t="s">
        <v>246</v>
      </c>
      <c r="F170" s="52" t="s">
        <v>284</v>
      </c>
      <c r="G170" s="52" t="s">
        <v>16</v>
      </c>
      <c r="H170" s="53">
        <v>3</v>
      </c>
      <c r="I170" s="53"/>
      <c r="J170" s="54">
        <v>2</v>
      </c>
      <c r="K170" s="46">
        <f t="shared" si="2"/>
        <v>6</v>
      </c>
      <c r="L170" s="52">
        <v>0</v>
      </c>
      <c r="M170" s="50"/>
      <c r="N170" s="55"/>
    </row>
    <row r="171" s="28" customFormat="1" ht="26.1" customHeight="1" spans="1:14">
      <c r="A171" s="76">
        <v>156</v>
      </c>
      <c r="B171" s="50"/>
      <c r="C171" s="51" t="s">
        <v>285</v>
      </c>
      <c r="D171" s="50">
        <v>15</v>
      </c>
      <c r="E171" s="50" t="s">
        <v>286</v>
      </c>
      <c r="F171" s="52" t="s">
        <v>287</v>
      </c>
      <c r="G171" s="52" t="s">
        <v>16</v>
      </c>
      <c r="H171" s="53">
        <v>1</v>
      </c>
      <c r="I171" s="53"/>
      <c r="J171" s="54">
        <v>2</v>
      </c>
      <c r="K171" s="46">
        <f t="shared" si="2"/>
        <v>2</v>
      </c>
      <c r="L171" s="52">
        <v>0</v>
      </c>
      <c r="M171" s="50"/>
      <c r="N171" s="55"/>
    </row>
    <row r="172" s="28" customFormat="1" ht="26.1" customHeight="1" spans="1:14">
      <c r="A172" s="76">
        <v>157</v>
      </c>
      <c r="B172" s="50" t="s">
        <v>17</v>
      </c>
      <c r="C172" s="51" t="s">
        <v>288</v>
      </c>
      <c r="D172" s="50">
        <v>10</v>
      </c>
      <c r="E172" s="50">
        <v>160</v>
      </c>
      <c r="F172" s="52" t="s">
        <v>289</v>
      </c>
      <c r="G172" s="52" t="s">
        <v>123</v>
      </c>
      <c r="H172" s="53">
        <v>6</v>
      </c>
      <c r="I172" s="53"/>
      <c r="J172" s="54">
        <v>0.7</v>
      </c>
      <c r="K172" s="46">
        <f t="shared" si="2"/>
        <v>4.2</v>
      </c>
      <c r="L172" s="52"/>
      <c r="M172" s="50"/>
      <c r="N172" s="55" t="s">
        <v>223</v>
      </c>
    </row>
    <row r="173" s="28" customFormat="1" ht="26.1" customHeight="1" spans="1:14">
      <c r="A173" s="76">
        <v>158</v>
      </c>
      <c r="B173" s="50" t="s">
        <v>30</v>
      </c>
      <c r="C173" s="51" t="s">
        <v>290</v>
      </c>
      <c r="D173" s="50">
        <v>10</v>
      </c>
      <c r="E173" s="50" t="s">
        <v>291</v>
      </c>
      <c r="F173" s="52" t="s">
        <v>292</v>
      </c>
      <c r="G173" s="52" t="s">
        <v>54</v>
      </c>
      <c r="H173" s="53">
        <v>1</v>
      </c>
      <c r="I173" s="53"/>
      <c r="J173" s="54">
        <v>1.52</v>
      </c>
      <c r="K173" s="46">
        <f t="shared" si="2"/>
        <v>1.52</v>
      </c>
      <c r="L173" s="52"/>
      <c r="M173" s="50"/>
      <c r="N173" s="55" t="s">
        <v>223</v>
      </c>
    </row>
    <row r="174" s="28" customFormat="1" ht="26.1" customHeight="1" spans="1:14">
      <c r="A174" s="76">
        <v>159</v>
      </c>
      <c r="B174" s="50"/>
      <c r="C174" s="51" t="s">
        <v>293</v>
      </c>
      <c r="D174" s="50" t="s">
        <v>19</v>
      </c>
      <c r="E174" s="50">
        <v>150</v>
      </c>
      <c r="F174" s="52" t="s">
        <v>294</v>
      </c>
      <c r="G174" s="52" t="s">
        <v>54</v>
      </c>
      <c r="H174" s="53">
        <v>8</v>
      </c>
      <c r="I174" s="53"/>
      <c r="J174" s="54">
        <v>1</v>
      </c>
      <c r="K174" s="46">
        <f t="shared" si="2"/>
        <v>8</v>
      </c>
      <c r="L174" s="52">
        <v>8</v>
      </c>
      <c r="M174" s="50"/>
      <c r="N174" s="55" t="s">
        <v>257</v>
      </c>
    </row>
    <row r="175" ht="21.95" customHeight="1" spans="1:14">
      <c r="A175" s="48" t="s">
        <v>295</v>
      </c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9"/>
      <c r="N175" s="3"/>
    </row>
    <row r="176" s="28" customFormat="1" ht="26.1" customHeight="1" spans="1:14">
      <c r="A176" s="50">
        <v>160</v>
      </c>
      <c r="B176" s="50"/>
      <c r="C176" s="51" t="s">
        <v>296</v>
      </c>
      <c r="D176" s="50">
        <v>32</v>
      </c>
      <c r="E176" s="50">
        <v>100</v>
      </c>
      <c r="F176" s="52" t="s">
        <v>297</v>
      </c>
      <c r="G176" s="52" t="s">
        <v>54</v>
      </c>
      <c r="H176" s="53">
        <v>2</v>
      </c>
      <c r="I176" s="53"/>
      <c r="J176" s="54">
        <v>2.7</v>
      </c>
      <c r="K176" s="46">
        <f t="shared" si="2"/>
        <v>5.4</v>
      </c>
      <c r="L176" s="52"/>
      <c r="M176" s="50"/>
      <c r="N176" s="55" t="s">
        <v>298</v>
      </c>
    </row>
    <row r="177" s="28" customFormat="1" ht="26.1" customHeight="1" spans="1:14">
      <c r="A177" s="50">
        <v>161</v>
      </c>
      <c r="B177" s="50"/>
      <c r="C177" s="51" t="s">
        <v>299</v>
      </c>
      <c r="D177" s="50">
        <v>20</v>
      </c>
      <c r="E177" s="50" t="s">
        <v>286</v>
      </c>
      <c r="F177" s="52" t="s">
        <v>300</v>
      </c>
      <c r="G177" s="52" t="s">
        <v>54</v>
      </c>
      <c r="H177" s="53">
        <v>1</v>
      </c>
      <c r="I177" s="53"/>
      <c r="J177" s="54">
        <v>1.9</v>
      </c>
      <c r="K177" s="46">
        <f t="shared" si="2"/>
        <v>1.9</v>
      </c>
      <c r="L177" s="52"/>
      <c r="M177" s="50"/>
      <c r="N177" s="55" t="s">
        <v>298</v>
      </c>
    </row>
    <row r="178" s="28" customFormat="1" ht="26.1" customHeight="1" spans="1:14">
      <c r="A178" s="50">
        <v>162</v>
      </c>
      <c r="B178" s="50"/>
      <c r="C178" s="51" t="s">
        <v>301</v>
      </c>
      <c r="D178" s="50">
        <v>20</v>
      </c>
      <c r="E178" s="50" t="s">
        <v>280</v>
      </c>
      <c r="F178" s="52" t="s">
        <v>302</v>
      </c>
      <c r="G178" s="52" t="s">
        <v>123</v>
      </c>
      <c r="H178" s="53">
        <v>1</v>
      </c>
      <c r="I178" s="53"/>
      <c r="J178" s="54">
        <v>1.9</v>
      </c>
      <c r="K178" s="46">
        <f t="shared" si="2"/>
        <v>1.9</v>
      </c>
      <c r="L178" s="52"/>
      <c r="M178" s="50"/>
      <c r="N178" s="55" t="s">
        <v>298</v>
      </c>
    </row>
    <row r="179" s="28" customFormat="1" ht="26.1" customHeight="1" spans="1:14">
      <c r="A179" s="50">
        <v>163</v>
      </c>
      <c r="B179" s="50"/>
      <c r="C179" s="51" t="s">
        <v>303</v>
      </c>
      <c r="D179" s="50">
        <v>20</v>
      </c>
      <c r="E179" s="50" t="s">
        <v>246</v>
      </c>
      <c r="F179" s="52" t="s">
        <v>304</v>
      </c>
      <c r="G179" s="52" t="s">
        <v>16</v>
      </c>
      <c r="H179" s="53">
        <v>2</v>
      </c>
      <c r="I179" s="53"/>
      <c r="J179" s="54">
        <v>2</v>
      </c>
      <c r="K179" s="46">
        <f t="shared" si="2"/>
        <v>4</v>
      </c>
      <c r="L179" s="52">
        <v>0</v>
      </c>
      <c r="M179" s="50"/>
      <c r="N179" s="55"/>
    </row>
    <row r="180" s="28" customFormat="1" ht="26.1" customHeight="1" spans="1:14">
      <c r="A180" s="50">
        <v>164</v>
      </c>
      <c r="B180" s="50"/>
      <c r="C180" s="51" t="s">
        <v>305</v>
      </c>
      <c r="D180" s="50">
        <v>20</v>
      </c>
      <c r="E180" s="50">
        <v>100</v>
      </c>
      <c r="F180" s="52" t="s">
        <v>304</v>
      </c>
      <c r="G180" s="52" t="s">
        <v>16</v>
      </c>
      <c r="H180" s="53">
        <v>3</v>
      </c>
      <c r="I180" s="53"/>
      <c r="J180" s="54">
        <v>2.1</v>
      </c>
      <c r="K180" s="46">
        <f t="shared" si="2"/>
        <v>6.3</v>
      </c>
      <c r="L180" s="52">
        <v>0</v>
      </c>
      <c r="M180" s="50"/>
      <c r="N180" s="55"/>
    </row>
    <row r="181" s="28" customFormat="1" ht="26.1" customHeight="1" spans="1:14">
      <c r="A181" s="50">
        <v>165</v>
      </c>
      <c r="B181" s="50"/>
      <c r="C181" s="51" t="s">
        <v>305</v>
      </c>
      <c r="D181" s="50">
        <v>20</v>
      </c>
      <c r="E181" s="50" t="s">
        <v>246</v>
      </c>
      <c r="F181" s="52" t="s">
        <v>306</v>
      </c>
      <c r="G181" s="52" t="s">
        <v>16</v>
      </c>
      <c r="H181" s="53">
        <v>11</v>
      </c>
      <c r="I181" s="53"/>
      <c r="J181" s="54">
        <v>2.1</v>
      </c>
      <c r="K181" s="46">
        <f t="shared" si="2"/>
        <v>23.1</v>
      </c>
      <c r="L181" s="52">
        <v>0</v>
      </c>
      <c r="M181" s="50"/>
      <c r="N181" s="55"/>
    </row>
    <row r="182" s="28" customFormat="1" ht="26.1" customHeight="1" spans="1:14">
      <c r="A182" s="50">
        <v>166</v>
      </c>
      <c r="B182" s="50"/>
      <c r="C182" s="51" t="s">
        <v>305</v>
      </c>
      <c r="D182" s="50">
        <v>20</v>
      </c>
      <c r="E182" s="50" t="s">
        <v>246</v>
      </c>
      <c r="F182" s="52" t="s">
        <v>307</v>
      </c>
      <c r="G182" s="52" t="s">
        <v>16</v>
      </c>
      <c r="H182" s="53">
        <v>8</v>
      </c>
      <c r="I182" s="53"/>
      <c r="J182" s="54">
        <v>1.9</v>
      </c>
      <c r="K182" s="46">
        <f t="shared" si="2"/>
        <v>15.2</v>
      </c>
      <c r="L182" s="52">
        <v>0</v>
      </c>
      <c r="M182" s="50"/>
      <c r="N182" s="55"/>
    </row>
    <row r="183" s="28" customFormat="1" ht="26.1" customHeight="1" spans="1:14">
      <c r="A183" s="50">
        <v>167</v>
      </c>
      <c r="B183" s="50"/>
      <c r="C183" s="51" t="s">
        <v>305</v>
      </c>
      <c r="D183" s="50">
        <v>20</v>
      </c>
      <c r="E183" s="50">
        <v>100</v>
      </c>
      <c r="F183" s="52" t="s">
        <v>308</v>
      </c>
      <c r="G183" s="52" t="s">
        <v>16</v>
      </c>
      <c r="H183" s="53">
        <v>2</v>
      </c>
      <c r="I183" s="53"/>
      <c r="J183" s="54">
        <v>2.1</v>
      </c>
      <c r="K183" s="46">
        <f t="shared" si="2"/>
        <v>4.2</v>
      </c>
      <c r="L183" s="52"/>
      <c r="M183" s="50"/>
      <c r="N183" s="55"/>
    </row>
    <row r="184" s="28" customFormat="1" ht="26.1" customHeight="1" spans="1:14">
      <c r="A184" s="50">
        <v>168</v>
      </c>
      <c r="B184" s="50"/>
      <c r="C184" s="51" t="s">
        <v>305</v>
      </c>
      <c r="D184" s="50">
        <v>20</v>
      </c>
      <c r="E184" s="50" t="s">
        <v>246</v>
      </c>
      <c r="F184" s="52" t="s">
        <v>309</v>
      </c>
      <c r="G184" s="52" t="s">
        <v>16</v>
      </c>
      <c r="H184" s="53">
        <v>29</v>
      </c>
      <c r="I184" s="53"/>
      <c r="J184" s="54">
        <v>2.1</v>
      </c>
      <c r="K184" s="46">
        <f t="shared" si="2"/>
        <v>60.9</v>
      </c>
      <c r="L184" s="52">
        <v>6</v>
      </c>
      <c r="M184" s="50"/>
      <c r="N184" s="55"/>
    </row>
    <row r="185" s="28" customFormat="1" ht="26.1" customHeight="1" spans="1:14">
      <c r="A185" s="50">
        <v>169</v>
      </c>
      <c r="B185" s="50"/>
      <c r="C185" s="51" t="s">
        <v>303</v>
      </c>
      <c r="D185" s="50">
        <v>20</v>
      </c>
      <c r="E185" s="50">
        <v>100</v>
      </c>
      <c r="F185" s="52" t="s">
        <v>309</v>
      </c>
      <c r="G185" s="52" t="s">
        <v>16</v>
      </c>
      <c r="H185" s="53">
        <v>12</v>
      </c>
      <c r="I185" s="53"/>
      <c r="J185" s="54">
        <v>2.1</v>
      </c>
      <c r="K185" s="46">
        <f t="shared" si="2"/>
        <v>25.2</v>
      </c>
      <c r="L185" s="52">
        <v>0</v>
      </c>
      <c r="M185" s="50"/>
      <c r="N185" s="55"/>
    </row>
    <row r="186" s="28" customFormat="1" ht="26.1" customHeight="1" spans="1:14">
      <c r="A186" s="50">
        <v>170</v>
      </c>
      <c r="B186" s="50"/>
      <c r="C186" s="51" t="s">
        <v>310</v>
      </c>
      <c r="D186" s="50">
        <v>20</v>
      </c>
      <c r="E186" s="50">
        <v>40</v>
      </c>
      <c r="F186" s="52" t="s">
        <v>311</v>
      </c>
      <c r="G186" s="52" t="s">
        <v>16</v>
      </c>
      <c r="H186" s="53">
        <v>7</v>
      </c>
      <c r="I186" s="53"/>
      <c r="J186" s="54">
        <v>2.1</v>
      </c>
      <c r="K186" s="46">
        <f t="shared" si="2"/>
        <v>14.7</v>
      </c>
      <c r="L186" s="52">
        <v>0</v>
      </c>
      <c r="M186" s="50"/>
      <c r="N186" s="55"/>
    </row>
    <row r="187" s="28" customFormat="1" ht="26.1" customHeight="1" spans="1:14">
      <c r="A187" s="50">
        <v>171</v>
      </c>
      <c r="B187" s="50"/>
      <c r="C187" s="51" t="s">
        <v>310</v>
      </c>
      <c r="D187" s="50">
        <v>20</v>
      </c>
      <c r="E187" s="50" t="s">
        <v>286</v>
      </c>
      <c r="F187" s="52" t="s">
        <v>312</v>
      </c>
      <c r="G187" s="52" t="s">
        <v>16</v>
      </c>
      <c r="H187" s="53">
        <v>45</v>
      </c>
      <c r="I187" s="53"/>
      <c r="J187" s="54">
        <v>2.1</v>
      </c>
      <c r="K187" s="46">
        <f t="shared" si="2"/>
        <v>94.5</v>
      </c>
      <c r="L187" s="52">
        <v>0</v>
      </c>
      <c r="M187" s="50"/>
      <c r="N187" s="55"/>
    </row>
    <row r="188" s="28" customFormat="1" ht="26.1" customHeight="1" spans="1:14">
      <c r="A188" s="50">
        <v>172</v>
      </c>
      <c r="B188" s="50" t="s">
        <v>30</v>
      </c>
      <c r="C188" s="51" t="s">
        <v>313</v>
      </c>
      <c r="D188" s="50">
        <v>15</v>
      </c>
      <c r="E188" s="50">
        <v>3</v>
      </c>
      <c r="F188" s="52" t="s">
        <v>314</v>
      </c>
      <c r="G188" s="52" t="s">
        <v>130</v>
      </c>
      <c r="H188" s="53">
        <v>1</v>
      </c>
      <c r="I188" s="53">
        <f>SUM(H179:H187)</f>
        <v>119</v>
      </c>
      <c r="J188" s="54">
        <v>0.8</v>
      </c>
      <c r="K188" s="46">
        <f t="shared" si="2"/>
        <v>0.8</v>
      </c>
      <c r="L188" s="52"/>
      <c r="M188" s="50"/>
      <c r="N188" s="55" t="s">
        <v>223</v>
      </c>
    </row>
    <row r="189" s="28" customFormat="1" ht="26.1" customHeight="1" spans="1:14">
      <c r="A189" s="50">
        <v>173</v>
      </c>
      <c r="B189" s="50" t="s">
        <v>30</v>
      </c>
      <c r="C189" s="51" t="s">
        <v>315</v>
      </c>
      <c r="D189" s="50">
        <v>15</v>
      </c>
      <c r="E189" s="50" t="s">
        <v>19</v>
      </c>
      <c r="F189" s="52" t="s">
        <v>316</v>
      </c>
      <c r="G189" s="52" t="s">
        <v>123</v>
      </c>
      <c r="H189" s="53">
        <v>3</v>
      </c>
      <c r="I189" s="53"/>
      <c r="J189" s="54">
        <v>5.7</v>
      </c>
      <c r="K189" s="46">
        <f t="shared" si="2"/>
        <v>17.1</v>
      </c>
      <c r="L189" s="52"/>
      <c r="M189" s="50"/>
      <c r="N189" s="55" t="s">
        <v>317</v>
      </c>
    </row>
    <row r="190" s="27" customFormat="1" ht="26.1" customHeight="1" spans="1:14">
      <c r="A190" s="50">
        <v>174</v>
      </c>
      <c r="B190" s="41" t="s">
        <v>30</v>
      </c>
      <c r="C190" s="42" t="s">
        <v>318</v>
      </c>
      <c r="D190" s="41">
        <v>10</v>
      </c>
      <c r="E190" s="41">
        <v>40</v>
      </c>
      <c r="F190" s="43" t="s">
        <v>319</v>
      </c>
      <c r="G190" s="43" t="s">
        <v>123</v>
      </c>
      <c r="H190" s="84">
        <v>796</v>
      </c>
      <c r="I190" s="44"/>
      <c r="J190" s="45">
        <v>1.2</v>
      </c>
      <c r="K190" s="46">
        <f t="shared" si="2"/>
        <v>955.2</v>
      </c>
      <c r="L190" s="43"/>
      <c r="M190" s="41">
        <f>K190</f>
        <v>955.2</v>
      </c>
      <c r="N190" s="47"/>
    </row>
    <row r="191" s="28" customFormat="1" ht="26.1" customHeight="1" spans="1:14">
      <c r="A191" s="50">
        <v>175</v>
      </c>
      <c r="B191" s="41" t="s">
        <v>30</v>
      </c>
      <c r="C191" s="51" t="s">
        <v>320</v>
      </c>
      <c r="D191" s="50">
        <v>10</v>
      </c>
      <c r="E191" s="50">
        <v>400</v>
      </c>
      <c r="F191" s="52" t="s">
        <v>321</v>
      </c>
      <c r="G191" s="52" t="s">
        <v>123</v>
      </c>
      <c r="H191" s="53">
        <v>1</v>
      </c>
      <c r="I191" s="53"/>
      <c r="J191" s="54">
        <v>3.8</v>
      </c>
      <c r="K191" s="46">
        <f t="shared" si="2"/>
        <v>3.8</v>
      </c>
      <c r="L191" s="52"/>
      <c r="M191" s="50"/>
      <c r="N191" s="55" t="s">
        <v>267</v>
      </c>
    </row>
    <row r="192" s="28" customFormat="1" ht="26.1" customHeight="1" spans="1:14">
      <c r="A192" s="50">
        <v>176</v>
      </c>
      <c r="B192" s="50"/>
      <c r="C192" s="51" t="s">
        <v>322</v>
      </c>
      <c r="D192" s="50">
        <v>10</v>
      </c>
      <c r="E192" s="50"/>
      <c r="F192" s="52" t="s">
        <v>323</v>
      </c>
      <c r="G192" s="52" t="s">
        <v>16</v>
      </c>
      <c r="H192" s="53">
        <v>4</v>
      </c>
      <c r="I192" s="53"/>
      <c r="J192" s="54">
        <v>1</v>
      </c>
      <c r="K192" s="46">
        <f t="shared" si="2"/>
        <v>4</v>
      </c>
      <c r="L192" s="52"/>
      <c r="M192" s="50"/>
      <c r="N192" s="55" t="s">
        <v>298</v>
      </c>
    </row>
    <row r="193" ht="21.95" customHeight="1" spans="1:14">
      <c r="A193" s="48" t="s">
        <v>324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9"/>
      <c r="N193" s="3"/>
    </row>
    <row r="194" s="28" customFormat="1" ht="26.1" customHeight="1" spans="1:14">
      <c r="A194" s="50">
        <v>177</v>
      </c>
      <c r="B194" s="50" t="s">
        <v>30</v>
      </c>
      <c r="C194" s="51" t="s">
        <v>325</v>
      </c>
      <c r="D194" s="50">
        <v>32</v>
      </c>
      <c r="E194" s="50">
        <v>6</v>
      </c>
      <c r="F194" s="52" t="s">
        <v>326</v>
      </c>
      <c r="G194" s="52" t="s">
        <v>16</v>
      </c>
      <c r="H194" s="53">
        <v>1</v>
      </c>
      <c r="I194" s="53"/>
      <c r="J194" s="54">
        <v>5</v>
      </c>
      <c r="K194" s="46">
        <f t="shared" si="2"/>
        <v>5</v>
      </c>
      <c r="L194" s="52"/>
      <c r="M194" s="50"/>
      <c r="N194" s="55"/>
    </row>
    <row r="195" s="28" customFormat="1" ht="26.1" customHeight="1" spans="1:14">
      <c r="A195" s="50">
        <v>178</v>
      </c>
      <c r="B195" s="50" t="s">
        <v>30</v>
      </c>
      <c r="C195" s="51" t="s">
        <v>327</v>
      </c>
      <c r="D195" s="50">
        <v>50</v>
      </c>
      <c r="E195" s="50">
        <v>6</v>
      </c>
      <c r="F195" s="52" t="s">
        <v>328</v>
      </c>
      <c r="G195" s="52" t="s">
        <v>16</v>
      </c>
      <c r="H195" s="53">
        <v>1</v>
      </c>
      <c r="I195" s="53"/>
      <c r="J195" s="54">
        <v>8.8</v>
      </c>
      <c r="K195" s="46">
        <f t="shared" si="2"/>
        <v>8.8</v>
      </c>
      <c r="L195" s="52"/>
      <c r="M195" s="50"/>
      <c r="N195" s="55"/>
    </row>
    <row r="196" s="28" customFormat="1" ht="26.1" customHeight="1" spans="1:14">
      <c r="A196" s="50">
        <v>179</v>
      </c>
      <c r="B196" s="50" t="s">
        <v>30</v>
      </c>
      <c r="C196" s="51" t="s">
        <v>329</v>
      </c>
      <c r="D196" s="50">
        <v>65</v>
      </c>
      <c r="E196" s="50">
        <v>10</v>
      </c>
      <c r="F196" s="52" t="s">
        <v>20</v>
      </c>
      <c r="G196" s="52" t="s">
        <v>24</v>
      </c>
      <c r="H196" s="53">
        <v>1</v>
      </c>
      <c r="I196" s="53"/>
      <c r="J196" s="54">
        <v>15</v>
      </c>
      <c r="K196" s="46">
        <f t="shared" ref="K196:K243" si="3">PRODUCT(H196*J196)</f>
        <v>15</v>
      </c>
      <c r="L196" s="52"/>
      <c r="M196" s="50"/>
      <c r="N196" s="55"/>
    </row>
    <row r="197" s="28" customFormat="1" ht="26.1" customHeight="1" spans="1:14">
      <c r="A197" s="50">
        <v>180</v>
      </c>
      <c r="B197" s="50" t="s">
        <v>30</v>
      </c>
      <c r="C197" s="51" t="s">
        <v>330</v>
      </c>
      <c r="D197" s="50">
        <v>70</v>
      </c>
      <c r="E197" s="50"/>
      <c r="F197" s="52" t="s">
        <v>331</v>
      </c>
      <c r="G197" s="52" t="s">
        <v>16</v>
      </c>
      <c r="H197" s="53">
        <v>1</v>
      </c>
      <c r="I197" s="53"/>
      <c r="J197" s="54">
        <v>17.2</v>
      </c>
      <c r="K197" s="46">
        <f t="shared" si="3"/>
        <v>17.2</v>
      </c>
      <c r="L197" s="52"/>
      <c r="M197" s="50"/>
      <c r="N197" s="55"/>
    </row>
    <row r="198" s="28" customFormat="1" ht="26.1" customHeight="1" spans="1:14">
      <c r="A198" s="50">
        <v>181</v>
      </c>
      <c r="B198" s="50" t="s">
        <v>30</v>
      </c>
      <c r="C198" s="51" t="s">
        <v>332</v>
      </c>
      <c r="D198" s="50">
        <v>32</v>
      </c>
      <c r="E198" s="50">
        <v>10</v>
      </c>
      <c r="F198" s="52" t="s">
        <v>333</v>
      </c>
      <c r="G198" s="52" t="s">
        <v>54</v>
      </c>
      <c r="H198" s="53">
        <v>2</v>
      </c>
      <c r="I198" s="53"/>
      <c r="J198" s="54">
        <v>4.1</v>
      </c>
      <c r="K198" s="46">
        <f t="shared" si="3"/>
        <v>8.2</v>
      </c>
      <c r="L198" s="52"/>
      <c r="M198" s="50"/>
      <c r="N198" s="55" t="s">
        <v>334</v>
      </c>
    </row>
    <row r="199" s="28" customFormat="1" ht="26.1" customHeight="1" spans="1:14">
      <c r="A199" s="50">
        <v>182</v>
      </c>
      <c r="B199" s="50" t="s">
        <v>30</v>
      </c>
      <c r="C199" s="51" t="s">
        <v>332</v>
      </c>
      <c r="D199" s="50">
        <v>32</v>
      </c>
      <c r="E199" s="50">
        <v>10</v>
      </c>
      <c r="F199" s="52" t="s">
        <v>333</v>
      </c>
      <c r="G199" s="52" t="s">
        <v>16</v>
      </c>
      <c r="H199" s="53">
        <v>1</v>
      </c>
      <c r="I199" s="53"/>
      <c r="J199" s="54">
        <v>4.1</v>
      </c>
      <c r="K199" s="46">
        <f t="shared" si="3"/>
        <v>4.1</v>
      </c>
      <c r="L199" s="52"/>
      <c r="M199" s="50"/>
      <c r="N199" s="55" t="s">
        <v>334</v>
      </c>
    </row>
    <row r="200" s="28" customFormat="1" ht="26.1" customHeight="1" spans="1:14">
      <c r="A200" s="50">
        <v>183</v>
      </c>
      <c r="B200" s="50" t="s">
        <v>30</v>
      </c>
      <c r="C200" s="51" t="s">
        <v>335</v>
      </c>
      <c r="D200" s="50">
        <v>20</v>
      </c>
      <c r="E200" s="50">
        <v>16</v>
      </c>
      <c r="F200" s="52" t="s">
        <v>336</v>
      </c>
      <c r="G200" s="52" t="s">
        <v>16</v>
      </c>
      <c r="H200" s="53">
        <v>6</v>
      </c>
      <c r="I200" s="53"/>
      <c r="J200" s="54">
        <v>1.2</v>
      </c>
      <c r="K200" s="46">
        <f t="shared" si="3"/>
        <v>7.2</v>
      </c>
      <c r="L200" s="52"/>
      <c r="M200" s="50"/>
      <c r="N200" s="55" t="s">
        <v>334</v>
      </c>
    </row>
    <row r="201" s="28" customFormat="1" ht="26.1" customHeight="1" spans="1:14">
      <c r="A201" s="50">
        <v>184</v>
      </c>
      <c r="B201" s="50" t="s">
        <v>30</v>
      </c>
      <c r="C201" s="51" t="s">
        <v>337</v>
      </c>
      <c r="D201" s="50">
        <v>20</v>
      </c>
      <c r="E201" s="50">
        <v>16</v>
      </c>
      <c r="F201" s="52" t="s">
        <v>338</v>
      </c>
      <c r="G201" s="52" t="s">
        <v>74</v>
      </c>
      <c r="H201" s="53">
        <v>7</v>
      </c>
      <c r="I201" s="53"/>
      <c r="J201" s="54">
        <v>2.8</v>
      </c>
      <c r="K201" s="46">
        <f t="shared" si="3"/>
        <v>19.6</v>
      </c>
      <c r="L201" s="52"/>
      <c r="M201" s="50"/>
      <c r="N201" s="55" t="s">
        <v>334</v>
      </c>
    </row>
    <row r="202" s="28" customFormat="1" ht="26.1" customHeight="1" spans="1:14">
      <c r="A202" s="50">
        <v>185</v>
      </c>
      <c r="B202" s="50"/>
      <c r="C202" s="51" t="s">
        <v>339</v>
      </c>
      <c r="D202" s="50">
        <v>15</v>
      </c>
      <c r="E202" s="50">
        <v>25</v>
      </c>
      <c r="F202" s="52" t="s">
        <v>340</v>
      </c>
      <c r="G202" s="52" t="s">
        <v>16</v>
      </c>
      <c r="H202" s="53">
        <v>4</v>
      </c>
      <c r="I202" s="53"/>
      <c r="J202" s="54">
        <v>1.82</v>
      </c>
      <c r="K202" s="46">
        <f t="shared" si="3"/>
        <v>7.28</v>
      </c>
      <c r="L202" s="52"/>
      <c r="M202" s="50"/>
      <c r="N202" s="55" t="s">
        <v>298</v>
      </c>
    </row>
    <row r="203" s="28" customFormat="1" ht="26.1" customHeight="1" spans="1:14">
      <c r="A203" s="50">
        <v>186</v>
      </c>
      <c r="B203" s="50"/>
      <c r="C203" s="51" t="s">
        <v>341</v>
      </c>
      <c r="D203" s="50">
        <v>6</v>
      </c>
      <c r="E203" s="50">
        <v>25</v>
      </c>
      <c r="F203" s="52" t="s">
        <v>342</v>
      </c>
      <c r="G203" s="52" t="s">
        <v>16</v>
      </c>
      <c r="H203" s="53">
        <v>2</v>
      </c>
      <c r="I203" s="53"/>
      <c r="J203" s="54">
        <v>0.5</v>
      </c>
      <c r="K203" s="46">
        <f t="shared" si="3"/>
        <v>1</v>
      </c>
      <c r="L203" s="52"/>
      <c r="M203" s="50"/>
      <c r="N203" s="55"/>
    </row>
    <row r="204" s="30" customFormat="1" ht="21.95" customHeight="1" spans="1:14">
      <c r="A204" s="85" t="s">
        <v>343</v>
      </c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6"/>
      <c r="N204" s="73"/>
    </row>
    <row r="205" s="27" customFormat="1" ht="26.1" customHeight="1" spans="1:14">
      <c r="A205" s="41">
        <v>187</v>
      </c>
      <c r="B205" s="41" t="s">
        <v>30</v>
      </c>
      <c r="C205" s="42" t="s">
        <v>344</v>
      </c>
      <c r="D205" s="41">
        <v>25</v>
      </c>
      <c r="E205" s="41" t="s">
        <v>19</v>
      </c>
      <c r="F205" s="43" t="s">
        <v>345</v>
      </c>
      <c r="G205" s="43" t="s">
        <v>24</v>
      </c>
      <c r="H205" s="44">
        <v>1</v>
      </c>
      <c r="I205" s="44"/>
      <c r="J205" s="45">
        <v>5.5</v>
      </c>
      <c r="K205" s="46">
        <f t="shared" si="3"/>
        <v>5.5</v>
      </c>
      <c r="L205" s="43"/>
      <c r="M205" s="41"/>
      <c r="N205" s="47"/>
    </row>
    <row r="206" s="27" customFormat="1" ht="26.1" customHeight="1" spans="1:14">
      <c r="A206" s="41">
        <v>188</v>
      </c>
      <c r="B206" s="41" t="s">
        <v>30</v>
      </c>
      <c r="C206" s="42" t="s">
        <v>346</v>
      </c>
      <c r="D206" s="41">
        <v>25</v>
      </c>
      <c r="E206" s="41" t="s">
        <v>19</v>
      </c>
      <c r="F206" s="43" t="s">
        <v>345</v>
      </c>
      <c r="G206" s="43" t="s">
        <v>54</v>
      </c>
      <c r="H206" s="44">
        <v>62</v>
      </c>
      <c r="I206" s="44">
        <f>SUM(H205:H206)</f>
        <v>63</v>
      </c>
      <c r="J206" s="45">
        <v>5.5</v>
      </c>
      <c r="K206" s="46">
        <f t="shared" si="3"/>
        <v>341</v>
      </c>
      <c r="L206" s="43"/>
      <c r="M206" s="41">
        <f>SUM(K205:K206)</f>
        <v>346.5</v>
      </c>
      <c r="N206" s="47"/>
    </row>
    <row r="207" ht="21.95" customHeight="1" spans="1:14">
      <c r="A207" s="48" t="s">
        <v>347</v>
      </c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9"/>
      <c r="N207" s="49"/>
    </row>
    <row r="208" s="28" customFormat="1" ht="26.1" customHeight="1" spans="1:14">
      <c r="A208" s="50">
        <v>189</v>
      </c>
      <c r="B208" s="50" t="s">
        <v>17</v>
      </c>
      <c r="C208" s="51" t="s">
        <v>348</v>
      </c>
      <c r="D208" s="50">
        <v>25</v>
      </c>
      <c r="E208" s="50">
        <v>100</v>
      </c>
      <c r="F208" s="52" t="s">
        <v>349</v>
      </c>
      <c r="G208" s="52" t="s">
        <v>54</v>
      </c>
      <c r="H208" s="53">
        <v>2</v>
      </c>
      <c r="I208" s="53"/>
      <c r="J208" s="54">
        <v>2.5</v>
      </c>
      <c r="K208" s="46">
        <f t="shared" si="3"/>
        <v>5</v>
      </c>
      <c r="L208" s="52"/>
      <c r="M208" s="50"/>
      <c r="N208" s="55" t="s">
        <v>350</v>
      </c>
    </row>
    <row r="209" s="28" customFormat="1" ht="26.1" customHeight="1" spans="1:14">
      <c r="A209" s="50">
        <v>190</v>
      </c>
      <c r="B209" s="50" t="s">
        <v>17</v>
      </c>
      <c r="C209" s="51" t="s">
        <v>351</v>
      </c>
      <c r="D209" s="50">
        <v>20</v>
      </c>
      <c r="E209" s="50">
        <v>100</v>
      </c>
      <c r="F209" s="52" t="s">
        <v>352</v>
      </c>
      <c r="G209" s="52" t="s">
        <v>54</v>
      </c>
      <c r="H209" s="53">
        <v>3</v>
      </c>
      <c r="I209" s="53"/>
      <c r="J209" s="54">
        <v>1.7</v>
      </c>
      <c r="K209" s="46">
        <f t="shared" si="3"/>
        <v>5.1</v>
      </c>
      <c r="L209" s="52"/>
      <c r="M209" s="50"/>
      <c r="N209" s="55" t="s">
        <v>350</v>
      </c>
    </row>
    <row r="210" s="28" customFormat="1" ht="26.1" customHeight="1" spans="1:14">
      <c r="A210" s="50">
        <v>191</v>
      </c>
      <c r="B210" s="50" t="s">
        <v>17</v>
      </c>
      <c r="C210" s="51" t="s">
        <v>351</v>
      </c>
      <c r="D210" s="50">
        <v>20</v>
      </c>
      <c r="E210" s="50">
        <v>100</v>
      </c>
      <c r="F210" s="52" t="s">
        <v>353</v>
      </c>
      <c r="G210" s="52" t="s">
        <v>54</v>
      </c>
      <c r="H210" s="53">
        <v>26</v>
      </c>
      <c r="I210" s="53"/>
      <c r="J210" s="54">
        <v>1.5</v>
      </c>
      <c r="K210" s="46">
        <f t="shared" si="3"/>
        <v>39</v>
      </c>
      <c r="L210" s="52"/>
      <c r="M210" s="50"/>
      <c r="N210" s="55" t="s">
        <v>350</v>
      </c>
    </row>
    <row r="211" s="28" customFormat="1" ht="26.1" customHeight="1" spans="1:14">
      <c r="A211" s="50">
        <v>192</v>
      </c>
      <c r="B211" s="50" t="s">
        <v>17</v>
      </c>
      <c r="C211" s="51" t="s">
        <v>354</v>
      </c>
      <c r="D211" s="50">
        <v>10</v>
      </c>
      <c r="E211" s="50">
        <v>100</v>
      </c>
      <c r="F211" s="52" t="s">
        <v>355</v>
      </c>
      <c r="G211" s="52" t="s">
        <v>54</v>
      </c>
      <c r="H211" s="53">
        <v>5</v>
      </c>
      <c r="I211" s="53"/>
      <c r="J211" s="54">
        <v>0.6</v>
      </c>
      <c r="K211" s="46">
        <f t="shared" si="3"/>
        <v>3</v>
      </c>
      <c r="L211" s="52"/>
      <c r="M211" s="50"/>
      <c r="N211" s="55" t="s">
        <v>350</v>
      </c>
    </row>
    <row r="212" ht="21.95" customHeight="1" spans="1:14">
      <c r="A212" s="48" t="s">
        <v>356</v>
      </c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</row>
    <row r="213" s="28" customFormat="1" ht="26.1" customHeight="1" spans="1:14">
      <c r="A213" s="50">
        <v>193</v>
      </c>
      <c r="B213" s="50" t="s">
        <v>30</v>
      </c>
      <c r="C213" s="51" t="s">
        <v>357</v>
      </c>
      <c r="D213" s="50">
        <v>20</v>
      </c>
      <c r="E213" s="50">
        <v>400</v>
      </c>
      <c r="F213" s="52" t="s">
        <v>358</v>
      </c>
      <c r="G213" s="52" t="s">
        <v>54</v>
      </c>
      <c r="H213" s="53">
        <v>8</v>
      </c>
      <c r="I213" s="53"/>
      <c r="J213" s="54">
        <v>27</v>
      </c>
      <c r="K213" s="46">
        <f t="shared" si="3"/>
        <v>216</v>
      </c>
      <c r="L213" s="52"/>
      <c r="M213" s="50"/>
      <c r="N213" s="55"/>
    </row>
    <row r="214" s="28" customFormat="1" ht="26.1" customHeight="1" spans="1:14">
      <c r="A214" s="50">
        <v>194</v>
      </c>
      <c r="B214" s="50" t="s">
        <v>30</v>
      </c>
      <c r="C214" s="51" t="s">
        <v>357</v>
      </c>
      <c r="D214" s="50">
        <v>20</v>
      </c>
      <c r="E214" s="50">
        <v>400</v>
      </c>
      <c r="F214" s="52" t="s">
        <v>359</v>
      </c>
      <c r="G214" s="52" t="s">
        <v>123</v>
      </c>
      <c r="H214" s="53">
        <v>1</v>
      </c>
      <c r="I214" s="53"/>
      <c r="J214" s="54">
        <v>27</v>
      </c>
      <c r="K214" s="46">
        <f t="shared" si="3"/>
        <v>27</v>
      </c>
      <c r="L214" s="52"/>
      <c r="M214" s="50"/>
      <c r="N214" s="55"/>
    </row>
    <row r="215" s="28" customFormat="1" ht="26.1" customHeight="1" spans="1:14">
      <c r="A215" s="50">
        <v>195</v>
      </c>
      <c r="B215" s="50" t="s">
        <v>30</v>
      </c>
      <c r="C215" s="51" t="s">
        <v>360</v>
      </c>
      <c r="D215" s="50">
        <v>10</v>
      </c>
      <c r="E215" s="50">
        <v>200</v>
      </c>
      <c r="F215" s="52" t="s">
        <v>361</v>
      </c>
      <c r="G215" s="52" t="s">
        <v>123</v>
      </c>
      <c r="H215" s="53">
        <v>1</v>
      </c>
      <c r="I215" s="53"/>
      <c r="J215" s="54">
        <v>7.5</v>
      </c>
      <c r="K215" s="46">
        <f t="shared" si="3"/>
        <v>7.5</v>
      </c>
      <c r="L215" s="52"/>
      <c r="M215" s="50"/>
      <c r="N215" s="55"/>
    </row>
    <row r="216" s="28" customFormat="1" ht="26.1" customHeight="1" spans="1:14">
      <c r="A216" s="50">
        <v>196</v>
      </c>
      <c r="B216" s="50" t="s">
        <v>30</v>
      </c>
      <c r="C216" s="51" t="s">
        <v>360</v>
      </c>
      <c r="D216" s="50">
        <v>10</v>
      </c>
      <c r="E216" s="50">
        <v>200</v>
      </c>
      <c r="F216" s="52" t="s">
        <v>362</v>
      </c>
      <c r="G216" s="52" t="s">
        <v>123</v>
      </c>
      <c r="H216" s="53">
        <v>1</v>
      </c>
      <c r="I216" s="53"/>
      <c r="J216" s="54">
        <v>7.5</v>
      </c>
      <c r="K216" s="46">
        <f t="shared" si="3"/>
        <v>7.5</v>
      </c>
      <c r="L216" s="52"/>
      <c r="M216" s="50"/>
      <c r="N216" s="55"/>
    </row>
    <row r="217" ht="21.95" customHeight="1" spans="1:14">
      <c r="A217" s="48" t="s">
        <v>363</v>
      </c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9"/>
      <c r="N217" s="3"/>
    </row>
    <row r="218" s="28" customFormat="1" ht="26.1" customHeight="1" spans="1:14">
      <c r="A218" s="50">
        <v>197</v>
      </c>
      <c r="B218" s="50" t="s">
        <v>30</v>
      </c>
      <c r="C218" s="51" t="s">
        <v>364</v>
      </c>
      <c r="D218" s="50">
        <v>20</v>
      </c>
      <c r="E218" s="50" t="s">
        <v>19</v>
      </c>
      <c r="F218" s="52" t="s">
        <v>365</v>
      </c>
      <c r="G218" s="52" t="s">
        <v>123</v>
      </c>
      <c r="H218" s="53">
        <v>1</v>
      </c>
      <c r="I218" s="53"/>
      <c r="J218" s="54">
        <v>11.6</v>
      </c>
      <c r="K218" s="46">
        <f t="shared" si="3"/>
        <v>11.6</v>
      </c>
      <c r="L218" s="52"/>
      <c r="M218" s="50"/>
      <c r="N218" s="55"/>
    </row>
    <row r="219" s="28" customFormat="1" ht="26.1" customHeight="1" spans="1:14">
      <c r="A219" s="50">
        <v>198</v>
      </c>
      <c r="B219" s="50" t="s">
        <v>30</v>
      </c>
      <c r="C219" s="51" t="s">
        <v>366</v>
      </c>
      <c r="D219" s="50" t="s">
        <v>19</v>
      </c>
      <c r="E219" s="50" t="s">
        <v>19</v>
      </c>
      <c r="F219" s="52" t="s">
        <v>367</v>
      </c>
      <c r="G219" s="52" t="s">
        <v>123</v>
      </c>
      <c r="H219" s="53">
        <v>1</v>
      </c>
      <c r="I219" s="53"/>
      <c r="J219" s="54">
        <v>12.3</v>
      </c>
      <c r="K219" s="46">
        <f t="shared" si="3"/>
        <v>12.3</v>
      </c>
      <c r="L219" s="52"/>
      <c r="M219" s="50"/>
      <c r="N219" s="55"/>
    </row>
    <row r="220" s="28" customFormat="1" ht="26.1" customHeight="1" spans="1:14">
      <c r="A220" s="50">
        <v>199</v>
      </c>
      <c r="B220" s="50" t="s">
        <v>17</v>
      </c>
      <c r="C220" s="51" t="s">
        <v>368</v>
      </c>
      <c r="D220" s="50">
        <v>32</v>
      </c>
      <c r="E220" s="50">
        <v>125</v>
      </c>
      <c r="F220" s="52" t="s">
        <v>369</v>
      </c>
      <c r="G220" s="52" t="s">
        <v>123</v>
      </c>
      <c r="H220" s="53">
        <v>8</v>
      </c>
      <c r="I220" s="53"/>
      <c r="J220" s="54">
        <v>8.8</v>
      </c>
      <c r="K220" s="46">
        <f t="shared" si="3"/>
        <v>70.4</v>
      </c>
      <c r="L220" s="52"/>
      <c r="M220" s="50"/>
      <c r="N220" s="55"/>
    </row>
    <row r="221" s="28" customFormat="1" ht="26.1" customHeight="1" spans="1:14">
      <c r="A221" s="50">
        <v>200</v>
      </c>
      <c r="B221" s="50" t="s">
        <v>30</v>
      </c>
      <c r="C221" s="51" t="s">
        <v>370</v>
      </c>
      <c r="D221" s="50">
        <v>20</v>
      </c>
      <c r="E221" s="50">
        <v>125</v>
      </c>
      <c r="F221" s="52" t="s">
        <v>371</v>
      </c>
      <c r="G221" s="52" t="s">
        <v>54</v>
      </c>
      <c r="H221" s="53">
        <v>7</v>
      </c>
      <c r="I221" s="53"/>
      <c r="J221" s="54">
        <v>5.6</v>
      </c>
      <c r="K221" s="46">
        <f t="shared" si="3"/>
        <v>39.2</v>
      </c>
      <c r="L221" s="52"/>
      <c r="M221" s="50"/>
      <c r="N221" s="55"/>
    </row>
    <row r="222" s="28" customFormat="1" ht="26.1" customHeight="1" spans="1:14">
      <c r="A222" s="50">
        <v>201</v>
      </c>
      <c r="B222" s="50" t="s">
        <v>17</v>
      </c>
      <c r="C222" s="51" t="s">
        <v>372</v>
      </c>
      <c r="D222" s="50">
        <v>60</v>
      </c>
      <c r="E222" s="50">
        <v>32</v>
      </c>
      <c r="F222" s="52" t="s">
        <v>373</v>
      </c>
      <c r="G222" s="52" t="s">
        <v>123</v>
      </c>
      <c r="H222" s="53">
        <v>1</v>
      </c>
      <c r="I222" s="53"/>
      <c r="J222" s="54">
        <v>43</v>
      </c>
      <c r="K222" s="46">
        <f t="shared" si="3"/>
        <v>43</v>
      </c>
      <c r="L222" s="52"/>
      <c r="M222" s="50"/>
      <c r="N222" s="55"/>
    </row>
    <row r="223" s="28" customFormat="1" ht="26.1" customHeight="1" spans="1:14">
      <c r="A223" s="50">
        <v>202</v>
      </c>
      <c r="B223" s="50" t="s">
        <v>30</v>
      </c>
      <c r="C223" s="51" t="s">
        <v>374</v>
      </c>
      <c r="D223" s="50"/>
      <c r="E223" s="50"/>
      <c r="F223" s="87">
        <v>2619802305</v>
      </c>
      <c r="G223" s="52" t="s">
        <v>123</v>
      </c>
      <c r="H223" s="53">
        <v>1</v>
      </c>
      <c r="I223" s="53"/>
      <c r="J223" s="54">
        <v>6.8</v>
      </c>
      <c r="K223" s="46">
        <f t="shared" si="3"/>
        <v>6.8</v>
      </c>
      <c r="L223" s="52"/>
      <c r="M223" s="50"/>
      <c r="N223" s="55"/>
    </row>
    <row r="224" s="28" customFormat="1" ht="26.1" customHeight="1" spans="1:14">
      <c r="A224" s="50">
        <v>203</v>
      </c>
      <c r="B224" s="50" t="s">
        <v>30</v>
      </c>
      <c r="C224" s="51" t="s">
        <v>375</v>
      </c>
      <c r="D224" s="50"/>
      <c r="E224" s="50"/>
      <c r="F224" s="87" t="s">
        <v>376</v>
      </c>
      <c r="G224" s="52" t="s">
        <v>123</v>
      </c>
      <c r="H224" s="53">
        <v>3</v>
      </c>
      <c r="I224" s="53"/>
      <c r="J224" s="54">
        <v>2.4</v>
      </c>
      <c r="K224" s="46">
        <f t="shared" si="3"/>
        <v>7.2</v>
      </c>
      <c r="L224" s="52"/>
      <c r="M224" s="50"/>
      <c r="N224" s="55"/>
    </row>
    <row r="225" s="28" customFormat="1" ht="26.1" customHeight="1" spans="1:14">
      <c r="A225" s="50">
        <v>204</v>
      </c>
      <c r="B225" s="50" t="s">
        <v>30</v>
      </c>
      <c r="C225" s="51" t="s">
        <v>366</v>
      </c>
      <c r="D225" s="50"/>
      <c r="E225" s="50"/>
      <c r="F225" s="87" t="s">
        <v>377</v>
      </c>
      <c r="G225" s="52" t="s">
        <v>16</v>
      </c>
      <c r="H225" s="53">
        <v>2</v>
      </c>
      <c r="I225" s="53"/>
      <c r="J225" s="54">
        <v>13.9</v>
      </c>
      <c r="K225" s="46">
        <f t="shared" si="3"/>
        <v>27.8</v>
      </c>
      <c r="L225" s="52"/>
      <c r="M225" s="50"/>
      <c r="N225" s="55"/>
    </row>
    <row r="226" s="28" customFormat="1" ht="26.1" customHeight="1" spans="1:14">
      <c r="A226" s="50">
        <v>205</v>
      </c>
      <c r="B226" s="50" t="s">
        <v>30</v>
      </c>
      <c r="C226" s="51" t="s">
        <v>366</v>
      </c>
      <c r="D226" s="50"/>
      <c r="E226" s="50"/>
      <c r="F226" s="87" t="s">
        <v>378</v>
      </c>
      <c r="G226" s="52" t="s">
        <v>16</v>
      </c>
      <c r="H226" s="53">
        <v>2</v>
      </c>
      <c r="I226" s="53"/>
      <c r="J226" s="54">
        <v>13.9</v>
      </c>
      <c r="K226" s="46">
        <f t="shared" si="3"/>
        <v>27.8</v>
      </c>
      <c r="L226" s="52"/>
      <c r="M226" s="50"/>
      <c r="N226" s="55"/>
    </row>
    <row r="227" ht="21.95" customHeight="1" spans="1:14">
      <c r="A227" s="48" t="s">
        <v>379</v>
      </c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9"/>
      <c r="N227" s="3"/>
    </row>
    <row r="228" s="28" customFormat="1" ht="26.1" customHeight="1" spans="1:14">
      <c r="A228" s="50">
        <v>206</v>
      </c>
      <c r="B228" s="50"/>
      <c r="C228" s="51" t="s">
        <v>380</v>
      </c>
      <c r="D228" s="50">
        <v>10</v>
      </c>
      <c r="E228" s="50">
        <v>16</v>
      </c>
      <c r="F228" s="52" t="s">
        <v>381</v>
      </c>
      <c r="G228" s="52" t="s">
        <v>16</v>
      </c>
      <c r="H228" s="53">
        <v>6</v>
      </c>
      <c r="I228" s="53"/>
      <c r="J228" s="54">
        <v>1.5</v>
      </c>
      <c r="K228" s="46">
        <f t="shared" si="3"/>
        <v>9</v>
      </c>
      <c r="L228" s="52"/>
      <c r="M228" s="50"/>
      <c r="N228" s="55" t="s">
        <v>298</v>
      </c>
    </row>
    <row r="229" ht="21.95" customHeight="1" spans="1:14">
      <c r="A229" s="48" t="s">
        <v>382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9"/>
      <c r="N229" s="3"/>
    </row>
    <row r="230" s="28" customFormat="1" ht="26.1" customHeight="1" spans="1:14">
      <c r="A230" s="50">
        <v>207</v>
      </c>
      <c r="B230" s="50" t="s">
        <v>30</v>
      </c>
      <c r="C230" s="51" t="s">
        <v>383</v>
      </c>
      <c r="D230" s="50">
        <v>6.3</v>
      </c>
      <c r="E230" s="50" t="s">
        <v>19</v>
      </c>
      <c r="F230" s="52" t="s">
        <v>19</v>
      </c>
      <c r="G230" s="52" t="s">
        <v>16</v>
      </c>
      <c r="H230" s="53">
        <v>1</v>
      </c>
      <c r="I230" s="53"/>
      <c r="J230" s="54">
        <v>4</v>
      </c>
      <c r="K230" s="46">
        <f t="shared" si="3"/>
        <v>4</v>
      </c>
      <c r="L230" s="52"/>
      <c r="M230" s="50"/>
      <c r="N230" s="55"/>
    </row>
    <row r="231" ht="21.95" customHeight="1" spans="1:14">
      <c r="A231" s="48" t="s">
        <v>384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9"/>
      <c r="N231" s="3"/>
    </row>
    <row r="232" s="28" customFormat="1" ht="26.1" customHeight="1" spans="1:14">
      <c r="A232" s="50">
        <v>208</v>
      </c>
      <c r="B232" s="50"/>
      <c r="C232" s="51" t="s">
        <v>385</v>
      </c>
      <c r="D232" s="50">
        <v>200</v>
      </c>
      <c r="E232" s="50" t="s">
        <v>19</v>
      </c>
      <c r="F232" s="52" t="s">
        <v>386</v>
      </c>
      <c r="G232" s="52" t="s">
        <v>54</v>
      </c>
      <c r="H232" s="53">
        <v>2</v>
      </c>
      <c r="I232" s="53"/>
      <c r="J232" s="54">
        <v>4.7</v>
      </c>
      <c r="K232" s="46">
        <f t="shared" si="3"/>
        <v>9.4</v>
      </c>
      <c r="L232" s="52"/>
      <c r="M232" s="50"/>
      <c r="N232" s="55"/>
    </row>
    <row r="233" s="28" customFormat="1" ht="26.1" customHeight="1" spans="1:14">
      <c r="A233" s="50">
        <v>209</v>
      </c>
      <c r="B233" s="50"/>
      <c r="C233" s="51" t="s">
        <v>387</v>
      </c>
      <c r="D233" s="50">
        <v>175</v>
      </c>
      <c r="E233" s="50"/>
      <c r="F233" s="52" t="s">
        <v>388</v>
      </c>
      <c r="G233" s="52" t="s">
        <v>54</v>
      </c>
      <c r="H233" s="53">
        <v>10</v>
      </c>
      <c r="I233" s="53"/>
      <c r="J233" s="54">
        <v>3.8</v>
      </c>
      <c r="K233" s="46">
        <f t="shared" si="3"/>
        <v>38</v>
      </c>
      <c r="L233" s="52"/>
      <c r="M233" s="50"/>
      <c r="N233" s="55"/>
    </row>
    <row r="234" s="28" customFormat="1" ht="26.1" customHeight="1" spans="1:14">
      <c r="A234" s="50">
        <v>210</v>
      </c>
      <c r="B234" s="50"/>
      <c r="C234" s="51" t="s">
        <v>389</v>
      </c>
      <c r="D234" s="50">
        <v>150</v>
      </c>
      <c r="E234" s="50" t="s">
        <v>19</v>
      </c>
      <c r="F234" s="52" t="s">
        <v>390</v>
      </c>
      <c r="G234" s="52" t="s">
        <v>54</v>
      </c>
      <c r="H234" s="53">
        <v>3</v>
      </c>
      <c r="I234" s="53"/>
      <c r="J234" s="54">
        <v>2.9</v>
      </c>
      <c r="K234" s="46">
        <f t="shared" si="3"/>
        <v>8.7</v>
      </c>
      <c r="L234" s="52"/>
      <c r="M234" s="50"/>
      <c r="N234" s="55"/>
    </row>
    <row r="235" s="28" customFormat="1" ht="26.1" customHeight="1" spans="1:14">
      <c r="A235" s="50">
        <v>211</v>
      </c>
      <c r="B235" s="50"/>
      <c r="C235" s="51" t="s">
        <v>391</v>
      </c>
      <c r="D235" s="50">
        <v>150</v>
      </c>
      <c r="E235" s="50" t="s">
        <v>19</v>
      </c>
      <c r="F235" s="52" t="s">
        <v>392</v>
      </c>
      <c r="G235" s="52" t="s">
        <v>54</v>
      </c>
      <c r="H235" s="53">
        <v>2</v>
      </c>
      <c r="I235" s="53"/>
      <c r="J235" s="54">
        <v>2.7</v>
      </c>
      <c r="K235" s="46">
        <f t="shared" si="3"/>
        <v>5.4</v>
      </c>
      <c r="L235" s="52"/>
      <c r="M235" s="50"/>
      <c r="N235" s="55"/>
    </row>
    <row r="236" s="28" customFormat="1" ht="26.1" customHeight="1" spans="1:14">
      <c r="A236" s="50">
        <v>212</v>
      </c>
      <c r="B236" s="50"/>
      <c r="C236" s="51" t="s">
        <v>393</v>
      </c>
      <c r="D236" s="50">
        <v>125</v>
      </c>
      <c r="E236" s="50" t="s">
        <v>19</v>
      </c>
      <c r="F236" s="52" t="s">
        <v>394</v>
      </c>
      <c r="G236" s="52" t="s">
        <v>54</v>
      </c>
      <c r="H236" s="53">
        <v>6</v>
      </c>
      <c r="I236" s="53"/>
      <c r="J236" s="54">
        <v>18.2</v>
      </c>
      <c r="K236" s="46">
        <f t="shared" si="3"/>
        <v>109.2</v>
      </c>
      <c r="L236" s="52"/>
      <c r="M236" s="50"/>
      <c r="N236" s="55"/>
    </row>
    <row r="237" s="28" customFormat="1" ht="26.1" customHeight="1" spans="1:14">
      <c r="A237" s="50">
        <v>213</v>
      </c>
      <c r="B237" s="50"/>
      <c r="C237" s="51" t="s">
        <v>395</v>
      </c>
      <c r="D237" s="50">
        <v>80</v>
      </c>
      <c r="E237" s="50" t="s">
        <v>19</v>
      </c>
      <c r="F237" s="52" t="s">
        <v>396</v>
      </c>
      <c r="G237" s="52" t="s">
        <v>54</v>
      </c>
      <c r="H237" s="53">
        <v>19</v>
      </c>
      <c r="I237" s="53"/>
      <c r="J237" s="54">
        <v>11.2</v>
      </c>
      <c r="K237" s="46">
        <f t="shared" si="3"/>
        <v>212.8</v>
      </c>
      <c r="L237" s="52"/>
      <c r="M237" s="50"/>
      <c r="N237" s="55"/>
    </row>
    <row r="238" s="28" customFormat="1" ht="26.1" customHeight="1" spans="1:14">
      <c r="A238" s="50">
        <v>214</v>
      </c>
      <c r="B238" s="50"/>
      <c r="C238" s="51" t="s">
        <v>397</v>
      </c>
      <c r="D238" s="50">
        <v>32</v>
      </c>
      <c r="E238" s="50" t="s">
        <v>19</v>
      </c>
      <c r="F238" s="52" t="s">
        <v>398</v>
      </c>
      <c r="G238" s="52" t="s">
        <v>54</v>
      </c>
      <c r="H238" s="53">
        <v>3</v>
      </c>
      <c r="I238" s="53"/>
      <c r="J238" s="54">
        <v>1.5</v>
      </c>
      <c r="K238" s="46">
        <f t="shared" si="3"/>
        <v>4.5</v>
      </c>
      <c r="L238" s="52"/>
      <c r="M238" s="50"/>
      <c r="N238" s="55"/>
    </row>
    <row r="239" s="28" customFormat="1" ht="26.1" customHeight="1" spans="1:14">
      <c r="A239" s="50">
        <v>215</v>
      </c>
      <c r="B239" s="50"/>
      <c r="C239" s="51" t="s">
        <v>399</v>
      </c>
      <c r="D239" s="50">
        <v>25</v>
      </c>
      <c r="E239" s="50" t="s">
        <v>19</v>
      </c>
      <c r="F239" s="52" t="s">
        <v>400</v>
      </c>
      <c r="G239" s="52" t="s">
        <v>54</v>
      </c>
      <c r="H239" s="53">
        <v>8</v>
      </c>
      <c r="I239" s="53"/>
      <c r="J239" s="54">
        <v>1.6</v>
      </c>
      <c r="K239" s="46">
        <f t="shared" si="3"/>
        <v>12.8</v>
      </c>
      <c r="L239" s="52"/>
      <c r="M239" s="50"/>
      <c r="N239" s="55"/>
    </row>
    <row r="240" s="33" customFormat="1" ht="26.1" customHeight="1" spans="1:14">
      <c r="A240" s="88" t="s">
        <v>401</v>
      </c>
      <c r="B240" s="89"/>
      <c r="C240" s="89"/>
      <c r="D240" s="89"/>
      <c r="E240" s="90"/>
      <c r="F240" s="91"/>
      <c r="G240" s="91"/>
      <c r="H240" s="92"/>
      <c r="I240" s="92"/>
      <c r="J240" s="93"/>
      <c r="K240" s="93"/>
      <c r="L240" s="91"/>
      <c r="M240" s="94"/>
      <c r="N240" s="95"/>
    </row>
    <row r="241" s="34" customFormat="1" ht="26.1" customHeight="1" spans="1:14">
      <c r="A241" s="50">
        <v>216</v>
      </c>
      <c r="B241" s="50"/>
      <c r="C241" s="51" t="s">
        <v>402</v>
      </c>
      <c r="D241" s="50">
        <v>50</v>
      </c>
      <c r="E241" s="50"/>
      <c r="F241" s="52" t="s">
        <v>403</v>
      </c>
      <c r="G241" s="52" t="s">
        <v>123</v>
      </c>
      <c r="H241" s="53">
        <v>6</v>
      </c>
      <c r="I241" s="53"/>
      <c r="J241" s="54">
        <v>10.8</v>
      </c>
      <c r="K241" s="46">
        <f t="shared" si="3"/>
        <v>64.8</v>
      </c>
      <c r="L241" s="52"/>
      <c r="M241" s="50"/>
      <c r="N241" s="96"/>
    </row>
    <row r="242" s="34" customFormat="1" ht="26.1" customHeight="1" spans="1:14">
      <c r="A242" s="50">
        <v>217</v>
      </c>
      <c r="B242" s="50"/>
      <c r="C242" s="51" t="s">
        <v>404</v>
      </c>
      <c r="D242" s="50">
        <v>65</v>
      </c>
      <c r="E242" s="50"/>
      <c r="F242" s="52" t="s">
        <v>405</v>
      </c>
      <c r="G242" s="52" t="s">
        <v>123</v>
      </c>
      <c r="H242" s="53">
        <v>1</v>
      </c>
      <c r="I242" s="53"/>
      <c r="J242" s="54">
        <v>13.5</v>
      </c>
      <c r="K242" s="46">
        <f t="shared" si="3"/>
        <v>13.5</v>
      </c>
      <c r="L242" s="52"/>
      <c r="M242" s="50"/>
      <c r="N242" s="96"/>
    </row>
    <row r="243" s="34" customFormat="1" ht="26.1" customHeight="1" spans="1:14">
      <c r="A243" s="50">
        <v>218</v>
      </c>
      <c r="B243" s="50"/>
      <c r="C243" s="51" t="s">
        <v>406</v>
      </c>
      <c r="D243" s="50"/>
      <c r="E243" s="50"/>
      <c r="F243" s="52" t="s">
        <v>407</v>
      </c>
      <c r="G243" s="52" t="s">
        <v>123</v>
      </c>
      <c r="H243" s="53">
        <v>2</v>
      </c>
      <c r="I243" s="53"/>
      <c r="J243" s="54">
        <v>3.4</v>
      </c>
      <c r="K243" s="46">
        <f t="shared" si="3"/>
        <v>6.8</v>
      </c>
      <c r="L243" s="52"/>
      <c r="M243" s="50"/>
      <c r="N243" s="96"/>
    </row>
    <row r="244" spans="1:14">
      <c r="A244" s="3"/>
      <c r="B244" s="3"/>
      <c r="C244" s="97" t="s">
        <v>408</v>
      </c>
      <c r="D244" s="3"/>
      <c r="E244" s="3"/>
      <c r="F244" s="3"/>
      <c r="G244" s="3"/>
      <c r="H244" s="98">
        <f>SUM(H2:H243)</f>
        <v>1775</v>
      </c>
      <c r="I244" s="98"/>
      <c r="J244" s="3"/>
      <c r="K244" s="99">
        <f>SUM(K2:K243)</f>
        <v>19209.42</v>
      </c>
      <c r="L244" s="100"/>
      <c r="M244" s="13"/>
      <c r="N244" s="3"/>
    </row>
    <row r="245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01"/>
      <c r="L245" s="3"/>
      <c r="M245" s="13"/>
      <c r="N245" s="3"/>
    </row>
    <row r="246" spans="1:14">
      <c r="A246" s="102"/>
      <c r="B246" s="102"/>
    </row>
    <row r="247" ht="30" customHeight="1" spans="1:14">
      <c r="A247" s="103"/>
      <c r="B247" s="103"/>
    </row>
    <row r="248" ht="30" customHeight="1" spans="1:14">
      <c r="A248" s="103"/>
      <c r="B248" s="103"/>
    </row>
    <row r="249" ht="30" customHeight="1" spans="1:14">
      <c r="A249" s="103"/>
      <c r="B249" s="103"/>
    </row>
    <row r="250" ht="30" customHeight="1" spans="1:14">
      <c r="A250" s="103"/>
      <c r="B250" s="103"/>
    </row>
    <row r="251" ht="30" customHeight="1" spans="1:14">
      <c r="A251" s="103"/>
      <c r="B251" s="103"/>
    </row>
  </sheetData>
  <autoFilter xmlns:etc="http://www.wps.cn/officeDocument/2017/etCustomData" ref="A1:M244" etc:filterBottomFollowUsedRange="0">
    <extLst/>
  </autoFilter>
  <mergeCells count="1">
    <mergeCell ref="A240:E240"/>
  </mergeCells>
  <pageMargins left="0.75" right="0.75" top="1" bottom="1" header="0.5" footer="0.5"/>
  <pageSetup paperSize="1" scale="1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"/>
  <sheetViews>
    <sheetView workbookViewId="0">
      <selection activeCell="M19" sqref="M19"/>
    </sheetView>
  </sheetViews>
  <sheetFormatPr defaultColWidth="9.14285714285714" defaultRowHeight="15" outlineLevelRow="6"/>
  <cols>
    <col min="2" max="2" width="41.1428571428571" style="22" customWidth="1"/>
    <col min="3" max="3" width="7.28571428571429" style="22" customWidth="1"/>
    <col min="4" max="4" width="6.85714285714286" style="22" customWidth="1"/>
    <col min="5" max="5" width="18" style="22" customWidth="1"/>
    <col min="6" max="10" width="9.14285714285714" style="22"/>
    <col min="11" max="11" width="13.7142857142857" style="22" customWidth="1"/>
    <col min="12" max="16" width="9.14285714285714" style="22"/>
  </cols>
  <sheetData>
    <row r="1" ht="46" customHeight="1" spans="1:16">
      <c r="A1" s="23" t="s">
        <v>409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="16" customFormat="1" ht="45" spans="1:16">
      <c r="A2" s="18"/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8</v>
      </c>
      <c r="I2" s="24" t="s">
        <v>9</v>
      </c>
      <c r="J2" s="24" t="s">
        <v>10</v>
      </c>
      <c r="K2" s="24"/>
      <c r="L2" s="25"/>
      <c r="M2" s="25"/>
      <c r="N2" s="25"/>
      <c r="O2" s="25"/>
      <c r="P2" s="25"/>
    </row>
    <row r="3" spans="1:16">
      <c r="A3" s="3">
        <v>1</v>
      </c>
      <c r="B3" s="26" t="s">
        <v>245</v>
      </c>
      <c r="C3" s="26">
        <v>32</v>
      </c>
      <c r="D3" s="26" t="s">
        <v>246</v>
      </c>
      <c r="E3" s="26" t="s">
        <v>247</v>
      </c>
      <c r="F3" s="26" t="s">
        <v>54</v>
      </c>
      <c r="G3" s="26">
        <v>31</v>
      </c>
      <c r="H3" s="26">
        <v>3.3</v>
      </c>
      <c r="I3" s="26">
        <v>102.3</v>
      </c>
      <c r="J3" s="26">
        <v>9</v>
      </c>
      <c r="K3" s="26" t="s">
        <v>248</v>
      </c>
    </row>
    <row r="4" spans="1:16">
      <c r="A4" s="3">
        <v>2</v>
      </c>
      <c r="B4" s="26" t="s">
        <v>249</v>
      </c>
      <c r="C4" s="26">
        <v>32</v>
      </c>
      <c r="D4" s="26">
        <v>100</v>
      </c>
      <c r="E4" s="26" t="s">
        <v>250</v>
      </c>
      <c r="F4" s="26" t="s">
        <v>54</v>
      </c>
      <c r="G4" s="26">
        <v>14</v>
      </c>
      <c r="H4" s="26">
        <v>3.3</v>
      </c>
      <c r="I4" s="26">
        <v>46.2</v>
      </c>
      <c r="J4" s="26">
        <v>3</v>
      </c>
      <c r="K4" s="26" t="s">
        <v>248</v>
      </c>
    </row>
    <row r="5" spans="1:16">
      <c r="A5" s="3">
        <v>3</v>
      </c>
      <c r="B5" s="26" t="s">
        <v>249</v>
      </c>
      <c r="C5" s="26">
        <v>32</v>
      </c>
      <c r="D5" s="26">
        <v>100</v>
      </c>
      <c r="E5" s="26" t="s">
        <v>251</v>
      </c>
      <c r="F5" s="26" t="s">
        <v>54</v>
      </c>
      <c r="G5" s="26">
        <v>1</v>
      </c>
      <c r="H5" s="26">
        <v>3.3</v>
      </c>
      <c r="I5" s="26">
        <v>3.3</v>
      </c>
      <c r="J5" s="26">
        <v>0</v>
      </c>
      <c r="K5" s="26" t="s">
        <v>248</v>
      </c>
    </row>
    <row r="6" spans="1:16">
      <c r="A6" s="3">
        <v>4</v>
      </c>
      <c r="B6" s="26" t="s">
        <v>249</v>
      </c>
      <c r="C6" s="26">
        <v>32</v>
      </c>
      <c r="D6" s="26">
        <v>100</v>
      </c>
      <c r="E6" s="26" t="s">
        <v>252</v>
      </c>
      <c r="F6" s="26" t="s">
        <v>54</v>
      </c>
      <c r="G6" s="26">
        <v>1</v>
      </c>
      <c r="H6" s="26">
        <v>3.3</v>
      </c>
      <c r="I6" s="26">
        <v>3.3</v>
      </c>
      <c r="J6" s="26">
        <v>0</v>
      </c>
      <c r="K6" s="26" t="s">
        <v>248</v>
      </c>
    </row>
    <row r="7" spans="1:16">
      <c r="F7" s="22" t="s">
        <v>410</v>
      </c>
      <c r="G7" s="22">
        <f>SUM(G3:G6)</f>
        <v>47</v>
      </c>
    </row>
  </sheetData>
  <mergeCells count="1">
    <mergeCell ref="A1:K1"/>
  </mergeCells>
  <pageMargins left="0.75" right="0.75" top="1" bottom="1" header="0.5" footer="0.5"/>
  <pageSetup paperSize="9" scale="9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13" sqref="D13"/>
    </sheetView>
  </sheetViews>
  <sheetFormatPr defaultColWidth="9.14285714285714" defaultRowHeight="15" outlineLevelRow="6"/>
  <cols>
    <col min="2" max="2" width="33.7142857142857" customWidth="1"/>
    <col min="3" max="3" width="5.85714285714286" customWidth="1"/>
    <col min="4" max="4" width="6.71428571428571" customWidth="1"/>
    <col min="5" max="5" width="21.2857142857143" customWidth="1"/>
    <col min="10" max="10" width="13" customWidth="1"/>
  </cols>
  <sheetData>
    <row r="1" ht="50" customHeight="1" spans="1:10">
      <c r="B1" s="21" t="s">
        <v>411</v>
      </c>
      <c r="C1" s="12"/>
      <c r="D1" s="12"/>
      <c r="E1" s="12"/>
      <c r="F1" s="12"/>
      <c r="G1" s="12"/>
      <c r="H1" s="12"/>
      <c r="I1" s="12"/>
      <c r="J1" s="12"/>
    </row>
    <row r="2" ht="50" customHeight="1" spans="1:10">
      <c r="A2" s="3"/>
      <c r="B2" s="3" t="s">
        <v>1</v>
      </c>
      <c r="C2" s="3"/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8</v>
      </c>
      <c r="J2" s="3" t="s">
        <v>9</v>
      </c>
    </row>
    <row r="3" spans="1:10">
      <c r="A3" s="3">
        <v>1</v>
      </c>
      <c r="B3" s="3" t="s">
        <v>348</v>
      </c>
      <c r="C3" s="3">
        <v>25</v>
      </c>
      <c r="D3" s="3">
        <v>100</v>
      </c>
      <c r="E3" s="3" t="s">
        <v>349</v>
      </c>
      <c r="F3" s="3" t="s">
        <v>54</v>
      </c>
      <c r="G3" s="3">
        <v>2</v>
      </c>
      <c r="H3" s="3"/>
      <c r="I3" s="3">
        <v>2.5</v>
      </c>
      <c r="J3" s="3">
        <v>5</v>
      </c>
    </row>
    <row r="4" spans="1:10">
      <c r="A4" s="3">
        <v>2</v>
      </c>
      <c r="B4" s="3" t="s">
        <v>351</v>
      </c>
      <c r="C4" s="3">
        <v>20</v>
      </c>
      <c r="D4" s="3">
        <v>100</v>
      </c>
      <c r="E4" s="3" t="s">
        <v>352</v>
      </c>
      <c r="F4" s="3" t="s">
        <v>54</v>
      </c>
      <c r="G4" s="3">
        <v>3</v>
      </c>
      <c r="H4" s="3"/>
      <c r="I4" s="3">
        <v>1.7</v>
      </c>
      <c r="J4" s="3">
        <v>5.1</v>
      </c>
    </row>
    <row r="5" spans="1:10">
      <c r="A5" s="3">
        <v>3</v>
      </c>
      <c r="B5" s="3" t="s">
        <v>351</v>
      </c>
      <c r="C5" s="3">
        <v>20</v>
      </c>
      <c r="D5" s="3">
        <v>100</v>
      </c>
      <c r="E5" s="3" t="s">
        <v>353</v>
      </c>
      <c r="F5" s="3" t="s">
        <v>54</v>
      </c>
      <c r="G5" s="3">
        <v>26</v>
      </c>
      <c r="H5" s="3"/>
      <c r="I5" s="3">
        <v>1.5</v>
      </c>
      <c r="J5" s="3">
        <v>39</v>
      </c>
    </row>
    <row r="6" spans="1:10">
      <c r="A6" s="3">
        <v>4</v>
      </c>
      <c r="B6" s="3" t="s">
        <v>354</v>
      </c>
      <c r="C6" s="3">
        <v>10</v>
      </c>
      <c r="D6" s="3">
        <v>100</v>
      </c>
      <c r="E6" s="3" t="s">
        <v>355</v>
      </c>
      <c r="F6" s="3" t="s">
        <v>54</v>
      </c>
      <c r="G6" s="3">
        <v>5</v>
      </c>
      <c r="H6" s="3"/>
      <c r="I6" s="3">
        <v>0.6</v>
      </c>
      <c r="J6" s="3">
        <v>3</v>
      </c>
    </row>
    <row r="7" spans="1:10">
      <c r="A7" s="3"/>
      <c r="B7" s="3"/>
      <c r="C7" s="3"/>
      <c r="D7" s="3"/>
      <c r="E7" s="3"/>
      <c r="F7" s="3" t="s">
        <v>410</v>
      </c>
      <c r="G7" s="3">
        <f>SUM(G3:G6)</f>
        <v>36</v>
      </c>
      <c r="H7" s="3"/>
      <c r="I7" s="3"/>
      <c r="J7" s="3"/>
    </row>
  </sheetData>
  <mergeCells count="1">
    <mergeCell ref="B1:J1"/>
  </mergeCell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2" sqref="A2:H2"/>
    </sheetView>
  </sheetViews>
  <sheetFormatPr defaultColWidth="9.14285714285714" defaultRowHeight="15" outlineLevelRow="7" outlineLevelCol="7"/>
  <cols>
    <col min="1" max="1" width="40.1428571428571" customWidth="1"/>
    <col min="2" max="2" width="5.57142857142857" customWidth="1"/>
    <col min="4" max="4" width="18.4285714285714" customWidth="1"/>
    <col min="5" max="5" width="11.4285714285714" customWidth="1"/>
    <col min="6" max="6" width="11.5714285714286" customWidth="1"/>
    <col min="7" max="7" width="11.8571428571429" customWidth="1"/>
    <col min="8" max="8" width="13.2857142857143" customWidth="1"/>
  </cols>
  <sheetData>
    <row r="1" ht="23.25" spans="1:8">
      <c r="A1" s="19" t="s">
        <v>412</v>
      </c>
      <c r="B1" s="20"/>
      <c r="C1" s="20"/>
      <c r="D1" s="20"/>
      <c r="E1" s="20"/>
      <c r="F1" s="20"/>
      <c r="G1" s="20"/>
      <c r="H1" s="20"/>
    </row>
    <row r="2" spans="1:8">
      <c r="A2" s="3" t="s">
        <v>1</v>
      </c>
      <c r="B2" s="3" t="s">
        <v>413</v>
      </c>
      <c r="C2" s="3" t="s">
        <v>414</v>
      </c>
      <c r="D2" s="3" t="s">
        <v>4</v>
      </c>
      <c r="E2" s="3" t="s">
        <v>5</v>
      </c>
      <c r="F2" s="3" t="s">
        <v>6</v>
      </c>
      <c r="G2" s="3" t="s">
        <v>8</v>
      </c>
      <c r="H2" s="3" t="s">
        <v>9</v>
      </c>
    </row>
    <row r="3" spans="1:8">
      <c r="A3" s="3" t="s">
        <v>332</v>
      </c>
      <c r="B3" s="3">
        <v>32</v>
      </c>
      <c r="C3" s="3">
        <v>10</v>
      </c>
      <c r="D3" s="3" t="s">
        <v>333</v>
      </c>
      <c r="E3" s="3" t="s">
        <v>54</v>
      </c>
      <c r="F3" s="3">
        <v>2</v>
      </c>
      <c r="G3" s="3">
        <v>4.1</v>
      </c>
      <c r="H3" s="3">
        <v>8.2</v>
      </c>
    </row>
    <row r="4" spans="1:8">
      <c r="A4" s="3" t="s">
        <v>332</v>
      </c>
      <c r="B4" s="3">
        <v>32</v>
      </c>
      <c r="C4" s="3">
        <v>10</v>
      </c>
      <c r="D4" s="3" t="s">
        <v>333</v>
      </c>
      <c r="E4" s="3" t="s">
        <v>16</v>
      </c>
      <c r="F4" s="3">
        <v>1</v>
      </c>
      <c r="G4" s="3">
        <v>4.1</v>
      </c>
      <c r="H4" s="3">
        <v>4.1</v>
      </c>
    </row>
    <row r="5" spans="1:8">
      <c r="A5" s="3" t="s">
        <v>335</v>
      </c>
      <c r="B5" s="3">
        <v>20</v>
      </c>
      <c r="C5" s="3">
        <v>16</v>
      </c>
      <c r="D5" s="3" t="s">
        <v>336</v>
      </c>
      <c r="E5" s="3" t="s">
        <v>16</v>
      </c>
      <c r="F5" s="3">
        <v>6</v>
      </c>
      <c r="G5" s="3">
        <v>1.2</v>
      </c>
      <c r="H5" s="3">
        <v>7.2</v>
      </c>
    </row>
    <row r="6" spans="1:8">
      <c r="A6" s="3" t="s">
        <v>337</v>
      </c>
      <c r="B6" s="3">
        <v>20</v>
      </c>
      <c r="C6" s="3">
        <v>16</v>
      </c>
      <c r="D6" s="3" t="s">
        <v>338</v>
      </c>
      <c r="E6" s="3" t="s">
        <v>74</v>
      </c>
      <c r="F6" s="3">
        <v>7</v>
      </c>
      <c r="G6" s="3">
        <v>2.8</v>
      </c>
      <c r="H6" s="3">
        <v>19.6</v>
      </c>
    </row>
    <row r="7" spans="1:8">
      <c r="A7" s="3"/>
      <c r="B7" s="3"/>
      <c r="C7" s="3"/>
      <c r="D7" s="3"/>
      <c r="E7" s="3" t="s">
        <v>415</v>
      </c>
      <c r="F7" s="3">
        <f>SUM(F3:F6)</f>
        <v>16</v>
      </c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$A1:$XFD2"/>
    </sheetView>
  </sheetViews>
  <sheetFormatPr defaultColWidth="9.14285714285714" defaultRowHeight="15" outlineLevelRow="2" outlineLevelCol="6"/>
  <cols>
    <col min="1" max="1" width="6" customWidth="1"/>
    <col min="2" max="2" width="55.1428571428571" customWidth="1"/>
    <col min="3" max="3" width="16.2857142857143" customWidth="1"/>
    <col min="7" max="7" width="15.8571428571429" customWidth="1"/>
  </cols>
  <sheetData>
    <row r="1" ht="21" spans="1:7">
      <c r="A1" s="12" t="s">
        <v>416</v>
      </c>
      <c r="B1" s="12"/>
      <c r="C1" s="12"/>
      <c r="D1" s="12"/>
      <c r="E1" s="12"/>
      <c r="F1" s="12"/>
      <c r="G1" s="12"/>
    </row>
    <row r="2" spans="1:7">
      <c r="A2" s="3"/>
      <c r="B2" s="3" t="s">
        <v>417</v>
      </c>
      <c r="C2" s="3" t="s">
        <v>418</v>
      </c>
      <c r="D2" s="3" t="s">
        <v>419</v>
      </c>
      <c r="E2" s="3" t="s">
        <v>420</v>
      </c>
      <c r="F2" s="3" t="s">
        <v>421</v>
      </c>
      <c r="G2" s="3" t="s">
        <v>422</v>
      </c>
    </row>
    <row r="3" spans="1:7">
      <c r="A3" s="3">
        <v>1</v>
      </c>
      <c r="B3" s="3" t="s">
        <v>315</v>
      </c>
      <c r="C3" s="3" t="s">
        <v>316</v>
      </c>
      <c r="D3" s="3" t="s">
        <v>123</v>
      </c>
      <c r="E3" s="3">
        <v>3</v>
      </c>
      <c r="F3" s="3">
        <v>5.7</v>
      </c>
      <c r="G3" s="3">
        <v>17.1</v>
      </c>
    </row>
  </sheetData>
  <mergeCells count="1">
    <mergeCell ref="A1:G1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I16"/>
  <sheetViews>
    <sheetView workbookViewId="0">
      <selection activeCell="C23" sqref="C23"/>
    </sheetView>
  </sheetViews>
  <sheetFormatPr defaultColWidth="9.14285714285714" defaultRowHeight="15"/>
  <cols>
    <col min="2" max="2" width="49.4285714285714" style="16" customWidth="1"/>
    <col min="5" max="5" width="19.5714285714286" customWidth="1"/>
    <col min="6" max="6" width="12.8571428571429" customWidth="1"/>
  </cols>
  <sheetData>
    <row r="2" ht="23.25" spans="1:9">
      <c r="A2" s="3"/>
      <c r="B2" s="17" t="s">
        <v>423</v>
      </c>
      <c r="C2" s="4"/>
      <c r="D2" s="4"/>
      <c r="E2" s="4"/>
      <c r="F2" s="4"/>
      <c r="G2" s="4"/>
      <c r="H2" s="4"/>
      <c r="I2" s="4"/>
    </row>
    <row r="3" s="16" customFormat="1" ht="45" spans="1:9">
      <c r="A3" s="18"/>
      <c r="B3" s="18" t="s">
        <v>1</v>
      </c>
      <c r="C3" s="18" t="s">
        <v>413</v>
      </c>
      <c r="D3" s="18" t="s">
        <v>414</v>
      </c>
      <c r="E3" s="18" t="s">
        <v>4</v>
      </c>
      <c r="F3" s="18" t="s">
        <v>5</v>
      </c>
      <c r="G3" s="18" t="s">
        <v>6</v>
      </c>
      <c r="H3" s="18" t="s">
        <v>8</v>
      </c>
      <c r="I3" s="18" t="s">
        <v>9</v>
      </c>
    </row>
    <row r="4" ht="14" customHeight="1" spans="1:9">
      <c r="A4" s="3">
        <v>1</v>
      </c>
      <c r="B4" s="18" t="s">
        <v>268</v>
      </c>
      <c r="C4" s="3">
        <v>20</v>
      </c>
      <c r="D4" s="3">
        <v>160</v>
      </c>
      <c r="E4" s="3" t="s">
        <v>269</v>
      </c>
      <c r="F4" s="3" t="s">
        <v>123</v>
      </c>
      <c r="G4" s="3">
        <v>1</v>
      </c>
      <c r="H4" s="3">
        <v>1.8</v>
      </c>
      <c r="I4" s="3">
        <v>1.8</v>
      </c>
    </row>
    <row r="5" ht="30" spans="1:9">
      <c r="A5" s="3">
        <v>2</v>
      </c>
      <c r="B5" s="18" t="s">
        <v>265</v>
      </c>
      <c r="C5" s="3">
        <v>20</v>
      </c>
      <c r="D5" s="3">
        <v>6</v>
      </c>
      <c r="E5" s="3" t="s">
        <v>266</v>
      </c>
      <c r="F5" s="3" t="s">
        <v>123</v>
      </c>
      <c r="G5" s="3">
        <v>2</v>
      </c>
      <c r="H5" s="3">
        <v>1.8</v>
      </c>
      <c r="I5" s="3">
        <v>3.6</v>
      </c>
    </row>
    <row r="6" spans="1:9">
      <c r="A6" s="3">
        <v>3</v>
      </c>
      <c r="B6" s="18" t="s">
        <v>270</v>
      </c>
      <c r="C6" s="3">
        <v>15</v>
      </c>
      <c r="D6" s="3">
        <v>160</v>
      </c>
      <c r="E6" s="3" t="s">
        <v>271</v>
      </c>
      <c r="F6" s="3" t="s">
        <v>16</v>
      </c>
      <c r="G6" s="3">
        <v>1</v>
      </c>
      <c r="H6" s="3">
        <v>0.9</v>
      </c>
      <c r="I6" s="3">
        <v>1</v>
      </c>
    </row>
    <row r="7" spans="1:9">
      <c r="A7" s="3">
        <v>4</v>
      </c>
      <c r="B7" s="18" t="s">
        <v>288</v>
      </c>
      <c r="C7" s="3">
        <v>10</v>
      </c>
      <c r="D7" s="3">
        <v>160</v>
      </c>
      <c r="E7" s="3" t="s">
        <v>289</v>
      </c>
      <c r="F7" s="3" t="s">
        <v>123</v>
      </c>
      <c r="G7" s="3">
        <v>6</v>
      </c>
      <c r="H7" s="3">
        <v>0.7</v>
      </c>
      <c r="I7" s="3">
        <v>4.2</v>
      </c>
    </row>
    <row r="8" spans="1:9">
      <c r="A8" s="3">
        <v>5</v>
      </c>
      <c r="B8" s="18" t="s">
        <v>320</v>
      </c>
      <c r="C8" s="3">
        <v>10</v>
      </c>
      <c r="D8" s="3">
        <v>400</v>
      </c>
      <c r="E8" s="3" t="s">
        <v>321</v>
      </c>
      <c r="F8" s="3" t="s">
        <v>123</v>
      </c>
      <c r="G8" s="3">
        <v>1</v>
      </c>
      <c r="H8" s="3">
        <v>3.8</v>
      </c>
      <c r="I8" s="3">
        <v>3.8</v>
      </c>
    </row>
    <row r="9" ht="30" spans="1:9">
      <c r="A9" s="3">
        <v>6</v>
      </c>
      <c r="B9" s="18" t="s">
        <v>290</v>
      </c>
      <c r="C9" s="3">
        <v>10</v>
      </c>
      <c r="D9" s="3" t="s">
        <v>291</v>
      </c>
      <c r="E9" s="3" t="s">
        <v>292</v>
      </c>
      <c r="F9" s="3" t="s">
        <v>54</v>
      </c>
      <c r="G9" s="3">
        <v>1</v>
      </c>
      <c r="H9" s="3">
        <v>1.52</v>
      </c>
      <c r="I9" s="3">
        <v>1.52</v>
      </c>
    </row>
    <row r="10" ht="33" customHeight="1" spans="1:9">
      <c r="A10" s="3">
        <v>7</v>
      </c>
      <c r="B10" s="18" t="s">
        <v>313</v>
      </c>
      <c r="C10" s="3">
        <v>15</v>
      </c>
      <c r="D10" s="3">
        <v>3</v>
      </c>
      <c r="E10" s="3" t="s">
        <v>314</v>
      </c>
      <c r="F10" s="3" t="s">
        <v>54</v>
      </c>
      <c r="G10" s="3">
        <v>1</v>
      </c>
      <c r="H10" s="3">
        <v>0.8</v>
      </c>
      <c r="I10" s="3">
        <v>0.8</v>
      </c>
    </row>
    <row r="11" ht="30" spans="1:9">
      <c r="A11" s="3">
        <v>8</v>
      </c>
      <c r="B11" s="18" t="s">
        <v>227</v>
      </c>
      <c r="C11" s="3">
        <v>6</v>
      </c>
      <c r="D11" s="3" t="s">
        <v>228</v>
      </c>
      <c r="E11" s="3" t="s">
        <v>229</v>
      </c>
      <c r="F11" s="3" t="s">
        <v>54</v>
      </c>
      <c r="G11" s="3">
        <v>1</v>
      </c>
      <c r="H11" s="3">
        <v>3.5</v>
      </c>
      <c r="I11" s="3">
        <v>3.5</v>
      </c>
    </row>
    <row r="12" spans="1:9">
      <c r="A12" s="3">
        <v>9</v>
      </c>
      <c r="B12" s="18" t="s">
        <v>236</v>
      </c>
      <c r="C12" s="3">
        <v>3</v>
      </c>
      <c r="D12" s="3">
        <v>400</v>
      </c>
      <c r="E12" s="3" t="s">
        <v>237</v>
      </c>
      <c r="F12" s="3" t="s">
        <v>54</v>
      </c>
      <c r="G12" s="3">
        <v>2</v>
      </c>
      <c r="H12" s="3">
        <v>1.1</v>
      </c>
      <c r="I12" s="3">
        <v>2.2</v>
      </c>
    </row>
    <row r="13" ht="30" spans="1:9">
      <c r="A13" s="3">
        <v>10</v>
      </c>
      <c r="B13" s="18" t="s">
        <v>220</v>
      </c>
      <c r="C13" s="3">
        <v>10</v>
      </c>
      <c r="D13" s="3" t="s">
        <v>221</v>
      </c>
      <c r="E13" s="3" t="s">
        <v>222</v>
      </c>
      <c r="F13" s="3" t="s">
        <v>54</v>
      </c>
      <c r="G13" s="3">
        <v>1</v>
      </c>
      <c r="H13" s="3">
        <v>0.8</v>
      </c>
      <c r="I13" s="3">
        <v>0.8</v>
      </c>
    </row>
    <row r="14" ht="30" spans="1:9">
      <c r="A14" s="3">
        <v>11</v>
      </c>
      <c r="B14" s="18" t="s">
        <v>224</v>
      </c>
      <c r="C14" s="3">
        <v>10</v>
      </c>
      <c r="D14" s="3" t="s">
        <v>225</v>
      </c>
      <c r="E14" s="3" t="s">
        <v>226</v>
      </c>
      <c r="F14" s="3" t="s">
        <v>54</v>
      </c>
      <c r="G14" s="3">
        <v>1</v>
      </c>
      <c r="H14" s="3">
        <v>1.2</v>
      </c>
      <c r="I14" s="3">
        <v>1.2</v>
      </c>
    </row>
    <row r="15" ht="30" spans="1:9">
      <c r="A15" s="3">
        <v>12</v>
      </c>
      <c r="B15" s="18" t="s">
        <v>230</v>
      </c>
      <c r="C15" s="3">
        <v>6</v>
      </c>
      <c r="D15" s="3" t="s">
        <v>424</v>
      </c>
      <c r="E15" s="3" t="s">
        <v>231</v>
      </c>
      <c r="F15" s="3" t="s">
        <v>123</v>
      </c>
      <c r="G15" s="3">
        <v>2</v>
      </c>
      <c r="H15" s="3">
        <v>2.06</v>
      </c>
      <c r="I15" s="3">
        <v>4.12</v>
      </c>
    </row>
    <row r="16" spans="1:9">
      <c r="A16" s="3"/>
      <c r="B16" s="18"/>
      <c r="C16" s="3"/>
      <c r="D16" s="3"/>
      <c r="E16" s="3"/>
      <c r="F16" s="3" t="s">
        <v>425</v>
      </c>
      <c r="G16" s="3">
        <f>SUM(G4:G15)</f>
        <v>20</v>
      </c>
      <c r="H16" s="3"/>
      <c r="I16" s="3"/>
    </row>
  </sheetData>
  <mergeCells count="1">
    <mergeCell ref="B2:I2"/>
  </mergeCells>
  <pageMargins left="0.75" right="0.75" top="1" bottom="1" header="0.5" footer="0.5"/>
  <pageSetup paperSize="9" scale="94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"/>
  <sheetViews>
    <sheetView workbookViewId="0">
      <selection activeCell="C15" sqref="C15"/>
    </sheetView>
  </sheetViews>
  <sheetFormatPr defaultColWidth="9.14285714285714" defaultRowHeight="15" outlineLevelRow="2" outlineLevelCol="6"/>
  <cols>
    <col min="2" max="2" width="55.5714285714286" customWidth="1"/>
    <col min="3" max="3" width="14.1428571428571" customWidth="1"/>
    <col min="4" max="4" width="25.4285714285714" customWidth="1"/>
    <col min="5" max="5" width="15.2857142857143" customWidth="1"/>
  </cols>
  <sheetData>
    <row r="1" ht="23.25" spans="1:7">
      <c r="A1" s="3"/>
      <c r="B1" s="4" t="s">
        <v>426</v>
      </c>
      <c r="C1" s="4"/>
      <c r="D1" s="4"/>
      <c r="E1" s="4"/>
      <c r="F1" s="4"/>
      <c r="G1" s="4"/>
    </row>
    <row r="2" spans="1:7">
      <c r="A2" s="14"/>
      <c r="B2" s="15" t="s">
        <v>417</v>
      </c>
      <c r="C2" s="15" t="s">
        <v>418</v>
      </c>
      <c r="D2" s="15" t="s">
        <v>419</v>
      </c>
      <c r="E2" s="15" t="s">
        <v>420</v>
      </c>
      <c r="F2" s="15" t="s">
        <v>427</v>
      </c>
      <c r="G2" s="15" t="s">
        <v>428</v>
      </c>
    </row>
    <row r="3" spans="1:7">
      <c r="A3" s="3">
        <v>1</v>
      </c>
      <c r="B3" s="3" t="s">
        <v>216</v>
      </c>
      <c r="C3" s="3" t="s">
        <v>217</v>
      </c>
      <c r="D3" s="3" t="s">
        <v>123</v>
      </c>
      <c r="E3" s="3">
        <v>5</v>
      </c>
      <c r="F3" s="3">
        <v>3.5</v>
      </c>
      <c r="G3" s="3">
        <v>17.5</v>
      </c>
    </row>
  </sheetData>
  <mergeCells count="1">
    <mergeCell ref="B1:G1"/>
  </mergeCells>
  <pageMargins left="0.75" right="0.75" top="1" bottom="1" header="0.5" footer="0.5"/>
  <pageSetup paperSize="9" scale="94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7"/>
  <sheetViews>
    <sheetView workbookViewId="0">
      <selection activeCell="I24" sqref="I24"/>
    </sheetView>
  </sheetViews>
  <sheetFormatPr defaultColWidth="9.14285714285714" defaultRowHeight="15" outlineLevelRow="6" outlineLevelCol="6"/>
  <cols>
    <col min="1" max="1" width="5.57142857142857" customWidth="1"/>
    <col min="2" max="2" width="57.1428571428571" customWidth="1"/>
    <col min="3" max="3" width="15.8571428571429" customWidth="1"/>
    <col min="4" max="4" width="12.4285714285714" customWidth="1"/>
  </cols>
  <sheetData>
    <row r="2" ht="21" spans="1:7">
      <c r="A2" s="3"/>
      <c r="B2" s="12" t="s">
        <v>429</v>
      </c>
      <c r="C2" s="12"/>
      <c r="D2" s="12"/>
      <c r="E2" s="12"/>
      <c r="F2" s="12"/>
      <c r="G2" s="12"/>
    </row>
    <row r="3" s="11" customFormat="1" spans="1:7">
      <c r="A3" s="13"/>
      <c r="B3" s="13" t="s">
        <v>417</v>
      </c>
      <c r="C3" s="13" t="s">
        <v>418</v>
      </c>
      <c r="D3" s="13" t="s">
        <v>419</v>
      </c>
      <c r="E3" s="13" t="s">
        <v>420</v>
      </c>
      <c r="F3" s="13" t="s">
        <v>427</v>
      </c>
      <c r="G3" s="13" t="s">
        <v>428</v>
      </c>
    </row>
    <row r="4" spans="1:7">
      <c r="A4" s="3" t="s">
        <v>430</v>
      </c>
      <c r="B4" s="3" t="s">
        <v>208</v>
      </c>
      <c r="C4" s="3" t="s">
        <v>209</v>
      </c>
      <c r="D4" s="3" t="s">
        <v>54</v>
      </c>
      <c r="E4" s="3">
        <v>1</v>
      </c>
      <c r="F4" s="3">
        <v>1.5</v>
      </c>
      <c r="G4" s="3">
        <v>1.5</v>
      </c>
    </row>
    <row r="5" spans="1:7">
      <c r="A5" s="3" t="s">
        <v>431</v>
      </c>
      <c r="B5" s="3" t="s">
        <v>211</v>
      </c>
      <c r="C5" s="3" t="s">
        <v>212</v>
      </c>
      <c r="D5" s="3" t="s">
        <v>54</v>
      </c>
      <c r="E5" s="3">
        <v>4</v>
      </c>
      <c r="F5" s="3">
        <v>1.3</v>
      </c>
      <c r="G5" s="3">
        <v>5.2</v>
      </c>
    </row>
    <row r="6" spans="1:7">
      <c r="A6" s="3" t="s">
        <v>432</v>
      </c>
      <c r="B6" s="3" t="s">
        <v>214</v>
      </c>
      <c r="C6" s="3" t="s">
        <v>215</v>
      </c>
      <c r="D6" s="3" t="s">
        <v>54</v>
      </c>
      <c r="E6" s="3">
        <v>1</v>
      </c>
      <c r="F6" s="3">
        <v>9.7</v>
      </c>
      <c r="G6" s="3">
        <v>9.7</v>
      </c>
    </row>
    <row r="7" spans="1:7">
      <c r="D7" t="s">
        <v>433</v>
      </c>
      <c r="E7">
        <f>SUM(E4:E6)</f>
        <v>6</v>
      </c>
    </row>
  </sheetData>
  <mergeCells count="1">
    <mergeCell ref="B2:G2"/>
  </mergeCells>
  <pageMargins left="0.75" right="0.75" top="1" bottom="1" header="0.5" footer="0.5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12" sqref="G12"/>
    </sheetView>
  </sheetViews>
  <sheetFormatPr defaultColWidth="9.14285714285714" defaultRowHeight="15" outlineLevelRow="5" outlineLevelCol="6"/>
  <cols>
    <col min="1" max="1" width="6.85714285714286" customWidth="1"/>
    <col min="2" max="2" width="39.7142857142857" customWidth="1"/>
    <col min="3" max="4" width="12.8571428571429" customWidth="1"/>
    <col min="5" max="5" width="7.57142857142857" customWidth="1"/>
  </cols>
  <sheetData>
    <row r="1" ht="42" customHeight="1" spans="1:7">
      <c r="A1" s="9" t="s">
        <v>434</v>
      </c>
      <c r="B1" s="9"/>
      <c r="C1" s="9"/>
      <c r="D1" s="9"/>
      <c r="E1" s="9"/>
      <c r="F1" s="9"/>
      <c r="G1" s="9"/>
    </row>
    <row r="2" spans="1:7">
      <c r="A2" s="10"/>
      <c r="B2" s="10" t="s">
        <v>417</v>
      </c>
      <c r="C2" s="10" t="s">
        <v>418</v>
      </c>
      <c r="D2" s="10" t="s">
        <v>435</v>
      </c>
      <c r="E2" s="10" t="s">
        <v>420</v>
      </c>
      <c r="F2" s="10"/>
      <c r="G2" s="10"/>
    </row>
    <row r="3" spans="1:7">
      <c r="A3" s="3">
        <v>1</v>
      </c>
      <c r="B3" s="3" t="s">
        <v>272</v>
      </c>
      <c r="C3" s="3" t="s">
        <v>276</v>
      </c>
      <c r="D3" s="3" t="s">
        <v>123</v>
      </c>
      <c r="E3" s="3">
        <v>1</v>
      </c>
      <c r="F3" s="3" t="s">
        <v>257</v>
      </c>
      <c r="G3" s="3"/>
    </row>
    <row r="4" spans="1:7">
      <c r="A4" s="3">
        <v>2</v>
      </c>
      <c r="B4" s="3" t="s">
        <v>293</v>
      </c>
      <c r="C4" s="3" t="s">
        <v>294</v>
      </c>
      <c r="D4" s="3" t="s">
        <v>54</v>
      </c>
      <c r="E4" s="3">
        <v>8</v>
      </c>
      <c r="F4" s="3" t="s">
        <v>257</v>
      </c>
      <c r="G4" s="3"/>
    </row>
    <row r="5" spans="1:7">
      <c r="A5" s="3">
        <v>3</v>
      </c>
      <c r="B5" s="3" t="s">
        <v>255</v>
      </c>
      <c r="C5" s="3" t="s">
        <v>256</v>
      </c>
      <c r="D5" s="3" t="s">
        <v>123</v>
      </c>
      <c r="E5" s="3">
        <v>1</v>
      </c>
      <c r="F5" s="3" t="s">
        <v>257</v>
      </c>
      <c r="G5" s="3"/>
    </row>
    <row r="6" spans="1:7">
      <c r="D6" t="s">
        <v>415</v>
      </c>
      <c r="E6">
        <v>10</v>
      </c>
    </row>
  </sheetData>
  <mergeCells count="1">
    <mergeCell ref="A1:G1"/>
  </mergeCells>
  <pageMargins left="0.75" right="0.75" top="1" bottom="1" header="0.5" footer="0.5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12"/>
  <sheetViews>
    <sheetView workbookViewId="0">
      <selection activeCell="C18" sqref="C18"/>
    </sheetView>
  </sheetViews>
  <sheetFormatPr defaultColWidth="9.14285714285714" defaultRowHeight="15" outlineLevelCol="6"/>
  <cols>
    <col min="1" max="1" width="5.28571428571429" customWidth="1"/>
    <col min="2" max="2" width="54.8571428571429" customWidth="1"/>
    <col min="3" max="3" width="21.1428571428571" customWidth="1"/>
    <col min="6" max="6" width="9.14285714285714" style="1"/>
    <col min="7" max="7" width="9.14285714285714" style="2"/>
  </cols>
  <sheetData>
    <row r="4" ht="23.25" spans="1:7">
      <c r="A4" s="3"/>
      <c r="B4" s="4" t="s">
        <v>436</v>
      </c>
      <c r="C4" s="4"/>
      <c r="D4" s="4"/>
      <c r="E4" s="4"/>
      <c r="F4" s="5"/>
      <c r="G4" s="6"/>
    </row>
    <row r="5" spans="1:7">
      <c r="A5" s="3">
        <v>1</v>
      </c>
      <c r="B5" s="3" t="s">
        <v>380</v>
      </c>
      <c r="C5" s="3" t="s">
        <v>381</v>
      </c>
      <c r="D5" s="3" t="s">
        <v>16</v>
      </c>
      <c r="E5" s="3">
        <v>6</v>
      </c>
      <c r="F5" s="7" t="s">
        <v>298</v>
      </c>
      <c r="G5" s="8"/>
    </row>
    <row r="6" spans="1:7">
      <c r="A6" s="3">
        <v>2</v>
      </c>
      <c r="B6" s="3" t="s">
        <v>296</v>
      </c>
      <c r="C6" s="3" t="s">
        <v>297</v>
      </c>
      <c r="D6" s="3" t="s">
        <v>54</v>
      </c>
      <c r="E6" s="3">
        <v>2</v>
      </c>
      <c r="F6" s="7" t="s">
        <v>298</v>
      </c>
      <c r="G6" s="8"/>
    </row>
    <row r="7" spans="1:7">
      <c r="A7" s="3">
        <v>3</v>
      </c>
      <c r="B7" s="3" t="s">
        <v>299</v>
      </c>
      <c r="C7" s="3" t="s">
        <v>300</v>
      </c>
      <c r="D7" s="3" t="s">
        <v>54</v>
      </c>
      <c r="E7" s="3">
        <v>1</v>
      </c>
      <c r="F7" s="7" t="s">
        <v>298</v>
      </c>
      <c r="G7" s="8"/>
    </row>
    <row r="8" spans="1:7">
      <c r="A8" s="3">
        <v>4</v>
      </c>
      <c r="B8" s="3" t="s">
        <v>301</v>
      </c>
      <c r="C8" s="3" t="s">
        <v>302</v>
      </c>
      <c r="D8" s="3" t="s">
        <v>123</v>
      </c>
      <c r="E8" s="3">
        <v>1</v>
      </c>
      <c r="F8" s="7" t="s">
        <v>298</v>
      </c>
      <c r="G8" s="8"/>
    </row>
    <row r="9" spans="1:7">
      <c r="A9" s="3">
        <v>5</v>
      </c>
      <c r="B9" s="3" t="s">
        <v>322</v>
      </c>
      <c r="C9" s="3" t="s">
        <v>323</v>
      </c>
      <c r="D9" s="3" t="s">
        <v>16</v>
      </c>
      <c r="E9" s="3">
        <v>4</v>
      </c>
      <c r="F9" s="7" t="s">
        <v>298</v>
      </c>
      <c r="G9" s="8"/>
    </row>
    <row r="10" spans="1:7">
      <c r="A10" s="3">
        <v>6</v>
      </c>
      <c r="B10" s="3" t="s">
        <v>339</v>
      </c>
      <c r="C10" s="3" t="s">
        <v>340</v>
      </c>
      <c r="D10" s="3" t="s">
        <v>16</v>
      </c>
      <c r="E10" s="3">
        <v>4</v>
      </c>
      <c r="F10" s="7" t="s">
        <v>298</v>
      </c>
      <c r="G10" s="8"/>
    </row>
    <row r="11" spans="1:7">
      <c r="A11" s="3">
        <v>7</v>
      </c>
      <c r="B11" s="3" t="s">
        <v>437</v>
      </c>
      <c r="C11" s="3" t="s">
        <v>342</v>
      </c>
      <c r="D11" s="3" t="s">
        <v>24</v>
      </c>
      <c r="E11" s="3">
        <v>2</v>
      </c>
      <c r="F11" s="7" t="s">
        <v>298</v>
      </c>
      <c r="G11" s="8"/>
    </row>
    <row r="12" spans="1:7">
      <c r="A12" s="3"/>
      <c r="B12" s="3"/>
      <c r="C12" s="3"/>
      <c r="D12" s="3" t="s">
        <v>438</v>
      </c>
      <c r="E12" s="3">
        <f>SUM(E5:E11)</f>
        <v>20</v>
      </c>
      <c r="F12" s="7"/>
      <c r="G12" s="8"/>
    </row>
  </sheetData>
  <mergeCells count="1">
    <mergeCell ref="B4:G4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Перечень для отгрузки</vt:lpstr>
      <vt:lpstr>упак. лист №1</vt:lpstr>
      <vt:lpstr>упак. лист №2</vt:lpstr>
      <vt:lpstr>упак. лист № 3</vt:lpstr>
      <vt:lpstr>упак. лист № 4</vt:lpstr>
      <vt:lpstr>упак. лист№ 5</vt:lpstr>
      <vt:lpstr>упак. лист № 6</vt:lpstr>
      <vt:lpstr>упак. лист №7</vt:lpstr>
      <vt:lpstr>упак. лист №8</vt:lpstr>
      <vt:lpstr>упак. лист №9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U1</cp:lastModifiedBy>
  <dcterms:created xsi:type="dcterms:W3CDTF">2026-10-13T15:58:00Z</dcterms:created>
  <dcterms:modified xsi:type="dcterms:W3CDTF">2026-10-21T10:52:46Z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91F881E916934EECB6550DD0AD8E33FF_12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
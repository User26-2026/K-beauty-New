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300"/>
  </bookViews>
  <sheets>
    <sheet name="Приложение № 2 (ПИТЕР)" sheetId="1" r:id="rId1"/>
    <sheet name="Приложение №3 (Питер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<sst xmlns="http://schemas.openxmlformats.org/spreadsheetml/2006/main" count="429" uniqueCount="266">
  <si>
    <t>№</t>
  </si>
  <si>
    <t>Наименование</t>
  </si>
  <si>
    <t>Обозначение</t>
  </si>
  <si>
    <t xml:space="preserve">состояние </t>
  </si>
  <si>
    <t xml:space="preserve">вес кг  ,1 шт </t>
  </si>
  <si>
    <t xml:space="preserve">Кол-во по приложению </t>
  </si>
  <si>
    <t xml:space="preserve">Кол-во факт </t>
  </si>
  <si>
    <t xml:space="preserve">общий вес </t>
  </si>
  <si>
    <t>Цена по Договору, руб.</t>
  </si>
  <si>
    <t>Ориентир реализации, руб.</t>
  </si>
  <si>
    <t xml:space="preserve">примечание </t>
  </si>
  <si>
    <t>Захлопка фланцевая вертикальная Ду50Ру63</t>
  </si>
  <si>
    <t>529-35.1400-01</t>
  </si>
  <si>
    <t xml:space="preserve">б/у </t>
  </si>
  <si>
    <t>Захлопка фланцевая проходная Ду100Ру6,3</t>
  </si>
  <si>
    <t>529-35.1406-01</t>
  </si>
  <si>
    <t>Захлопка фланцевая горизон. Ду100 Ру10</t>
  </si>
  <si>
    <t>529-03.074</t>
  </si>
  <si>
    <r>
      <rPr>
        <sz val="11"/>
        <color rgb="FF000000"/>
        <rFont val="Times New Roman"/>
        <charset val="134"/>
      </rPr>
      <t>Захлопка фланцевая угловая Ду100Ру</t>
    </r>
    <r>
      <rPr>
        <sz val="11"/>
        <color rgb="FFFF0000"/>
        <rFont val="Times New Roman"/>
        <charset val="134"/>
      </rPr>
      <t>6,3</t>
    </r>
  </si>
  <si>
    <t>529-35-1405-01</t>
  </si>
  <si>
    <r>
      <rPr>
        <sz val="11"/>
        <color rgb="FF000000"/>
        <rFont val="Times New Roman"/>
        <charset val="134"/>
      </rPr>
      <t xml:space="preserve">Клапан фланцевый проходной Ду125 </t>
    </r>
    <r>
      <rPr>
        <sz val="11"/>
        <color rgb="FFFF0000"/>
        <rFont val="Times New Roman"/>
        <charset val="134"/>
      </rPr>
      <t>Ру 10</t>
    </r>
  </si>
  <si>
    <t>521-35.3455-02</t>
  </si>
  <si>
    <t>б/у</t>
  </si>
  <si>
    <t>Клапан фланцевый проходной Ду125 Ру 10</t>
  </si>
  <si>
    <t>521-03.491</t>
  </si>
  <si>
    <t xml:space="preserve">без чертежа </t>
  </si>
  <si>
    <t>Клапан штуцерный проходной Ду 10 Ру400</t>
  </si>
  <si>
    <t>521-35.3238</t>
  </si>
  <si>
    <t>новый</t>
  </si>
  <si>
    <t>Клапан педальный Ду25</t>
  </si>
  <si>
    <t>М528-03.001</t>
  </si>
  <si>
    <t>Клапан педальный Ду25 новый приход</t>
  </si>
  <si>
    <t>Клапан угловой с присоединением под дюрит Ду50Ру4</t>
  </si>
  <si>
    <t>521-03.445-04</t>
  </si>
  <si>
    <t>Клапан невозв-запорн.с присоед.под дюрит прох. Ду 50 Ру6</t>
  </si>
  <si>
    <t>522-03.124-04</t>
  </si>
  <si>
    <t>Клапан фланцевый проходной титановые Ду50Ру10</t>
  </si>
  <si>
    <t>521-182.110</t>
  </si>
  <si>
    <t>25-35000</t>
  </si>
  <si>
    <t>80-100000</t>
  </si>
  <si>
    <t>Клапан фланцевый проходной титановые Ду100Ру10</t>
  </si>
  <si>
    <t>521-182.116</t>
  </si>
  <si>
    <t>40-55000</t>
  </si>
  <si>
    <t>120-140000</t>
  </si>
  <si>
    <r>
      <rPr>
        <sz val="11"/>
        <color rgb="FF000000"/>
        <rFont val="Times New Roman"/>
        <charset val="134"/>
      </rPr>
      <t xml:space="preserve">Клапан невозв-запор.цапковый угловой 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Times New Roman"/>
        <charset val="134"/>
      </rPr>
      <t>под дюрит Ду20Ру6</t>
    </r>
  </si>
  <si>
    <t>522-03.123</t>
  </si>
  <si>
    <t>(Кнопка)Клапан самозакрывающий проходной муфтовый Ду15Ру3</t>
  </si>
  <si>
    <t>528-35.176</t>
  </si>
  <si>
    <t>Клапан штуцерный угловой Ду10 Р160</t>
  </si>
  <si>
    <t>522-03.149</t>
  </si>
  <si>
    <t>Клапан штуцерный угловой Ду20 Ру160</t>
  </si>
  <si>
    <t>521-03.479</t>
  </si>
  <si>
    <t>Клапан штуцерный угловой Ду20 Ру100</t>
  </si>
  <si>
    <t>521-01.468-05</t>
  </si>
  <si>
    <t>Клапан штуцерный угловой Ду32Ру100</t>
  </si>
  <si>
    <t>521-01.468-07</t>
  </si>
  <si>
    <t>521-01.464-07</t>
  </si>
  <si>
    <t>521-01.464-06</t>
  </si>
  <si>
    <t>522-01.500-07</t>
  </si>
  <si>
    <t>Клапан штуцерный угловой Рр150/10</t>
  </si>
  <si>
    <t>521-ц22п</t>
  </si>
  <si>
    <r>
      <rPr>
        <sz val="11"/>
        <color rgb="FF000000"/>
        <rFont val="Times New Roman"/>
        <charset val="134"/>
      </rPr>
      <t xml:space="preserve">Клапан штуцерный угловой Ду </t>
    </r>
    <r>
      <rPr>
        <sz val="11"/>
        <color rgb="FFFF0000"/>
        <rFont val="Times New Roman"/>
        <charset val="134"/>
      </rPr>
      <t>15</t>
    </r>
  </si>
  <si>
    <t>521--01.468-08</t>
  </si>
  <si>
    <r>
      <rPr>
        <sz val="11"/>
        <color rgb="FF000000"/>
        <rFont val="Times New Roman"/>
        <charset val="134"/>
      </rPr>
      <t xml:space="preserve">Клапан штуцерный угловой Ду 15 </t>
    </r>
    <r>
      <rPr>
        <strike/>
        <sz val="11"/>
        <color rgb="FF000000"/>
        <rFont val="Times New Roman"/>
        <charset val="134"/>
      </rPr>
      <t>НЕРЖ</t>
    </r>
  </si>
  <si>
    <r>
      <rPr>
        <sz val="11"/>
        <color rgb="FF000000"/>
        <rFont val="Times New Roman"/>
        <charset val="134"/>
      </rPr>
      <t>521-03.47</t>
    </r>
    <r>
      <rPr>
        <sz val="11"/>
        <color rgb="FFFF0000"/>
        <rFont val="Times New Roman"/>
        <charset val="134"/>
      </rPr>
      <t>8</t>
    </r>
    <r>
      <rPr>
        <sz val="11"/>
        <color rgb="FF000000"/>
        <rFont val="Times New Roman"/>
        <charset val="134"/>
      </rPr>
      <t>-01</t>
    </r>
  </si>
  <si>
    <r>
      <rPr>
        <sz val="11"/>
        <color rgb="FF000000"/>
        <rFont val="Times New Roman"/>
        <charset val="134"/>
      </rPr>
      <t>Клапан штуцерный угловой Ду25</t>
    </r>
    <r>
      <rPr>
        <sz val="11"/>
        <color rgb="FFFF0000"/>
        <rFont val="Times New Roman"/>
        <charset val="134"/>
      </rPr>
      <t xml:space="preserve"> Ру 100</t>
    </r>
    <r>
      <rPr>
        <sz val="11"/>
        <color rgb="FF000000"/>
        <rFont val="Times New Roman"/>
        <charset val="134"/>
      </rPr>
      <t xml:space="preserve"> </t>
    </r>
  </si>
  <si>
    <t>521--35.3363</t>
  </si>
  <si>
    <t>Клапан редукционный штуцерный угловой Ду10Ру200…30 с манометром</t>
  </si>
  <si>
    <t>525-35.2634</t>
  </si>
  <si>
    <t>б/у?</t>
  </si>
  <si>
    <t>525-35.2634-04</t>
  </si>
  <si>
    <r>
      <rPr>
        <sz val="11"/>
        <color rgb="FF000000"/>
        <rFont val="Times New Roman"/>
        <charset val="134"/>
      </rPr>
      <t xml:space="preserve">Клапан для манометра штущерный сальниковый Ду6 Ру100 новый                                                                                                       </t>
    </r>
    <r>
      <rPr>
        <sz val="11"/>
        <color rgb="FFFF0000"/>
        <rFont val="Times New Roman"/>
        <charset val="134"/>
      </rPr>
      <t xml:space="preserve">(521-35.3434 -8 шт , 521-02.013 -86 шт , 521-35.3434-04 -30 шт) </t>
    </r>
  </si>
  <si>
    <t>521-02.013</t>
  </si>
  <si>
    <t xml:space="preserve">новый </t>
  </si>
  <si>
    <t>3000 - 4000</t>
  </si>
  <si>
    <t>14-17000</t>
  </si>
  <si>
    <t>отгружено 29.09.26</t>
  </si>
  <si>
    <t>Клапан редукционный штуц.проход.односедельный Ду20Ру400 у входа</t>
  </si>
  <si>
    <t>525-03.044</t>
  </si>
  <si>
    <t>новый ?</t>
  </si>
  <si>
    <t>90-120000</t>
  </si>
  <si>
    <t xml:space="preserve">еще раз посчитать </t>
  </si>
  <si>
    <t>Клапан с электромагнитным ручным управлением Ду20/10 перем. 220В</t>
  </si>
  <si>
    <t>587-35.8490-04</t>
  </si>
  <si>
    <r>
      <rPr>
        <sz val="11"/>
        <color rgb="FF000000"/>
        <rFont val="Times New Roman"/>
        <charset val="134"/>
      </rPr>
      <t xml:space="preserve">Клапан муфтовый проходной запорный Ду25Ру16                             </t>
    </r>
    <r>
      <rPr>
        <sz val="11"/>
        <color rgb="FFFF0000"/>
        <rFont val="Times New Roman"/>
        <charset val="134"/>
      </rPr>
      <t xml:space="preserve">(Ду25Ру16 -1 шт ; Ду25Ру10 -1шт ) </t>
    </r>
  </si>
  <si>
    <t>521-03.124</t>
  </si>
  <si>
    <t>Клапан предохранительный штуцерный сигнальный Ду6 Ру100-230</t>
  </si>
  <si>
    <t>524-35.2423-01</t>
  </si>
  <si>
    <t>Клапан предохранительный штуцерный сигнальный Ду10Ру1,3-6,5</t>
  </si>
  <si>
    <t>524-03.174</t>
  </si>
  <si>
    <t>Клапан предохранительный штуцерный сигнальный Ду10Ру2,5-6,5</t>
  </si>
  <si>
    <t>524-03.173</t>
  </si>
  <si>
    <t>Клапан пусковой Ду20Ру125</t>
  </si>
  <si>
    <t>587-03.080</t>
  </si>
  <si>
    <t>45000-65000</t>
  </si>
  <si>
    <t>Клапан пусковой Ду32Ру125</t>
  </si>
  <si>
    <t>587-03.082</t>
  </si>
  <si>
    <t>50000-70000</t>
  </si>
  <si>
    <t>Клапан паровой Ду65Ру10</t>
  </si>
  <si>
    <t>581-03.034</t>
  </si>
  <si>
    <t>новый?</t>
  </si>
  <si>
    <t>50-60</t>
  </si>
  <si>
    <t>120-160000</t>
  </si>
  <si>
    <t>Коробка 3-х клап.фланцевая Ду50</t>
  </si>
  <si>
    <t>30-35</t>
  </si>
  <si>
    <t>75-95000</t>
  </si>
  <si>
    <t xml:space="preserve">перепроверить </t>
  </si>
  <si>
    <t>Коробка 3-х клап.фланцевая Ду80</t>
  </si>
  <si>
    <t>45-55</t>
  </si>
  <si>
    <t>140-160000</t>
  </si>
  <si>
    <t>Коробка 3-х клап.фланцевая Ду100</t>
  </si>
  <si>
    <t>Коробка 2-х клапановая фланцевая Ду50</t>
  </si>
  <si>
    <t>55-60000</t>
  </si>
  <si>
    <t>Коробка 2-х клапановая фланцевая Ду80</t>
  </si>
  <si>
    <t>110-140000</t>
  </si>
  <si>
    <t>Фильтр фланц.прох. забортной воды Ду100 Ру4</t>
  </si>
  <si>
    <t>427-03-109-2</t>
  </si>
  <si>
    <t>150-160</t>
  </si>
  <si>
    <t>Кран штуцерный спусковой самозапорный проходной Ду15 Ру25</t>
  </si>
  <si>
    <t>Кран штуцерный спусковой самозапорный проходной Ду20 Ру10</t>
  </si>
  <si>
    <t>528-3М129</t>
  </si>
  <si>
    <t>20-22000</t>
  </si>
  <si>
    <t>Кран трехходовой штуцерный Ду32 Ру10</t>
  </si>
  <si>
    <t>536-35.696</t>
  </si>
  <si>
    <t>Кран трехходовой штуцерный Ду20 Ру16</t>
  </si>
  <si>
    <t>536-35.695</t>
  </si>
  <si>
    <t>Кран двухходовой штуцерный Ду20 Ру16</t>
  </si>
  <si>
    <t>536-3М5</t>
  </si>
  <si>
    <t>Кингстон донный фланцевый Ду32Ру2,5</t>
  </si>
  <si>
    <t>527-03.014</t>
  </si>
  <si>
    <t>Кингстон донный фланцевый Ду50 Ру2,5</t>
  </si>
  <si>
    <t>527-03.054</t>
  </si>
  <si>
    <t>Кингстон донный фланцевый Ду80 Ру2,5</t>
  </si>
  <si>
    <t>527-03.055</t>
  </si>
  <si>
    <t>Клапан фланцевый угловой Ду25</t>
  </si>
  <si>
    <t>521-3М539</t>
  </si>
  <si>
    <t>521-3М.123</t>
  </si>
  <si>
    <t>Клапан фланцевый угловой Ду50</t>
  </si>
  <si>
    <t>Клапан фланцевый угловой Ду65 Ру10</t>
  </si>
  <si>
    <t>522-35.4154-02</t>
  </si>
  <si>
    <t>522-35.4201</t>
  </si>
  <si>
    <t>521-03.195</t>
  </si>
  <si>
    <t>Клапан фланцевый угловой Ду65 Ру40</t>
  </si>
  <si>
    <t>521-03.230</t>
  </si>
  <si>
    <t>Клапан фланцевый угловой Ду80</t>
  </si>
  <si>
    <t>522-03.197</t>
  </si>
  <si>
    <t>Клапан фланцевый угловой Ду100</t>
  </si>
  <si>
    <t>Клапан фланцевый угловой Ду150 Ру10</t>
  </si>
  <si>
    <t>521-01.207</t>
  </si>
  <si>
    <t>Клапан фланцевый проходной Ду50</t>
  </si>
  <si>
    <t>15-20000</t>
  </si>
  <si>
    <t>50-55000</t>
  </si>
  <si>
    <t>Колонка указательная с плоским рифленым стеклом Ду10Ру10</t>
  </si>
  <si>
    <t>598-03.083-01</t>
  </si>
  <si>
    <r>
      <rPr>
        <sz val="11"/>
        <color rgb="FF000000"/>
        <rFont val="Times New Roman"/>
        <charset val="134"/>
      </rPr>
      <t xml:space="preserve">Клапан невозв-запорн.с присоед.под дюрит прох. Ду 50 </t>
    </r>
    <r>
      <rPr>
        <sz val="11"/>
        <color rgb="FF000000"/>
        <rFont val="Times New Roman"/>
        <charset val="134"/>
      </rPr>
      <t xml:space="preserve"> </t>
    </r>
  </si>
  <si>
    <t>522-03.122-04</t>
  </si>
  <si>
    <t>15-20</t>
  </si>
  <si>
    <t>Клапан запорн.с присоед.под дюрит прох. Ду65</t>
  </si>
  <si>
    <t>ИШТЛ 491112-003-04</t>
  </si>
  <si>
    <t>65-75000</t>
  </si>
  <si>
    <t>Клинкет Ду 200</t>
  </si>
  <si>
    <t>85-90000</t>
  </si>
  <si>
    <t>180-210000</t>
  </si>
  <si>
    <t>Клинкет Ду 250</t>
  </si>
  <si>
    <t>130-150</t>
  </si>
  <si>
    <t>300-400</t>
  </si>
  <si>
    <t>Клинкет Ду 300</t>
  </si>
  <si>
    <t>170-200</t>
  </si>
  <si>
    <t>450-550</t>
  </si>
  <si>
    <r>
      <rPr>
        <sz val="11"/>
        <color rgb="FF000000"/>
        <rFont val="Times New Roman"/>
        <charset val="134"/>
      </rPr>
      <t xml:space="preserve">Клинкет 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Times New Roman"/>
        <charset val="134"/>
      </rPr>
      <t xml:space="preserve">Ду 350 </t>
    </r>
    <r>
      <rPr>
        <sz val="11"/>
        <color rgb="FF000000"/>
        <rFont val="Times New Roman"/>
        <charset val="134"/>
      </rPr>
      <t xml:space="preserve"> </t>
    </r>
  </si>
  <si>
    <t>250-300</t>
  </si>
  <si>
    <t>700-900</t>
  </si>
  <si>
    <t>Фильтр забортной воды Ду 50</t>
  </si>
  <si>
    <t>Фильтр заборной воды ДУ 80</t>
  </si>
  <si>
    <t>Фильтр забортной воды Ду 100</t>
  </si>
  <si>
    <t>55-650</t>
  </si>
  <si>
    <t>Фильтр заборной воды ДУ 150</t>
  </si>
  <si>
    <t>75-90</t>
  </si>
  <si>
    <t>170-190</t>
  </si>
  <si>
    <t>Фильтр забортной воды Ду200</t>
  </si>
  <si>
    <t>150-170</t>
  </si>
  <si>
    <t>280-320</t>
  </si>
  <si>
    <t>Фильтр забортной воды Ду 300</t>
  </si>
  <si>
    <t>отгружено 24.09.26</t>
  </si>
  <si>
    <t>Клапан штуцерный проходной Ду 10 Ру40</t>
  </si>
  <si>
    <t>521-01.471-01</t>
  </si>
  <si>
    <t>3000-5000</t>
  </si>
  <si>
    <t>12-14000</t>
  </si>
  <si>
    <t xml:space="preserve">перепроверить кол-во </t>
  </si>
  <si>
    <r>
      <rPr>
        <sz val="11"/>
        <color rgb="FF000000"/>
        <rFont val="Times New Roman"/>
        <charset val="134"/>
      </rPr>
      <t xml:space="preserve">Клапан для манометра штуцерный сальниковый </t>
    </r>
    <r>
      <rPr>
        <sz val="11"/>
        <color rgb="FFFF0000"/>
        <rFont val="Times New Roman"/>
        <charset val="134"/>
      </rPr>
      <t>Ду 6</t>
    </r>
  </si>
  <si>
    <t>521-34.3404-03</t>
  </si>
  <si>
    <t xml:space="preserve">Итого: </t>
  </si>
  <si>
    <t xml:space="preserve">вес </t>
  </si>
  <si>
    <t>Кол-во</t>
  </si>
  <si>
    <t xml:space="preserve">кол-во факт </t>
  </si>
  <si>
    <t>вес общий</t>
  </si>
  <si>
    <t>Захлопка фланцевая горизонтальная Ду50</t>
  </si>
  <si>
    <t>529-03.011</t>
  </si>
  <si>
    <t>новая</t>
  </si>
  <si>
    <t>по согласованию</t>
  </si>
  <si>
    <t>Захлопка фланцевая вертикальная Ду100</t>
  </si>
  <si>
    <t>529-03.003</t>
  </si>
  <si>
    <t>Клапан запорный штуцерный проходной Ду10 Ру16</t>
  </si>
  <si>
    <t>521-35.2754</t>
  </si>
  <si>
    <t>521-03.420</t>
  </si>
  <si>
    <t xml:space="preserve">не нашла  еще </t>
  </si>
  <si>
    <t>Клапан невозвратный штуцерный проходной Ду20Ру160</t>
  </si>
  <si>
    <t>522-03.089</t>
  </si>
  <si>
    <r>
      <rPr>
        <sz val="11"/>
        <color rgb="FF000000"/>
        <rFont val="Times New Roman"/>
        <charset val="134"/>
      </rPr>
      <t xml:space="preserve">Клапан штуцерный проходной бессальниковый 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Times New Roman"/>
        <charset val="134"/>
      </rPr>
      <t>Ду15/1</t>
    </r>
  </si>
  <si>
    <t>521-35.2608-01</t>
  </si>
  <si>
    <r>
      <rPr>
        <sz val="11"/>
        <color rgb="FF000000"/>
        <rFont val="Times New Roman"/>
        <charset val="134"/>
      </rPr>
      <t xml:space="preserve">Клапан дроссельный угловой штуцерный </t>
    </r>
    <r>
      <rPr>
        <sz val="11"/>
        <color rgb="FFFF0000"/>
        <rFont val="Times New Roman"/>
        <charset val="134"/>
      </rPr>
      <t>10/63</t>
    </r>
  </si>
  <si>
    <t>525-35.577</t>
  </si>
  <si>
    <t>Клапан штуцерный угловой Ду15 Ру160</t>
  </si>
  <si>
    <t>521-03.387</t>
  </si>
  <si>
    <r>
      <rPr>
        <sz val="11"/>
        <color rgb="FF000000"/>
        <rFont val="Times New Roman"/>
        <charset val="134"/>
      </rPr>
      <t xml:space="preserve">Клапан для манометра штущерный 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Times New Roman"/>
        <charset val="134"/>
      </rPr>
      <t>Ду3Ру400 новый</t>
    </r>
  </si>
  <si>
    <t>521-03.406</t>
  </si>
  <si>
    <t>Клапан с электромагнитным ручным управлением</t>
  </si>
  <si>
    <t>587-182.126</t>
  </si>
  <si>
    <t>Клапан фреоновый саленоидный</t>
  </si>
  <si>
    <t>Клапан муфтовый проходной запорный Ду32Ру10</t>
  </si>
  <si>
    <t>Клапан муфтовый проходной запорный Ду20Ру16</t>
  </si>
  <si>
    <t>Клапан предохранительный штуцерный сигнальный Ду6Ру100-250</t>
  </si>
  <si>
    <t>524-03.188</t>
  </si>
  <si>
    <t>Клапан предохранительный штуцерный угловой Ду6,5-9</t>
  </si>
  <si>
    <t>524-03.004</t>
  </si>
  <si>
    <t>Клапан для колонки указательной Ду10 Ру16</t>
  </si>
  <si>
    <t>598-03.022-06</t>
  </si>
  <si>
    <t>Эжектор ВЭЖ 6,3</t>
  </si>
  <si>
    <t>Стакан переборочный Ду10Ру100</t>
  </si>
  <si>
    <t>554-35.265</t>
  </si>
  <si>
    <t>Стакан переборочный Ду20Ру100</t>
  </si>
  <si>
    <t>554-03.909-03</t>
  </si>
  <si>
    <t>554-03.905-06</t>
  </si>
  <si>
    <t>Стакан переборочный Ду25Ру100</t>
  </si>
  <si>
    <t>554-35.156</t>
  </si>
  <si>
    <t>Клапан фланц. концевой пожарный угловой Ду32 Ру10</t>
  </si>
  <si>
    <t>595-03-006</t>
  </si>
  <si>
    <t>Клапан фланц. концевой пожарный угловой Ду32 Ру16</t>
  </si>
  <si>
    <t>595-01-010</t>
  </si>
  <si>
    <t>Клапан фланц. концевой пожарный угловой Ду50</t>
  </si>
  <si>
    <t>Кран двухходовой фланцевый Ду32 Ру6</t>
  </si>
  <si>
    <t>536-3М.72</t>
  </si>
  <si>
    <t>Клапан Ду20/10</t>
  </si>
  <si>
    <t>581-С6.73</t>
  </si>
  <si>
    <t>Кланан Рр18-2 45/25</t>
  </si>
  <si>
    <t xml:space="preserve">новая </t>
  </si>
  <si>
    <t>без чертежа(527-35.1165)</t>
  </si>
  <si>
    <t>Клапан фланцевый угловой Ду50 Ру25</t>
  </si>
  <si>
    <t>СВ/Т3197-95В25050</t>
  </si>
  <si>
    <t>Головка воздушно-квадрат.(поплавковая) Ду80</t>
  </si>
  <si>
    <t>(541-03.218)</t>
  </si>
  <si>
    <t>новая ?</t>
  </si>
  <si>
    <t>Головка воздушно-квадрат.(поплавковая) Ду25</t>
  </si>
  <si>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Times New Roman"/>
        <charset val="134"/>
      </rPr>
      <t>(541-03.232)</t>
    </r>
  </si>
  <si>
    <t>Головка воздушно-квадрат.(поплавковая) Ду32</t>
  </si>
  <si>
    <t>541-03.224</t>
  </si>
  <si>
    <t>Головка воздушно-квадрат.(поплавковая) Ду125 (без поплавка)</t>
  </si>
  <si>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Times New Roman"/>
        <charset val="134"/>
      </rPr>
      <t>(541-03.220)</t>
    </r>
  </si>
  <si>
    <t>Клапан фланцевый проходной Ду200</t>
  </si>
  <si>
    <t>Грибки АМГ Ду 150 (верхние)</t>
  </si>
  <si>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Times New Roman"/>
        <charset val="134"/>
      </rPr>
      <t>(541-03.315-02)</t>
    </r>
  </si>
  <si>
    <t>Грибки АМГ Ду 150 (нижние)</t>
  </si>
  <si>
    <r>
      <rPr>
        <sz val="11"/>
        <color rgb="FF000000"/>
        <rFont val="Times New Roman"/>
        <charset val="134"/>
      </rPr>
      <t xml:space="preserve"> (541-03.</t>
    </r>
    <r>
      <rPr>
        <sz val="11"/>
        <color rgb="FFFF0000"/>
        <rFont val="Times New Roman"/>
        <charset val="134"/>
      </rPr>
      <t>316-02)</t>
    </r>
  </si>
  <si>
    <t>Грибки АМГ Ду 200 с нижнем приводом</t>
  </si>
  <si>
    <r>
      <rPr>
        <sz val="11"/>
        <color rgb="FF000000"/>
        <rFont val="Times New Roman"/>
        <charset val="134"/>
      </rPr>
      <t xml:space="preserve"> (541-03.</t>
    </r>
    <r>
      <rPr>
        <sz val="11"/>
        <color rgb="FFFF0000"/>
        <rFont val="Times New Roman"/>
        <charset val="134"/>
      </rPr>
      <t>316-04)</t>
    </r>
  </si>
  <si>
    <t>итого: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</si>
</sst>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  <numFmt numFmtId="178" formatCode="0.00_ "/>
  </numFmts>
  <fonts count="27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color rgb="FFFF0000"/>
      <name val="Times New Roman"/>
      <charset val="134"/>
    </font>
    <font>
      <sz val="1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trike/>
      <sz val="11"/>
      <color rgb="FF000000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178" fontId="0" fillId="0" borderId="0" xfId="0" applyNumberForma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178" fontId="3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78" fontId="4" fillId="0" borderId="1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78" fontId="4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 wrapText="1"/>
    </xf>
    <xf numFmtId="178" fontId="2" fillId="0" borderId="0" xfId="0" applyNumberFormat="1" applyFont="1">
      <alignment vertical="center"/>
    </xf>
    <xf numFmtId="0" fontId="0" fillId="4" borderId="0" xfId="0" applyFill="1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178" fontId="4" fillId="4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>
      <alignment vertical="center"/>
    </xf>
    <xf numFmtId="178" fontId="0" fillId="0" borderId="0" xfId="0" applyNumberForma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178" fontId="2" fillId="0" borderId="1" xfId="0" applyNumberFormat="1" applyFont="1" applyBorder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3"/>
  <sheetViews>
    <sheetView tabSelected="1" zoomScaleSheetLayoutView="60" topLeftCell="A65" workbookViewId="0">
      <selection activeCell="K35" sqref="K35"/>
    </sheetView>
  </sheetViews>
  <sheetFormatPr defaultColWidth="10.2857142857143" defaultRowHeight="15"/>
  <cols>
    <col min="1" max="1" width="7.57142857142857" customWidth="1"/>
    <col min="2" max="2" width="56.1428571428571" customWidth="1"/>
    <col min="3" max="3" width="18" customWidth="1"/>
    <col min="4" max="4" width="14.7142857142857" customWidth="1"/>
    <col min="5" max="5" width="13.8571428571429" style="3" customWidth="1"/>
    <col min="6" max="6" width="11.1428571428571" customWidth="1"/>
    <col min="7" max="8" width="13.1428571428571" customWidth="1"/>
    <col min="9" max="9" width="20.8571428571429" customWidth="1"/>
    <col min="10" max="10" width="16.8571428571429" customWidth="1"/>
    <col min="11" max="11" width="23.2857142857143" customWidth="1"/>
  </cols>
  <sheetData>
    <row r="1" ht="42.75" spans="1:16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4" t="s">
        <v>10</v>
      </c>
      <c r="L1" s="14"/>
      <c r="M1" s="14"/>
      <c r="N1" s="14"/>
      <c r="O1" s="14"/>
      <c r="P1" s="14"/>
    </row>
    <row r="2" ht="20" customHeight="1" spans="1:16">
      <c r="A2" s="6">
        <v>1</v>
      </c>
      <c r="B2" s="6" t="s">
        <v>11</v>
      </c>
      <c r="C2" s="6" t="s">
        <v>12</v>
      </c>
      <c r="D2" s="6" t="s">
        <v>13</v>
      </c>
      <c r="E2" s="7">
        <v>10.5</v>
      </c>
      <c r="F2" s="6">
        <v>1</v>
      </c>
      <c r="G2" s="6">
        <v>1</v>
      </c>
      <c r="H2" s="6">
        <f t="shared" ref="H2:H8" si="0">PRODUCT(G2*E2)</f>
        <v>10.5</v>
      </c>
      <c r="I2" s="6">
        <v>25000</v>
      </c>
      <c r="J2" s="6">
        <v>65000</v>
      </c>
      <c r="K2" s="14"/>
      <c r="L2" s="14"/>
      <c r="M2" s="14"/>
      <c r="N2" s="14"/>
      <c r="O2" s="14"/>
      <c r="P2" s="14"/>
    </row>
    <row r="3" ht="20" customHeight="1" spans="1:16">
      <c r="A3" s="6">
        <v>2</v>
      </c>
      <c r="B3" s="6" t="s">
        <v>14</v>
      </c>
      <c r="C3" s="6" t="s">
        <v>15</v>
      </c>
      <c r="D3" s="6" t="s">
        <v>13</v>
      </c>
      <c r="E3" s="7">
        <v>23.6</v>
      </c>
      <c r="F3" s="6">
        <v>1</v>
      </c>
      <c r="G3" s="6">
        <v>1</v>
      </c>
      <c r="H3" s="6">
        <f t="shared" si="0"/>
        <v>23.6</v>
      </c>
      <c r="I3" s="6">
        <v>40000</v>
      </c>
      <c r="J3" s="6">
        <v>95000</v>
      </c>
      <c r="K3" s="14"/>
      <c r="L3" s="14"/>
      <c r="M3" s="14"/>
      <c r="N3" s="14"/>
      <c r="O3" s="14"/>
      <c r="P3" s="14"/>
    </row>
    <row r="4" ht="20" customHeight="1" spans="1:16">
      <c r="A4" s="6">
        <v>3</v>
      </c>
      <c r="B4" s="6" t="s">
        <v>16</v>
      </c>
      <c r="C4" s="6" t="s">
        <v>17</v>
      </c>
      <c r="D4" s="6" t="s">
        <v>13</v>
      </c>
      <c r="E4" s="7">
        <v>22</v>
      </c>
      <c r="F4" s="6">
        <v>3</v>
      </c>
      <c r="G4" s="6">
        <v>3</v>
      </c>
      <c r="H4" s="6">
        <f t="shared" si="0"/>
        <v>66</v>
      </c>
      <c r="I4" s="6">
        <v>40000</v>
      </c>
      <c r="J4" s="6">
        <v>95000</v>
      </c>
      <c r="K4" s="14"/>
      <c r="L4" s="14"/>
      <c r="M4" s="14"/>
      <c r="N4" s="14"/>
      <c r="O4" s="14"/>
      <c r="P4" s="14"/>
    </row>
    <row r="5" ht="20" customHeight="1" spans="1:16">
      <c r="A5" s="6">
        <v>4</v>
      </c>
      <c r="B5" s="6" t="s">
        <v>18</v>
      </c>
      <c r="C5" s="6" t="s">
        <v>19</v>
      </c>
      <c r="D5" s="6" t="s">
        <v>13</v>
      </c>
      <c r="E5" s="7">
        <v>26</v>
      </c>
      <c r="F5" s="6">
        <v>1</v>
      </c>
      <c r="G5" s="6">
        <v>1</v>
      </c>
      <c r="H5" s="6">
        <f t="shared" si="0"/>
        <v>26</v>
      </c>
      <c r="I5" s="6">
        <v>40000</v>
      </c>
      <c r="J5" s="6">
        <v>95000</v>
      </c>
      <c r="K5" s="14"/>
      <c r="L5" s="14"/>
      <c r="M5" s="14"/>
      <c r="N5" s="14"/>
      <c r="O5" s="14"/>
      <c r="P5" s="14"/>
    </row>
    <row r="6" ht="20" customHeight="1" spans="1:16">
      <c r="A6" s="6">
        <v>5</v>
      </c>
      <c r="B6" s="6" t="s">
        <v>20</v>
      </c>
      <c r="C6" s="6" t="s">
        <v>21</v>
      </c>
      <c r="D6" s="6" t="s">
        <v>22</v>
      </c>
      <c r="E6" s="7">
        <v>46</v>
      </c>
      <c r="F6" s="6">
        <v>2</v>
      </c>
      <c r="G6" s="6">
        <v>2</v>
      </c>
      <c r="H6" s="6">
        <f t="shared" si="0"/>
        <v>92</v>
      </c>
      <c r="I6" s="6">
        <v>55000</v>
      </c>
      <c r="J6" s="6">
        <v>140000</v>
      </c>
      <c r="K6" s="14"/>
      <c r="L6" s="14"/>
      <c r="M6" s="14"/>
      <c r="N6" s="14"/>
      <c r="O6" s="14"/>
      <c r="P6" s="14"/>
    </row>
    <row r="7" s="1" customFormat="1" ht="20" customHeight="1" spans="1:16">
      <c r="A7" s="6">
        <v>6</v>
      </c>
      <c r="B7" s="10" t="s">
        <v>23</v>
      </c>
      <c r="C7" s="10" t="s">
        <v>24</v>
      </c>
      <c r="D7" s="10" t="s">
        <v>22</v>
      </c>
      <c r="E7" s="11">
        <v>46</v>
      </c>
      <c r="F7" s="10">
        <v>0</v>
      </c>
      <c r="G7" s="10">
        <v>9</v>
      </c>
      <c r="H7" s="10">
        <f t="shared" si="0"/>
        <v>414</v>
      </c>
      <c r="I7" s="6">
        <v>55000</v>
      </c>
      <c r="J7" s="10">
        <v>140000</v>
      </c>
      <c r="K7" s="15"/>
      <c r="L7" s="15"/>
      <c r="M7" s="15"/>
      <c r="N7" s="15"/>
      <c r="O7" s="15"/>
      <c r="P7" s="15"/>
    </row>
    <row r="8" s="1" customFormat="1" ht="20" customHeight="1" spans="1:16">
      <c r="A8" s="6">
        <v>7</v>
      </c>
      <c r="B8" s="10" t="s">
        <v>23</v>
      </c>
      <c r="C8" s="10" t="s">
        <v>25</v>
      </c>
      <c r="D8" s="10" t="s">
        <v>13</v>
      </c>
      <c r="E8" s="11">
        <v>46</v>
      </c>
      <c r="F8" s="10">
        <v>0</v>
      </c>
      <c r="G8" s="10">
        <v>1</v>
      </c>
      <c r="H8" s="10">
        <f t="shared" si="0"/>
        <v>46</v>
      </c>
      <c r="I8" s="6">
        <v>55000</v>
      </c>
      <c r="J8" s="10">
        <v>140000</v>
      </c>
      <c r="K8" s="15"/>
      <c r="L8" s="15"/>
      <c r="M8" s="15"/>
      <c r="N8" s="15"/>
      <c r="O8" s="15"/>
      <c r="P8" s="15"/>
    </row>
    <row r="9" ht="20" customHeight="1" spans="1:16">
      <c r="A9" s="6">
        <v>8</v>
      </c>
      <c r="B9" s="6" t="s">
        <v>26</v>
      </c>
      <c r="C9" s="6" t="s">
        <v>27</v>
      </c>
      <c r="D9" s="6" t="s">
        <v>28</v>
      </c>
      <c r="E9" s="7">
        <v>3.8</v>
      </c>
      <c r="F9" s="6">
        <v>1</v>
      </c>
      <c r="G9" s="6">
        <v>1</v>
      </c>
      <c r="H9" s="6">
        <f t="shared" ref="H9:H66" si="1">PRODUCT(G9*E9)</f>
        <v>3.8</v>
      </c>
      <c r="I9" s="6">
        <v>20000</v>
      </c>
      <c r="J9" s="6">
        <v>65000</v>
      </c>
      <c r="K9" s="14"/>
      <c r="L9" s="14"/>
      <c r="M9" s="14"/>
      <c r="N9" s="14"/>
      <c r="O9" s="14"/>
      <c r="P9" s="14"/>
    </row>
    <row r="10" ht="20" customHeight="1" spans="1:16">
      <c r="A10" s="6">
        <v>9</v>
      </c>
      <c r="B10" s="6" t="s">
        <v>29</v>
      </c>
      <c r="C10" s="6" t="s">
        <v>30</v>
      </c>
      <c r="D10" s="6" t="s">
        <v>13</v>
      </c>
      <c r="E10" s="7">
        <v>5.5</v>
      </c>
      <c r="F10" s="6">
        <v>1</v>
      </c>
      <c r="G10" s="6">
        <v>1</v>
      </c>
      <c r="H10" s="6">
        <f t="shared" si="1"/>
        <v>5.5</v>
      </c>
      <c r="I10" s="6">
        <v>15000</v>
      </c>
      <c r="J10" s="6">
        <v>30000</v>
      </c>
      <c r="K10" s="14"/>
      <c r="L10" s="14"/>
      <c r="M10" s="14"/>
      <c r="N10" s="14"/>
      <c r="O10" s="14"/>
      <c r="P10" s="14"/>
    </row>
    <row r="11" ht="20" customHeight="1" spans="1:16">
      <c r="A11" s="6">
        <v>10</v>
      </c>
      <c r="B11" s="6" t="s">
        <v>31</v>
      </c>
      <c r="C11" s="6" t="s">
        <v>30</v>
      </c>
      <c r="D11" s="6" t="s">
        <v>28</v>
      </c>
      <c r="E11" s="7">
        <v>5.5</v>
      </c>
      <c r="F11" s="6">
        <v>62</v>
      </c>
      <c r="G11" s="6">
        <v>62</v>
      </c>
      <c r="H11" s="6">
        <f t="shared" si="1"/>
        <v>341</v>
      </c>
      <c r="I11" s="6">
        <v>15000</v>
      </c>
      <c r="J11" s="6">
        <v>30000</v>
      </c>
      <c r="K11" s="14"/>
      <c r="L11" s="14"/>
      <c r="M11" s="14"/>
      <c r="N11" s="14"/>
      <c r="O11" s="14"/>
      <c r="P11" s="14"/>
    </row>
    <row r="12" ht="20" customHeight="1" spans="1:16">
      <c r="A12" s="6">
        <v>11</v>
      </c>
      <c r="B12" s="6" t="s">
        <v>32</v>
      </c>
      <c r="C12" s="6" t="s">
        <v>33</v>
      </c>
      <c r="D12" s="6" t="s">
        <v>28</v>
      </c>
      <c r="E12" s="7">
        <v>1.3</v>
      </c>
      <c r="F12" s="6">
        <v>4</v>
      </c>
      <c r="G12" s="6">
        <v>4</v>
      </c>
      <c r="H12" s="6">
        <f t="shared" si="1"/>
        <v>5.2</v>
      </c>
      <c r="I12" s="6">
        <v>15000</v>
      </c>
      <c r="J12" s="6">
        <v>40000</v>
      </c>
      <c r="K12" s="14"/>
      <c r="L12" s="14"/>
      <c r="M12" s="14"/>
      <c r="N12" s="14"/>
      <c r="O12" s="14"/>
      <c r="P12" s="14"/>
    </row>
    <row r="13" ht="20" customHeight="1" spans="1:16">
      <c r="A13" s="6">
        <v>12</v>
      </c>
      <c r="B13" s="6" t="s">
        <v>34</v>
      </c>
      <c r="C13" s="6" t="s">
        <v>35</v>
      </c>
      <c r="D13" s="6" t="s">
        <v>28</v>
      </c>
      <c r="E13" s="7">
        <v>1.52</v>
      </c>
      <c r="F13" s="6">
        <v>1</v>
      </c>
      <c r="G13" s="6">
        <v>1</v>
      </c>
      <c r="H13" s="6">
        <f t="shared" si="1"/>
        <v>1.52</v>
      </c>
      <c r="I13" s="6">
        <v>20000</v>
      </c>
      <c r="J13" s="6">
        <v>45000</v>
      </c>
      <c r="K13" s="14"/>
      <c r="L13" s="14"/>
      <c r="M13" s="14"/>
      <c r="N13" s="14"/>
      <c r="O13" s="14"/>
      <c r="P13" s="14"/>
    </row>
    <row r="14" ht="20" customHeight="1" spans="1:16">
      <c r="A14" s="6">
        <v>13</v>
      </c>
      <c r="B14" s="6" t="s">
        <v>36</v>
      </c>
      <c r="C14" s="6" t="s">
        <v>37</v>
      </c>
      <c r="D14" s="6" t="s">
        <v>28</v>
      </c>
      <c r="E14" s="7">
        <v>3.5</v>
      </c>
      <c r="F14" s="6">
        <v>5</v>
      </c>
      <c r="G14" s="6">
        <v>5</v>
      </c>
      <c r="H14" s="6">
        <f t="shared" si="1"/>
        <v>17.5</v>
      </c>
      <c r="I14" s="6" t="s">
        <v>38</v>
      </c>
      <c r="J14" s="6" t="s">
        <v>39</v>
      </c>
      <c r="K14" s="14"/>
      <c r="L14" s="14"/>
      <c r="M14" s="14"/>
      <c r="N14" s="14"/>
      <c r="O14" s="14"/>
      <c r="P14" s="14"/>
    </row>
    <row r="15" ht="20" customHeight="1" spans="1:16">
      <c r="A15" s="6">
        <v>14</v>
      </c>
      <c r="B15" s="6" t="s">
        <v>40</v>
      </c>
      <c r="C15" s="6" t="s">
        <v>41</v>
      </c>
      <c r="D15" s="6" t="s">
        <v>28</v>
      </c>
      <c r="E15" s="7">
        <v>9.7</v>
      </c>
      <c r="F15" s="6">
        <v>1</v>
      </c>
      <c r="G15" s="6">
        <v>1</v>
      </c>
      <c r="H15" s="6">
        <f t="shared" si="1"/>
        <v>9.7</v>
      </c>
      <c r="I15" s="6" t="s">
        <v>42</v>
      </c>
      <c r="J15" s="6" t="s">
        <v>43</v>
      </c>
      <c r="K15" s="14"/>
      <c r="L15" s="14"/>
      <c r="M15" s="14"/>
      <c r="N15" s="14"/>
      <c r="O15" s="14"/>
      <c r="P15" s="14"/>
    </row>
    <row r="16" ht="20" customHeight="1" spans="1:16">
      <c r="A16" s="6">
        <v>15</v>
      </c>
      <c r="B16" s="6" t="s">
        <v>44</v>
      </c>
      <c r="C16" s="6" t="s">
        <v>45</v>
      </c>
      <c r="D16" s="6" t="s">
        <v>28</v>
      </c>
      <c r="E16" s="7">
        <v>1.8</v>
      </c>
      <c r="F16" s="6">
        <v>2</v>
      </c>
      <c r="G16" s="6">
        <v>2</v>
      </c>
      <c r="H16" s="6">
        <f t="shared" si="1"/>
        <v>3.6</v>
      </c>
      <c r="I16" s="6">
        <v>10000</v>
      </c>
      <c r="J16" s="6">
        <v>25000</v>
      </c>
      <c r="K16" s="14"/>
      <c r="L16" s="14"/>
      <c r="M16" s="14"/>
      <c r="N16" s="14"/>
      <c r="O16" s="14"/>
      <c r="P16" s="14"/>
    </row>
    <row r="17" ht="20" customHeight="1" spans="1:16">
      <c r="A17" s="6">
        <v>16</v>
      </c>
      <c r="B17" s="6" t="s">
        <v>46</v>
      </c>
      <c r="C17" s="6" t="s">
        <v>47</v>
      </c>
      <c r="D17" s="6" t="s">
        <v>28</v>
      </c>
      <c r="E17" s="7">
        <v>0.8</v>
      </c>
      <c r="F17" s="6">
        <v>1</v>
      </c>
      <c r="G17" s="6">
        <v>1</v>
      </c>
      <c r="H17" s="6">
        <f t="shared" si="1"/>
        <v>0.8</v>
      </c>
      <c r="I17" s="6">
        <v>4000</v>
      </c>
      <c r="J17" s="6">
        <v>15000</v>
      </c>
      <c r="K17" s="14"/>
      <c r="L17" s="14"/>
      <c r="M17" s="14"/>
      <c r="N17" s="14"/>
      <c r="O17" s="14"/>
      <c r="P17" s="14"/>
    </row>
    <row r="18" ht="20" customHeight="1" spans="1:16">
      <c r="A18" s="6">
        <v>17</v>
      </c>
      <c r="B18" s="6" t="s">
        <v>48</v>
      </c>
      <c r="C18" s="6" t="s">
        <v>49</v>
      </c>
      <c r="D18" s="6" t="s">
        <v>28</v>
      </c>
      <c r="E18" s="7">
        <v>0.7</v>
      </c>
      <c r="F18" s="6">
        <v>6</v>
      </c>
      <c r="G18" s="6">
        <v>6</v>
      </c>
      <c r="H18" s="6">
        <f t="shared" si="1"/>
        <v>4.2</v>
      </c>
      <c r="I18" s="6">
        <v>3000</v>
      </c>
      <c r="J18" s="6">
        <v>15000</v>
      </c>
      <c r="K18" s="14"/>
      <c r="L18" s="14"/>
      <c r="M18" s="14"/>
      <c r="N18" s="14"/>
      <c r="O18" s="14"/>
      <c r="P18" s="14"/>
    </row>
    <row r="19" ht="20" customHeight="1" spans="1:16">
      <c r="A19" s="6">
        <v>18</v>
      </c>
      <c r="B19" s="6" t="s">
        <v>50</v>
      </c>
      <c r="C19" s="6" t="s">
        <v>51</v>
      </c>
      <c r="D19" s="6" t="s">
        <v>28</v>
      </c>
      <c r="E19" s="7">
        <v>1.8</v>
      </c>
      <c r="F19" s="6">
        <v>1</v>
      </c>
      <c r="G19" s="6">
        <v>1</v>
      </c>
      <c r="H19" s="6">
        <f t="shared" si="1"/>
        <v>1.8</v>
      </c>
      <c r="I19" s="6">
        <v>4500</v>
      </c>
      <c r="J19" s="6">
        <v>22000</v>
      </c>
      <c r="K19" s="14"/>
      <c r="L19" s="14"/>
      <c r="M19" s="14"/>
      <c r="N19" s="14"/>
      <c r="O19" s="14"/>
      <c r="P19" s="14"/>
    </row>
    <row r="20" ht="20" customHeight="1" spans="1:16">
      <c r="A20" s="6">
        <v>19</v>
      </c>
      <c r="B20" s="6" t="s">
        <v>52</v>
      </c>
      <c r="C20" s="6" t="s">
        <v>53</v>
      </c>
      <c r="D20" s="6" t="s">
        <v>13</v>
      </c>
      <c r="E20" s="7">
        <v>1.9</v>
      </c>
      <c r="F20" s="6">
        <v>5</v>
      </c>
      <c r="G20" s="10">
        <v>0</v>
      </c>
      <c r="H20" s="6">
        <f t="shared" si="1"/>
        <v>0</v>
      </c>
      <c r="I20" s="6">
        <v>4000</v>
      </c>
      <c r="J20" s="6">
        <v>18000</v>
      </c>
      <c r="K20" s="14"/>
      <c r="L20" s="14"/>
      <c r="M20" s="14"/>
      <c r="N20" s="14"/>
      <c r="O20" s="14"/>
      <c r="P20" s="14"/>
    </row>
    <row r="21" ht="20" customHeight="1" spans="1:16">
      <c r="A21" s="6">
        <v>20</v>
      </c>
      <c r="B21" s="6" t="s">
        <v>54</v>
      </c>
      <c r="C21" s="6" t="s">
        <v>55</v>
      </c>
      <c r="D21" s="6" t="s">
        <v>28</v>
      </c>
      <c r="E21" s="7">
        <v>3.3</v>
      </c>
      <c r="F21" s="6">
        <v>31</v>
      </c>
      <c r="G21" s="6">
        <v>31</v>
      </c>
      <c r="H21" s="6">
        <f t="shared" si="1"/>
        <v>102.3</v>
      </c>
      <c r="I21" s="6">
        <v>6500</v>
      </c>
      <c r="J21" s="6">
        <v>22000</v>
      </c>
      <c r="K21" s="14"/>
      <c r="L21" s="14"/>
      <c r="M21" s="14"/>
      <c r="N21" s="14"/>
      <c r="O21" s="14"/>
      <c r="P21" s="14"/>
    </row>
    <row r="22" ht="20" customHeight="1" spans="1:16">
      <c r="A22" s="6">
        <v>21</v>
      </c>
      <c r="B22" s="6" t="s">
        <v>54</v>
      </c>
      <c r="C22" s="6" t="s">
        <v>56</v>
      </c>
      <c r="D22" s="6" t="s">
        <v>28</v>
      </c>
      <c r="E22" s="7">
        <v>3.3</v>
      </c>
      <c r="F22" s="6">
        <v>14</v>
      </c>
      <c r="G22" s="6">
        <v>14</v>
      </c>
      <c r="H22" s="6">
        <f t="shared" si="1"/>
        <v>46.2</v>
      </c>
      <c r="I22" s="6">
        <v>6500</v>
      </c>
      <c r="J22" s="6">
        <v>22000</v>
      </c>
      <c r="K22" s="14"/>
      <c r="L22" s="14"/>
      <c r="M22" s="14"/>
      <c r="N22" s="14"/>
      <c r="O22" s="14"/>
      <c r="P22" s="14"/>
    </row>
    <row r="23" ht="20" customHeight="1" spans="1:16">
      <c r="A23" s="6">
        <v>22</v>
      </c>
      <c r="B23" s="6" t="s">
        <v>54</v>
      </c>
      <c r="C23" s="6" t="s">
        <v>57</v>
      </c>
      <c r="D23" s="6" t="s">
        <v>28</v>
      </c>
      <c r="E23" s="7">
        <v>3.3</v>
      </c>
      <c r="F23" s="6">
        <v>1</v>
      </c>
      <c r="G23" s="6">
        <v>1</v>
      </c>
      <c r="H23" s="6">
        <f t="shared" si="1"/>
        <v>3.3</v>
      </c>
      <c r="I23" s="6">
        <v>6500</v>
      </c>
      <c r="J23" s="6">
        <v>22000</v>
      </c>
      <c r="K23" s="14"/>
      <c r="L23" s="14"/>
      <c r="M23" s="14"/>
      <c r="N23" s="14"/>
      <c r="O23" s="14"/>
      <c r="P23" s="14"/>
    </row>
    <row r="24" ht="20" customHeight="1" spans="1:16">
      <c r="A24" s="6">
        <v>23</v>
      </c>
      <c r="B24" s="6" t="s">
        <v>54</v>
      </c>
      <c r="C24" s="6" t="s">
        <v>58</v>
      </c>
      <c r="D24" s="6" t="s">
        <v>28</v>
      </c>
      <c r="E24" s="7">
        <v>3.3</v>
      </c>
      <c r="F24" s="6">
        <v>1</v>
      </c>
      <c r="G24" s="6">
        <v>1</v>
      </c>
      <c r="H24" s="6">
        <f t="shared" si="1"/>
        <v>3.3</v>
      </c>
      <c r="I24" s="6">
        <v>6500</v>
      </c>
      <c r="J24" s="6">
        <v>22000</v>
      </c>
      <c r="K24" s="14"/>
      <c r="L24" s="14"/>
      <c r="M24" s="14"/>
      <c r="N24" s="14"/>
      <c r="O24" s="14"/>
      <c r="P24" s="14"/>
    </row>
    <row r="25" ht="20" customHeight="1" spans="1:16">
      <c r="A25" s="6">
        <v>24</v>
      </c>
      <c r="B25" s="6" t="s">
        <v>59</v>
      </c>
      <c r="C25" s="6" t="s">
        <v>60</v>
      </c>
      <c r="D25" s="6" t="s">
        <v>28</v>
      </c>
      <c r="E25" s="7">
        <v>1</v>
      </c>
      <c r="F25" s="6">
        <v>8</v>
      </c>
      <c r="G25" s="6">
        <v>8</v>
      </c>
      <c r="H25" s="6">
        <f t="shared" si="1"/>
        <v>8</v>
      </c>
      <c r="I25" s="6">
        <v>3000</v>
      </c>
      <c r="J25" s="6">
        <v>12000</v>
      </c>
      <c r="K25" s="14"/>
      <c r="L25" s="14"/>
      <c r="M25" s="14"/>
      <c r="N25" s="14"/>
      <c r="O25" s="14"/>
      <c r="P25" s="14"/>
    </row>
    <row r="26" ht="20" customHeight="1" spans="1:16">
      <c r="A26" s="6">
        <v>25</v>
      </c>
      <c r="B26" s="6" t="s">
        <v>61</v>
      </c>
      <c r="C26" s="6" t="s">
        <v>62</v>
      </c>
      <c r="D26" s="6" t="s">
        <v>28</v>
      </c>
      <c r="E26" s="7">
        <v>1.3</v>
      </c>
      <c r="F26" s="6">
        <v>1</v>
      </c>
      <c r="G26" s="6">
        <v>1</v>
      </c>
      <c r="H26" s="6">
        <f t="shared" si="1"/>
        <v>1.3</v>
      </c>
      <c r="I26" s="6">
        <v>5000</v>
      </c>
      <c r="J26" s="6">
        <v>20000</v>
      </c>
      <c r="K26" s="14"/>
      <c r="L26" s="14"/>
      <c r="M26" s="14"/>
      <c r="N26" s="14"/>
      <c r="O26" s="14"/>
      <c r="P26" s="14"/>
    </row>
    <row r="27" s="13" customFormat="1" ht="20" customHeight="1" spans="1:16">
      <c r="A27" s="6">
        <v>26</v>
      </c>
      <c r="B27" s="16" t="s">
        <v>63</v>
      </c>
      <c r="C27" s="16" t="s">
        <v>64</v>
      </c>
      <c r="D27" s="16" t="s">
        <v>22</v>
      </c>
      <c r="E27" s="17">
        <v>0.9</v>
      </c>
      <c r="F27" s="16">
        <v>1</v>
      </c>
      <c r="G27" s="16">
        <v>1</v>
      </c>
      <c r="H27" s="16">
        <f t="shared" si="1"/>
        <v>0.9</v>
      </c>
      <c r="I27" s="16">
        <v>6500</v>
      </c>
      <c r="J27" s="16">
        <v>24000</v>
      </c>
      <c r="K27" s="18"/>
      <c r="L27" s="18"/>
      <c r="M27" s="18"/>
      <c r="N27" s="18"/>
      <c r="O27" s="18"/>
      <c r="P27" s="18"/>
    </row>
    <row r="28" ht="20" customHeight="1" spans="1:16">
      <c r="A28" s="6">
        <v>27</v>
      </c>
      <c r="B28" s="6" t="s">
        <v>65</v>
      </c>
      <c r="C28" s="6" t="s">
        <v>66</v>
      </c>
      <c r="D28" s="6" t="s">
        <v>28</v>
      </c>
      <c r="E28" s="7">
        <v>2.9</v>
      </c>
      <c r="F28" s="6">
        <v>1</v>
      </c>
      <c r="G28" s="6">
        <v>1</v>
      </c>
      <c r="H28" s="6">
        <f t="shared" si="1"/>
        <v>2.9</v>
      </c>
      <c r="I28" s="6">
        <v>5000</v>
      </c>
      <c r="J28" s="6">
        <v>20000</v>
      </c>
      <c r="K28" s="14"/>
      <c r="L28" s="14"/>
      <c r="M28" s="14"/>
      <c r="N28" s="14"/>
      <c r="O28" s="14"/>
      <c r="P28" s="14"/>
    </row>
    <row r="29" ht="20" customHeight="1" spans="1:16">
      <c r="A29" s="6">
        <v>28</v>
      </c>
      <c r="B29" s="6" t="s">
        <v>67</v>
      </c>
      <c r="C29" s="6" t="s">
        <v>68</v>
      </c>
      <c r="D29" s="6" t="s">
        <v>69</v>
      </c>
      <c r="E29" s="7">
        <v>7.5</v>
      </c>
      <c r="F29" s="6">
        <v>1</v>
      </c>
      <c r="G29" s="6">
        <v>1</v>
      </c>
      <c r="H29" s="6">
        <f t="shared" si="1"/>
        <v>7.5</v>
      </c>
      <c r="I29" s="6">
        <v>15000</v>
      </c>
      <c r="J29" s="6">
        <v>45000</v>
      </c>
      <c r="K29" s="14"/>
      <c r="L29" s="14"/>
      <c r="M29" s="14"/>
      <c r="N29" s="14"/>
      <c r="O29" s="14"/>
      <c r="P29" s="14"/>
    </row>
    <row r="30" ht="20" customHeight="1" spans="1:16">
      <c r="A30" s="6">
        <v>29</v>
      </c>
      <c r="B30" s="6" t="s">
        <v>67</v>
      </c>
      <c r="C30" s="6" t="s">
        <v>70</v>
      </c>
      <c r="D30" s="6" t="s">
        <v>28</v>
      </c>
      <c r="E30" s="7">
        <v>7.5</v>
      </c>
      <c r="F30" s="6">
        <v>1</v>
      </c>
      <c r="G30" s="6">
        <v>1</v>
      </c>
      <c r="H30" s="6">
        <f t="shared" si="1"/>
        <v>7.5</v>
      </c>
      <c r="I30" s="6">
        <v>15000</v>
      </c>
      <c r="J30" s="6">
        <v>45000</v>
      </c>
      <c r="K30" s="14"/>
      <c r="L30" s="14"/>
      <c r="M30" s="14"/>
      <c r="N30" s="14"/>
      <c r="O30" s="14"/>
      <c r="P30" s="14"/>
    </row>
    <row r="31" ht="79" customHeight="1" spans="1:16">
      <c r="A31" s="6">
        <v>30</v>
      </c>
      <c r="B31" s="6" t="s">
        <v>71</v>
      </c>
      <c r="C31" s="6" t="s">
        <v>72</v>
      </c>
      <c r="D31" s="6" t="s">
        <v>73</v>
      </c>
      <c r="E31" s="7">
        <v>0.7</v>
      </c>
      <c r="F31" s="6">
        <v>95</v>
      </c>
      <c r="G31" s="10">
        <v>124</v>
      </c>
      <c r="H31" s="6">
        <v>0</v>
      </c>
      <c r="I31" s="6" t="s">
        <v>74</v>
      </c>
      <c r="J31" s="6" t="s">
        <v>75</v>
      </c>
      <c r="K31" s="14" t="s">
        <v>76</v>
      </c>
      <c r="L31" s="14"/>
      <c r="M31" s="14"/>
      <c r="N31" s="14"/>
      <c r="O31" s="14"/>
      <c r="P31" s="14"/>
    </row>
    <row r="32" ht="32" customHeight="1" spans="1:16">
      <c r="A32" s="6">
        <v>31</v>
      </c>
      <c r="B32" s="8" t="s">
        <v>77</v>
      </c>
      <c r="C32" s="8" t="s">
        <v>78</v>
      </c>
      <c r="D32" s="8" t="s">
        <v>79</v>
      </c>
      <c r="E32" s="9">
        <v>27</v>
      </c>
      <c r="F32" s="8">
        <v>9</v>
      </c>
      <c r="G32" s="8">
        <v>9</v>
      </c>
      <c r="H32" s="8">
        <f t="shared" si="1"/>
        <v>243</v>
      </c>
      <c r="I32" s="8">
        <v>35000</v>
      </c>
      <c r="J32" s="8" t="s">
        <v>80</v>
      </c>
      <c r="K32" s="14" t="s">
        <v>81</v>
      </c>
      <c r="L32" s="14"/>
      <c r="M32" s="14"/>
      <c r="N32" s="14"/>
      <c r="O32" s="14"/>
      <c r="P32" s="14"/>
    </row>
    <row r="33" ht="20" customHeight="1" spans="1:16">
      <c r="A33" s="6">
        <v>32</v>
      </c>
      <c r="B33" s="6" t="s">
        <v>82</v>
      </c>
      <c r="C33" s="6" t="s">
        <v>83</v>
      </c>
      <c r="D33" s="6" t="s">
        <v>79</v>
      </c>
      <c r="E33" s="7">
        <v>11.6</v>
      </c>
      <c r="F33" s="6">
        <v>1</v>
      </c>
      <c r="G33" s="6">
        <v>1</v>
      </c>
      <c r="H33" s="6">
        <f t="shared" si="1"/>
        <v>11.6</v>
      </c>
      <c r="I33" s="6">
        <v>25000</v>
      </c>
      <c r="J33" s="6">
        <v>55000</v>
      </c>
      <c r="K33" s="14"/>
      <c r="L33" s="14"/>
      <c r="M33" s="14"/>
      <c r="N33" s="14"/>
      <c r="O33" s="14"/>
      <c r="P33" s="14"/>
    </row>
    <row r="34" ht="33" customHeight="1" spans="1:16">
      <c r="A34" s="6">
        <v>33</v>
      </c>
      <c r="B34" s="6" t="s">
        <v>84</v>
      </c>
      <c r="C34" s="6" t="s">
        <v>85</v>
      </c>
      <c r="D34" s="6" t="s">
        <v>22</v>
      </c>
      <c r="E34" s="7">
        <v>0.6</v>
      </c>
      <c r="F34" s="6">
        <v>2</v>
      </c>
      <c r="G34" s="6">
        <v>2</v>
      </c>
      <c r="H34" s="6">
        <f t="shared" si="1"/>
        <v>1.2</v>
      </c>
      <c r="I34" s="6">
        <v>1500</v>
      </c>
      <c r="J34" s="6">
        <v>4500</v>
      </c>
      <c r="K34" s="14"/>
      <c r="L34" s="14"/>
      <c r="M34" s="14"/>
      <c r="N34" s="14"/>
      <c r="O34" s="14"/>
      <c r="P34" s="14"/>
    </row>
    <row r="35" ht="33" customHeight="1" spans="1:16">
      <c r="A35" s="6">
        <v>34</v>
      </c>
      <c r="B35" s="6" t="s">
        <v>86</v>
      </c>
      <c r="C35" s="6" t="s">
        <v>87</v>
      </c>
      <c r="D35" s="6" t="s">
        <v>28</v>
      </c>
      <c r="E35" s="7">
        <v>3.5</v>
      </c>
      <c r="F35" s="6">
        <v>1</v>
      </c>
      <c r="G35" s="6">
        <v>1</v>
      </c>
      <c r="H35" s="6">
        <f t="shared" si="1"/>
        <v>3.5</v>
      </c>
      <c r="I35" s="6">
        <v>20000</v>
      </c>
      <c r="J35" s="6">
        <v>55000</v>
      </c>
      <c r="K35" s="14"/>
      <c r="L35" s="14"/>
      <c r="M35" s="14"/>
      <c r="N35" s="14"/>
      <c r="O35" s="14"/>
      <c r="P35" s="14"/>
    </row>
    <row r="36" ht="31" customHeight="1" spans="1:16">
      <c r="A36" s="6">
        <v>35</v>
      </c>
      <c r="B36" s="6" t="s">
        <v>88</v>
      </c>
      <c r="C36" s="6" t="s">
        <v>89</v>
      </c>
      <c r="D36" s="6" t="s">
        <v>28</v>
      </c>
      <c r="E36" s="7">
        <v>0.77</v>
      </c>
      <c r="F36" s="6">
        <v>1</v>
      </c>
      <c r="G36" s="6">
        <v>1</v>
      </c>
      <c r="H36" s="6">
        <f t="shared" si="1"/>
        <v>0.77</v>
      </c>
      <c r="I36" s="6">
        <v>3500</v>
      </c>
      <c r="J36" s="6">
        <v>15000</v>
      </c>
      <c r="K36" s="14"/>
      <c r="L36" s="14"/>
      <c r="M36" s="14"/>
      <c r="N36" s="14"/>
      <c r="O36" s="14"/>
      <c r="P36" s="14"/>
    </row>
    <row r="37" ht="31" customHeight="1" spans="1:16">
      <c r="A37" s="6">
        <v>36</v>
      </c>
      <c r="B37" s="6" t="s">
        <v>90</v>
      </c>
      <c r="C37" s="6" t="s">
        <v>91</v>
      </c>
      <c r="D37" s="6" t="s">
        <v>28</v>
      </c>
      <c r="E37" s="7">
        <v>1.24</v>
      </c>
      <c r="F37" s="6">
        <v>1</v>
      </c>
      <c r="G37" s="6">
        <v>1</v>
      </c>
      <c r="H37" s="6">
        <f t="shared" si="1"/>
        <v>1.24</v>
      </c>
      <c r="I37" s="6">
        <v>3500</v>
      </c>
      <c r="J37" s="6">
        <v>15000</v>
      </c>
      <c r="K37" s="14"/>
      <c r="L37" s="14"/>
      <c r="M37" s="14"/>
      <c r="N37" s="14"/>
      <c r="O37" s="14"/>
      <c r="P37" s="14"/>
    </row>
    <row r="38" ht="20" customHeight="1" spans="1:16">
      <c r="A38" s="6">
        <v>37</v>
      </c>
      <c r="B38" s="6" t="s">
        <v>92</v>
      </c>
      <c r="C38" s="10" t="s">
        <v>93</v>
      </c>
      <c r="D38" s="6" t="s">
        <v>22</v>
      </c>
      <c r="E38" s="7">
        <v>5.6</v>
      </c>
      <c r="F38" s="6">
        <v>7</v>
      </c>
      <c r="G38" s="6">
        <v>7</v>
      </c>
      <c r="H38" s="6">
        <f t="shared" si="1"/>
        <v>39.2</v>
      </c>
      <c r="I38" s="6">
        <v>25000</v>
      </c>
      <c r="J38" s="6" t="s">
        <v>94</v>
      </c>
      <c r="K38" s="14"/>
      <c r="L38" s="14"/>
      <c r="M38" s="14"/>
      <c r="N38" s="14"/>
      <c r="O38" s="14"/>
      <c r="P38" s="14"/>
    </row>
    <row r="39" ht="20" customHeight="1" spans="1:16">
      <c r="A39" s="6">
        <v>38</v>
      </c>
      <c r="B39" s="6" t="s">
        <v>95</v>
      </c>
      <c r="C39" s="6" t="s">
        <v>96</v>
      </c>
      <c r="D39" s="6" t="s">
        <v>13</v>
      </c>
      <c r="E39" s="7">
        <v>8.8</v>
      </c>
      <c r="F39" s="6">
        <v>8</v>
      </c>
      <c r="G39" s="6">
        <v>8</v>
      </c>
      <c r="H39" s="6">
        <f t="shared" si="1"/>
        <v>70.4</v>
      </c>
      <c r="I39" s="6">
        <v>30000</v>
      </c>
      <c r="J39" s="6" t="s">
        <v>97</v>
      </c>
      <c r="K39" s="14"/>
      <c r="L39" s="14"/>
      <c r="M39" s="14"/>
      <c r="N39" s="14"/>
      <c r="O39" s="14"/>
      <c r="P39" s="14"/>
    </row>
    <row r="40" ht="20" customHeight="1" spans="1:16">
      <c r="A40" s="6">
        <v>39</v>
      </c>
      <c r="B40" s="6" t="s">
        <v>98</v>
      </c>
      <c r="C40" s="6" t="s">
        <v>99</v>
      </c>
      <c r="D40" s="6" t="s">
        <v>100</v>
      </c>
      <c r="E40" s="17">
        <v>32.6</v>
      </c>
      <c r="F40" s="6">
        <v>1</v>
      </c>
      <c r="G40" s="6">
        <v>1</v>
      </c>
      <c r="H40" s="6">
        <f t="shared" si="1"/>
        <v>32.6</v>
      </c>
      <c r="I40" s="6" t="s">
        <v>101</v>
      </c>
      <c r="J40" s="6" t="s">
        <v>102</v>
      </c>
      <c r="K40" s="14"/>
      <c r="L40" s="14"/>
      <c r="M40" s="14"/>
      <c r="N40" s="14"/>
      <c r="O40" s="14"/>
      <c r="P40" s="14"/>
    </row>
    <row r="41" ht="20" customHeight="1" spans="1:16">
      <c r="A41" s="6">
        <v>40</v>
      </c>
      <c r="B41" s="6" t="s">
        <v>103</v>
      </c>
      <c r="C41" s="6"/>
      <c r="D41" s="6" t="s">
        <v>13</v>
      </c>
      <c r="E41" s="6">
        <v>41</v>
      </c>
      <c r="F41" s="6">
        <v>3</v>
      </c>
      <c r="G41" s="10">
        <v>5</v>
      </c>
      <c r="H41" s="6">
        <f t="shared" si="1"/>
        <v>205</v>
      </c>
      <c r="I41" s="6" t="s">
        <v>104</v>
      </c>
      <c r="J41" s="6" t="s">
        <v>105</v>
      </c>
      <c r="K41" s="14" t="s">
        <v>106</v>
      </c>
      <c r="L41" s="14"/>
      <c r="M41" s="14"/>
      <c r="N41" s="14"/>
      <c r="O41" s="14"/>
      <c r="P41" s="14"/>
    </row>
    <row r="42" ht="20" customHeight="1" spans="1:16">
      <c r="A42" s="6">
        <v>41</v>
      </c>
      <c r="B42" s="6" t="s">
        <v>107</v>
      </c>
      <c r="C42" s="6"/>
      <c r="D42" s="6" t="s">
        <v>13</v>
      </c>
      <c r="E42" s="6">
        <v>68</v>
      </c>
      <c r="F42" s="6">
        <v>8</v>
      </c>
      <c r="G42" s="10">
        <v>12</v>
      </c>
      <c r="H42" s="6">
        <f t="shared" si="1"/>
        <v>816</v>
      </c>
      <c r="I42" s="6" t="s">
        <v>108</v>
      </c>
      <c r="J42" s="6" t="s">
        <v>109</v>
      </c>
      <c r="K42" s="14" t="s">
        <v>106</v>
      </c>
      <c r="L42" s="14"/>
      <c r="M42" s="14"/>
      <c r="N42" s="14"/>
      <c r="O42" s="14"/>
      <c r="P42" s="14"/>
    </row>
    <row r="43" ht="20" customHeight="1" spans="1:16">
      <c r="A43" s="6">
        <v>42</v>
      </c>
      <c r="B43" s="6" t="s">
        <v>110</v>
      </c>
      <c r="C43" s="6"/>
      <c r="D43" s="6" t="s">
        <v>13</v>
      </c>
      <c r="E43" s="6">
        <v>90.5</v>
      </c>
      <c r="F43" s="6">
        <v>1</v>
      </c>
      <c r="G43" s="6">
        <v>1</v>
      </c>
      <c r="H43" s="6">
        <f t="shared" si="1"/>
        <v>90.5</v>
      </c>
      <c r="I43" s="6">
        <v>80000</v>
      </c>
      <c r="J43" s="6">
        <v>180000</v>
      </c>
      <c r="K43" s="14"/>
      <c r="L43" s="14"/>
      <c r="M43" s="14"/>
      <c r="N43" s="14"/>
      <c r="O43" s="14"/>
      <c r="P43" s="14"/>
    </row>
    <row r="44" ht="20" customHeight="1" spans="1:16">
      <c r="A44" s="6">
        <v>43</v>
      </c>
      <c r="B44" s="6" t="s">
        <v>111</v>
      </c>
      <c r="C44" s="6"/>
      <c r="D44" s="6" t="s">
        <v>13</v>
      </c>
      <c r="E44" s="6">
        <v>30</v>
      </c>
      <c r="F44" s="6">
        <v>2</v>
      </c>
      <c r="G44" s="6">
        <v>2</v>
      </c>
      <c r="H44" s="6">
        <f t="shared" si="1"/>
        <v>60</v>
      </c>
      <c r="I44" s="6">
        <v>25000</v>
      </c>
      <c r="J44" s="6" t="s">
        <v>112</v>
      </c>
      <c r="K44" s="14"/>
      <c r="L44" s="14"/>
      <c r="M44" s="14"/>
      <c r="N44" s="14"/>
      <c r="O44" s="14"/>
      <c r="P44" s="14"/>
    </row>
    <row r="45" ht="20" customHeight="1" spans="1:16">
      <c r="A45" s="6">
        <v>44</v>
      </c>
      <c r="B45" s="6" t="s">
        <v>113</v>
      </c>
      <c r="C45" s="6"/>
      <c r="D45" s="6" t="s">
        <v>13</v>
      </c>
      <c r="E45" s="6">
        <v>47.6</v>
      </c>
      <c r="F45" s="6">
        <v>13</v>
      </c>
      <c r="G45" s="10">
        <v>15</v>
      </c>
      <c r="H45" s="6">
        <f t="shared" si="1"/>
        <v>714</v>
      </c>
      <c r="I45" s="6">
        <v>35000</v>
      </c>
      <c r="J45" s="6" t="s">
        <v>114</v>
      </c>
      <c r="K45" s="14" t="s">
        <v>106</v>
      </c>
      <c r="L45" s="14"/>
      <c r="M45" s="14"/>
      <c r="N45" s="14"/>
      <c r="O45" s="14"/>
      <c r="P45" s="14"/>
    </row>
    <row r="46" ht="20" customHeight="1" spans="1:16">
      <c r="A46" s="6">
        <v>45</v>
      </c>
      <c r="B46" s="6" t="s">
        <v>115</v>
      </c>
      <c r="C46" s="6" t="s">
        <v>116</v>
      </c>
      <c r="D46" s="6" t="s">
        <v>22</v>
      </c>
      <c r="E46" s="7">
        <v>45</v>
      </c>
      <c r="F46" s="6">
        <v>3</v>
      </c>
      <c r="G46" s="10">
        <v>0</v>
      </c>
      <c r="H46" s="6">
        <f t="shared" si="1"/>
        <v>0</v>
      </c>
      <c r="I46" s="6" t="s">
        <v>112</v>
      </c>
      <c r="J46" s="6" t="s">
        <v>117</v>
      </c>
      <c r="K46" s="14"/>
      <c r="L46" s="14"/>
      <c r="M46" s="14"/>
      <c r="N46" s="14"/>
      <c r="O46" s="14"/>
      <c r="P46" s="14"/>
    </row>
    <row r="47" ht="20" customHeight="1" spans="1:16">
      <c r="A47" s="6">
        <v>46</v>
      </c>
      <c r="B47" s="6" t="s">
        <v>118</v>
      </c>
      <c r="C47" s="6"/>
      <c r="D47" s="6"/>
      <c r="E47" s="7">
        <v>0</v>
      </c>
      <c r="F47" s="6">
        <v>4</v>
      </c>
      <c r="G47" s="10">
        <v>0</v>
      </c>
      <c r="H47" s="6">
        <f t="shared" si="1"/>
        <v>0</v>
      </c>
      <c r="I47" s="6">
        <v>4000</v>
      </c>
      <c r="J47" s="6">
        <v>16000</v>
      </c>
      <c r="K47" s="14"/>
      <c r="L47" s="14"/>
      <c r="M47" s="14"/>
      <c r="N47" s="14"/>
      <c r="O47" s="14"/>
      <c r="P47" s="14"/>
    </row>
    <row r="48" ht="20" customHeight="1" spans="1:16">
      <c r="A48" s="6">
        <v>47</v>
      </c>
      <c r="B48" s="6" t="s">
        <v>119</v>
      </c>
      <c r="C48" s="6" t="s">
        <v>120</v>
      </c>
      <c r="D48" s="6" t="s">
        <v>22</v>
      </c>
      <c r="E48" s="7">
        <v>1.8</v>
      </c>
      <c r="F48" s="6">
        <v>36</v>
      </c>
      <c r="G48" s="10">
        <v>40</v>
      </c>
      <c r="H48" s="6">
        <v>0</v>
      </c>
      <c r="I48" s="6">
        <v>6000</v>
      </c>
      <c r="J48" s="6" t="s">
        <v>121</v>
      </c>
      <c r="K48" s="14" t="s">
        <v>76</v>
      </c>
      <c r="L48" s="14"/>
      <c r="M48" s="14"/>
      <c r="N48" s="14"/>
      <c r="O48" s="14"/>
      <c r="P48" s="14"/>
    </row>
    <row r="49" ht="20" customHeight="1" spans="1:16">
      <c r="A49" s="6">
        <v>48</v>
      </c>
      <c r="B49" s="6" t="s">
        <v>122</v>
      </c>
      <c r="C49" s="6" t="s">
        <v>123</v>
      </c>
      <c r="D49" s="6" t="s">
        <v>73</v>
      </c>
      <c r="E49" s="7">
        <v>4.1</v>
      </c>
      <c r="F49" s="6">
        <v>2</v>
      </c>
      <c r="G49" s="6">
        <v>2</v>
      </c>
      <c r="H49" s="6">
        <f t="shared" si="1"/>
        <v>8.2</v>
      </c>
      <c r="I49" s="6">
        <v>6500</v>
      </c>
      <c r="J49" s="6">
        <v>24000</v>
      </c>
      <c r="K49" s="14"/>
      <c r="L49" s="14"/>
      <c r="M49" s="14"/>
      <c r="N49" s="14"/>
      <c r="O49" s="14"/>
      <c r="P49" s="14"/>
    </row>
    <row r="50" ht="20" customHeight="1" spans="1:16">
      <c r="A50" s="6">
        <v>49</v>
      </c>
      <c r="B50" s="10" t="s">
        <v>122</v>
      </c>
      <c r="C50" s="10" t="s">
        <v>123</v>
      </c>
      <c r="D50" s="10" t="s">
        <v>22</v>
      </c>
      <c r="E50" s="11">
        <v>4.1</v>
      </c>
      <c r="F50" s="10">
        <v>0</v>
      </c>
      <c r="G50" s="10">
        <v>1</v>
      </c>
      <c r="H50" s="10">
        <f t="shared" si="1"/>
        <v>4.1</v>
      </c>
      <c r="I50" s="10"/>
      <c r="J50" s="10"/>
      <c r="K50" s="14"/>
      <c r="L50" s="14"/>
      <c r="M50" s="14"/>
      <c r="N50" s="14"/>
      <c r="O50" s="14"/>
      <c r="P50" s="14"/>
    </row>
    <row r="51" ht="20" customHeight="1" spans="1:16">
      <c r="A51" s="6">
        <v>50</v>
      </c>
      <c r="B51" s="6" t="s">
        <v>124</v>
      </c>
      <c r="C51" s="6" t="s">
        <v>125</v>
      </c>
      <c r="D51" s="6" t="s">
        <v>28</v>
      </c>
      <c r="E51" s="7">
        <v>2.8</v>
      </c>
      <c r="F51" s="6">
        <v>7</v>
      </c>
      <c r="G51" s="6">
        <v>7</v>
      </c>
      <c r="H51" s="6">
        <f t="shared" si="1"/>
        <v>19.6</v>
      </c>
      <c r="I51" s="6">
        <v>5000</v>
      </c>
      <c r="J51" s="6">
        <v>20000</v>
      </c>
      <c r="K51" s="14"/>
      <c r="L51" s="14"/>
      <c r="M51" s="14"/>
      <c r="N51" s="14"/>
      <c r="O51" s="14"/>
      <c r="P51" s="14"/>
    </row>
    <row r="52" ht="20" customHeight="1" spans="1:16">
      <c r="A52" s="6">
        <v>51</v>
      </c>
      <c r="B52" s="6" t="s">
        <v>126</v>
      </c>
      <c r="C52" s="6" t="s">
        <v>127</v>
      </c>
      <c r="D52" s="6" t="s">
        <v>22</v>
      </c>
      <c r="E52" s="7">
        <v>1.2</v>
      </c>
      <c r="F52" s="6">
        <v>3</v>
      </c>
      <c r="G52" s="10">
        <v>6</v>
      </c>
      <c r="H52" s="6">
        <f t="shared" si="1"/>
        <v>7.2</v>
      </c>
      <c r="I52" s="6">
        <v>5000</v>
      </c>
      <c r="J52" s="6">
        <v>20000</v>
      </c>
      <c r="K52" s="14"/>
      <c r="L52" s="14"/>
      <c r="M52" s="14"/>
      <c r="N52" s="14"/>
      <c r="O52" s="14"/>
      <c r="P52" s="14"/>
    </row>
    <row r="53" s="1" customFormat="1" ht="20" customHeight="1" spans="1:16">
      <c r="A53" s="6">
        <v>52</v>
      </c>
      <c r="B53" s="10" t="s">
        <v>128</v>
      </c>
      <c r="C53" s="10" t="s">
        <v>129</v>
      </c>
      <c r="D53" s="10" t="s">
        <v>22</v>
      </c>
      <c r="E53" s="11">
        <v>11.2</v>
      </c>
      <c r="F53" s="10">
        <v>0</v>
      </c>
      <c r="G53" s="10">
        <v>1</v>
      </c>
      <c r="H53" s="6">
        <f t="shared" si="1"/>
        <v>11.2</v>
      </c>
      <c r="I53" s="10"/>
      <c r="J53" s="10"/>
      <c r="K53" s="15"/>
      <c r="L53" s="15"/>
      <c r="M53" s="15"/>
      <c r="N53" s="15"/>
      <c r="O53" s="15"/>
      <c r="P53" s="15"/>
    </row>
    <row r="54" ht="20" customHeight="1" spans="1:16">
      <c r="A54" s="6">
        <v>53</v>
      </c>
      <c r="B54" s="6" t="s">
        <v>130</v>
      </c>
      <c r="C54" s="6" t="s">
        <v>131</v>
      </c>
      <c r="D54" s="6" t="s">
        <v>22</v>
      </c>
      <c r="E54" s="7">
        <v>11</v>
      </c>
      <c r="F54" s="6">
        <v>1</v>
      </c>
      <c r="G54" s="10">
        <v>2</v>
      </c>
      <c r="H54" s="6">
        <f t="shared" si="1"/>
        <v>22</v>
      </c>
      <c r="I54" s="6">
        <v>20000</v>
      </c>
      <c r="J54" s="6">
        <v>55000</v>
      </c>
      <c r="K54" s="14"/>
      <c r="L54" s="14"/>
      <c r="M54" s="14"/>
      <c r="N54" s="14"/>
      <c r="O54" s="14"/>
      <c r="P54" s="14"/>
    </row>
    <row r="55" ht="20" customHeight="1" spans="1:16">
      <c r="A55" s="6">
        <v>54</v>
      </c>
      <c r="B55" s="6" t="s">
        <v>132</v>
      </c>
      <c r="C55" s="6" t="s">
        <v>133</v>
      </c>
      <c r="D55" s="6" t="s">
        <v>73</v>
      </c>
      <c r="E55" s="7">
        <v>19</v>
      </c>
      <c r="F55" s="6">
        <v>2</v>
      </c>
      <c r="G55" s="6">
        <v>2</v>
      </c>
      <c r="H55" s="6">
        <f t="shared" si="1"/>
        <v>38</v>
      </c>
      <c r="I55" s="6">
        <v>30000</v>
      </c>
      <c r="J55" s="6">
        <v>95000</v>
      </c>
      <c r="K55" s="14"/>
      <c r="L55" s="14"/>
      <c r="M55" s="14"/>
      <c r="N55" s="14"/>
      <c r="O55" s="14"/>
      <c r="P55" s="14"/>
    </row>
    <row r="56" s="1" customFormat="1" ht="20" customHeight="1" spans="1:16">
      <c r="A56" s="6">
        <v>55</v>
      </c>
      <c r="B56" s="10" t="s">
        <v>132</v>
      </c>
      <c r="C56" s="10" t="s">
        <v>133</v>
      </c>
      <c r="D56" s="10" t="s">
        <v>13</v>
      </c>
      <c r="E56" s="11">
        <v>19</v>
      </c>
      <c r="F56" s="10">
        <v>0</v>
      </c>
      <c r="G56" s="10">
        <v>1</v>
      </c>
      <c r="H56" s="10">
        <f t="shared" si="1"/>
        <v>19</v>
      </c>
      <c r="I56" s="10"/>
      <c r="J56" s="10"/>
      <c r="K56" s="15"/>
      <c r="L56" s="15"/>
      <c r="M56" s="15"/>
      <c r="N56" s="15"/>
      <c r="O56" s="15"/>
      <c r="P56" s="15"/>
    </row>
    <row r="57" ht="20" customHeight="1" spans="1:16">
      <c r="A57" s="6">
        <v>56</v>
      </c>
      <c r="B57" s="6" t="s">
        <v>134</v>
      </c>
      <c r="C57" s="6" t="s">
        <v>135</v>
      </c>
      <c r="D57" s="6" t="s">
        <v>22</v>
      </c>
      <c r="E57" s="7">
        <v>5.5</v>
      </c>
      <c r="F57" s="6">
        <v>15</v>
      </c>
      <c r="G57" s="10">
        <v>13</v>
      </c>
      <c r="H57" s="6">
        <f t="shared" si="1"/>
        <v>71.5</v>
      </c>
      <c r="I57" s="6">
        <v>20000</v>
      </c>
      <c r="J57" s="6">
        <v>40000</v>
      </c>
      <c r="K57" s="14"/>
      <c r="L57" s="14"/>
      <c r="M57" s="14"/>
      <c r="N57" s="14"/>
      <c r="O57" s="14"/>
      <c r="P57" s="14"/>
    </row>
    <row r="58" s="1" customFormat="1" ht="20" customHeight="1" spans="1:16">
      <c r="A58" s="6">
        <v>57</v>
      </c>
      <c r="B58" s="10" t="s">
        <v>134</v>
      </c>
      <c r="C58" s="10" t="s">
        <v>136</v>
      </c>
      <c r="D58" s="10" t="s">
        <v>22</v>
      </c>
      <c r="E58" s="11">
        <v>5.5</v>
      </c>
      <c r="F58" s="10">
        <v>0</v>
      </c>
      <c r="G58" s="10">
        <v>1</v>
      </c>
      <c r="H58" s="6">
        <f t="shared" si="1"/>
        <v>5.5</v>
      </c>
      <c r="I58" s="10"/>
      <c r="J58" s="10"/>
      <c r="K58" s="15"/>
      <c r="L58" s="15"/>
      <c r="M58" s="15"/>
      <c r="N58" s="15"/>
      <c r="O58" s="15"/>
      <c r="P58" s="15"/>
    </row>
    <row r="59" s="1" customFormat="1" ht="20" customHeight="1" spans="1:16">
      <c r="A59" s="6">
        <v>58</v>
      </c>
      <c r="B59" s="10" t="s">
        <v>137</v>
      </c>
      <c r="C59" s="10"/>
      <c r="D59" s="10" t="s">
        <v>22</v>
      </c>
      <c r="E59" s="11">
        <v>12</v>
      </c>
      <c r="F59" s="10">
        <v>0</v>
      </c>
      <c r="G59" s="10">
        <v>3</v>
      </c>
      <c r="H59" s="6">
        <f t="shared" si="1"/>
        <v>36</v>
      </c>
      <c r="I59" s="10"/>
      <c r="J59" s="10"/>
      <c r="K59" s="15"/>
      <c r="L59" s="15"/>
      <c r="M59" s="15"/>
      <c r="N59" s="15"/>
      <c r="O59" s="15"/>
      <c r="P59" s="15"/>
    </row>
    <row r="60" ht="20" customHeight="1" spans="1:16">
      <c r="A60" s="6">
        <v>59</v>
      </c>
      <c r="B60" s="6" t="s">
        <v>138</v>
      </c>
      <c r="C60" s="6" t="s">
        <v>139</v>
      </c>
      <c r="D60" s="6" t="s">
        <v>28</v>
      </c>
      <c r="E60" s="7">
        <v>16</v>
      </c>
      <c r="F60" s="6">
        <v>6</v>
      </c>
      <c r="G60" s="10">
        <v>3</v>
      </c>
      <c r="H60" s="6">
        <f t="shared" si="1"/>
        <v>48</v>
      </c>
      <c r="I60" s="6">
        <v>25000</v>
      </c>
      <c r="J60" s="6">
        <v>65000</v>
      </c>
      <c r="K60" s="14"/>
      <c r="L60" s="14"/>
      <c r="M60" s="14"/>
      <c r="N60" s="14"/>
      <c r="O60" s="14"/>
      <c r="P60" s="14"/>
    </row>
    <row r="61" ht="20" customHeight="1" spans="1:16">
      <c r="A61" s="6">
        <v>60</v>
      </c>
      <c r="B61" s="6" t="s">
        <v>138</v>
      </c>
      <c r="C61" s="6" t="s">
        <v>140</v>
      </c>
      <c r="D61" s="6"/>
      <c r="E61" s="7">
        <v>16</v>
      </c>
      <c r="F61" s="6">
        <v>3</v>
      </c>
      <c r="G61" s="10">
        <v>0</v>
      </c>
      <c r="H61" s="6">
        <f t="shared" si="1"/>
        <v>0</v>
      </c>
      <c r="I61" s="6">
        <v>25000</v>
      </c>
      <c r="J61" s="6">
        <v>65000</v>
      </c>
      <c r="K61" s="14"/>
      <c r="L61" s="14"/>
      <c r="M61" s="14"/>
      <c r="N61" s="14"/>
      <c r="O61" s="14"/>
      <c r="P61" s="14"/>
    </row>
    <row r="62" ht="20" customHeight="1" spans="1:16">
      <c r="A62" s="6">
        <v>61</v>
      </c>
      <c r="B62" s="6" t="s">
        <v>138</v>
      </c>
      <c r="C62" s="6" t="s">
        <v>141</v>
      </c>
      <c r="D62" s="6"/>
      <c r="E62" s="7">
        <v>16</v>
      </c>
      <c r="F62" s="6">
        <v>12</v>
      </c>
      <c r="G62" s="10">
        <v>0</v>
      </c>
      <c r="H62" s="6">
        <f t="shared" si="1"/>
        <v>0</v>
      </c>
      <c r="I62" s="6">
        <v>25000</v>
      </c>
      <c r="J62" s="6">
        <v>65000</v>
      </c>
      <c r="K62" s="14"/>
      <c r="L62" s="14"/>
      <c r="M62" s="14"/>
      <c r="N62" s="14"/>
      <c r="O62" s="14"/>
      <c r="P62" s="14"/>
    </row>
    <row r="63" s="1" customFormat="1" ht="20" customHeight="1" spans="1:16">
      <c r="A63" s="6">
        <v>62</v>
      </c>
      <c r="B63" s="10" t="s">
        <v>142</v>
      </c>
      <c r="C63" s="10" t="s">
        <v>143</v>
      </c>
      <c r="D63" s="10" t="s">
        <v>28</v>
      </c>
      <c r="E63" s="11">
        <v>20</v>
      </c>
      <c r="F63" s="10">
        <v>0</v>
      </c>
      <c r="G63" s="10">
        <v>1</v>
      </c>
      <c r="H63" s="10">
        <f t="shared" si="1"/>
        <v>20</v>
      </c>
      <c r="I63" s="10"/>
      <c r="J63" s="10"/>
      <c r="K63" s="15"/>
      <c r="L63" s="15"/>
      <c r="M63" s="15"/>
      <c r="N63" s="15"/>
      <c r="O63" s="15"/>
      <c r="P63" s="15"/>
    </row>
    <row r="64" ht="20" customHeight="1" spans="1:16">
      <c r="A64" s="6">
        <v>63</v>
      </c>
      <c r="B64" s="6" t="s">
        <v>144</v>
      </c>
      <c r="C64" s="6" t="s">
        <v>145</v>
      </c>
      <c r="D64" s="6" t="s">
        <v>22</v>
      </c>
      <c r="E64" s="7">
        <v>25</v>
      </c>
      <c r="F64" s="6">
        <v>7</v>
      </c>
      <c r="G64" s="10">
        <v>28</v>
      </c>
      <c r="H64" s="6">
        <f t="shared" si="1"/>
        <v>700</v>
      </c>
      <c r="I64" s="6">
        <v>30000</v>
      </c>
      <c r="J64" s="6">
        <v>70000</v>
      </c>
      <c r="K64" s="14"/>
      <c r="L64" s="14"/>
      <c r="M64" s="14"/>
      <c r="N64" s="14"/>
      <c r="O64" s="14"/>
      <c r="P64" s="14"/>
    </row>
    <row r="65" s="1" customFormat="1" ht="20" customHeight="1" spans="1:16">
      <c r="A65" s="6">
        <v>64</v>
      </c>
      <c r="B65" s="10" t="s">
        <v>146</v>
      </c>
      <c r="C65" s="10"/>
      <c r="D65" s="10" t="s">
        <v>13</v>
      </c>
      <c r="E65" s="11">
        <v>28</v>
      </c>
      <c r="F65" s="10">
        <v>0</v>
      </c>
      <c r="G65" s="10">
        <v>10</v>
      </c>
      <c r="H65" s="6">
        <f t="shared" si="1"/>
        <v>280</v>
      </c>
      <c r="I65" s="10"/>
      <c r="J65" s="10"/>
      <c r="K65" s="15"/>
      <c r="L65" s="15"/>
      <c r="M65" s="15"/>
      <c r="N65" s="15"/>
      <c r="O65" s="15"/>
      <c r="P65" s="15"/>
    </row>
    <row r="66" ht="20" customHeight="1" spans="1:16">
      <c r="A66" s="6">
        <v>65</v>
      </c>
      <c r="B66" s="6" t="s">
        <v>147</v>
      </c>
      <c r="C66" s="6" t="s">
        <v>148</v>
      </c>
      <c r="D66" s="6"/>
      <c r="E66" s="7">
        <v>0</v>
      </c>
      <c r="F66" s="6">
        <v>1</v>
      </c>
      <c r="G66" s="6">
        <v>0</v>
      </c>
      <c r="H66" s="6">
        <f t="shared" si="1"/>
        <v>0</v>
      </c>
      <c r="I66" s="6">
        <v>50000</v>
      </c>
      <c r="J66" s="6">
        <v>135000</v>
      </c>
      <c r="K66" s="14"/>
      <c r="L66" s="14"/>
      <c r="M66" s="14"/>
      <c r="N66" s="14"/>
      <c r="O66" s="14"/>
      <c r="P66" s="14"/>
    </row>
    <row r="67" ht="20" customHeight="1" spans="1:16">
      <c r="A67" s="6">
        <v>66</v>
      </c>
      <c r="B67" s="6" t="s">
        <v>149</v>
      </c>
      <c r="C67" s="6"/>
      <c r="D67" s="6" t="s">
        <v>22</v>
      </c>
      <c r="E67" s="7">
        <v>12</v>
      </c>
      <c r="F67" s="6">
        <v>66</v>
      </c>
      <c r="G67" s="10">
        <v>51</v>
      </c>
      <c r="H67" s="6">
        <f t="shared" ref="H67:H82" si="2">PRODUCT(G67*E67)</f>
        <v>612</v>
      </c>
      <c r="I67" s="6" t="s">
        <v>150</v>
      </c>
      <c r="J67" s="6" t="s">
        <v>151</v>
      </c>
      <c r="K67" s="14"/>
      <c r="L67" s="14"/>
      <c r="M67" s="14"/>
      <c r="N67" s="14"/>
      <c r="O67" s="14"/>
      <c r="P67" s="14"/>
    </row>
    <row r="68" ht="20" customHeight="1" spans="1:16">
      <c r="A68" s="6">
        <v>67</v>
      </c>
      <c r="B68" s="6" t="s">
        <v>152</v>
      </c>
      <c r="C68" s="6" t="s">
        <v>153</v>
      </c>
      <c r="D68" s="6"/>
      <c r="E68" s="7"/>
      <c r="F68" s="6">
        <v>16</v>
      </c>
      <c r="G68" s="6"/>
      <c r="H68" s="6">
        <f t="shared" si="2"/>
        <v>0</v>
      </c>
      <c r="I68" s="6">
        <v>12000</v>
      </c>
      <c r="J68" s="6">
        <v>30000</v>
      </c>
      <c r="K68" s="14"/>
      <c r="L68" s="14"/>
      <c r="M68" s="14"/>
      <c r="N68" s="14"/>
      <c r="O68" s="14"/>
      <c r="P68" s="14"/>
    </row>
    <row r="69" ht="20" customHeight="1" spans="1:16">
      <c r="A69" s="6">
        <v>68</v>
      </c>
      <c r="B69" s="6" t="s">
        <v>154</v>
      </c>
      <c r="C69" s="6" t="s">
        <v>155</v>
      </c>
      <c r="D69" s="6" t="s">
        <v>28</v>
      </c>
      <c r="E69" s="19">
        <v>5.5</v>
      </c>
      <c r="F69" s="6">
        <v>10</v>
      </c>
      <c r="G69" s="6">
        <v>10</v>
      </c>
      <c r="H69" s="6">
        <f>PRODUCT(G69*E70)</f>
        <v>57</v>
      </c>
      <c r="I69" s="6" t="s">
        <v>156</v>
      </c>
      <c r="J69" s="6" t="s">
        <v>108</v>
      </c>
      <c r="K69" s="14"/>
      <c r="L69" s="14"/>
      <c r="M69" s="14"/>
      <c r="N69" s="14"/>
      <c r="O69" s="14"/>
      <c r="P69" s="14"/>
    </row>
    <row r="70" ht="20" customHeight="1" spans="1:16">
      <c r="A70" s="6">
        <v>69</v>
      </c>
      <c r="B70" s="6" t="s">
        <v>157</v>
      </c>
      <c r="C70" s="6" t="s">
        <v>158</v>
      </c>
      <c r="D70" s="6" t="s">
        <v>28</v>
      </c>
      <c r="E70" s="7">
        <v>5.7</v>
      </c>
      <c r="F70" s="6">
        <v>20</v>
      </c>
      <c r="G70" s="6">
        <v>20</v>
      </c>
      <c r="H70" s="6">
        <v>114</v>
      </c>
      <c r="I70" s="6">
        <v>30000</v>
      </c>
      <c r="J70" s="6" t="s">
        <v>159</v>
      </c>
      <c r="K70" s="14"/>
      <c r="L70" s="14"/>
      <c r="M70" s="14"/>
      <c r="N70" s="14"/>
      <c r="O70" s="14"/>
      <c r="P70" s="14"/>
    </row>
    <row r="71" ht="20" customHeight="1" spans="1:16">
      <c r="A71" s="6">
        <v>70</v>
      </c>
      <c r="B71" s="6" t="s">
        <v>160</v>
      </c>
      <c r="C71" s="6"/>
      <c r="D71" s="6" t="s">
        <v>13</v>
      </c>
      <c r="E71" s="7">
        <v>88</v>
      </c>
      <c r="F71" s="6">
        <v>11</v>
      </c>
      <c r="G71" s="10">
        <v>15</v>
      </c>
      <c r="H71" s="6">
        <f t="shared" si="2"/>
        <v>1320</v>
      </c>
      <c r="I71" s="6" t="s">
        <v>161</v>
      </c>
      <c r="J71" s="6" t="s">
        <v>162</v>
      </c>
      <c r="K71" s="14"/>
      <c r="L71" s="14"/>
      <c r="M71" s="14"/>
      <c r="N71" s="14"/>
      <c r="O71" s="14"/>
      <c r="P71" s="14"/>
    </row>
    <row r="72" ht="20" customHeight="1" spans="1:16">
      <c r="A72" s="6">
        <v>71</v>
      </c>
      <c r="B72" s="6" t="s">
        <v>163</v>
      </c>
      <c r="C72" s="6"/>
      <c r="D72" s="6" t="s">
        <v>13</v>
      </c>
      <c r="E72" s="7">
        <v>125</v>
      </c>
      <c r="F72" s="6">
        <v>19</v>
      </c>
      <c r="G72" s="6">
        <v>19</v>
      </c>
      <c r="H72" s="6">
        <f t="shared" si="2"/>
        <v>2375</v>
      </c>
      <c r="I72" s="6" t="s">
        <v>164</v>
      </c>
      <c r="J72" s="6" t="s">
        <v>165</v>
      </c>
      <c r="K72" s="14"/>
      <c r="L72" s="14"/>
      <c r="M72" s="14"/>
      <c r="N72" s="14"/>
      <c r="O72" s="14"/>
      <c r="P72" s="14"/>
    </row>
    <row r="73" ht="20" customHeight="1" spans="1:16">
      <c r="A73" s="6">
        <v>72</v>
      </c>
      <c r="B73" s="6" t="s">
        <v>166</v>
      </c>
      <c r="C73" s="6"/>
      <c r="D73" s="6" t="s">
        <v>13</v>
      </c>
      <c r="E73" s="7">
        <v>192</v>
      </c>
      <c r="F73" s="6">
        <v>16</v>
      </c>
      <c r="G73" s="10">
        <v>13</v>
      </c>
      <c r="H73" s="6">
        <f t="shared" si="2"/>
        <v>2496</v>
      </c>
      <c r="I73" s="6" t="s">
        <v>167</v>
      </c>
      <c r="J73" s="6" t="s">
        <v>168</v>
      </c>
      <c r="K73" s="14"/>
      <c r="L73" s="14"/>
      <c r="M73" s="14"/>
      <c r="N73" s="14"/>
      <c r="O73" s="14"/>
      <c r="P73" s="14"/>
    </row>
    <row r="74" ht="20" customHeight="1" spans="1:16">
      <c r="A74" s="6">
        <v>73</v>
      </c>
      <c r="B74" s="6" t="s">
        <v>169</v>
      </c>
      <c r="C74" s="6"/>
      <c r="D74" s="6" t="s">
        <v>13</v>
      </c>
      <c r="E74" s="7">
        <v>228</v>
      </c>
      <c r="F74" s="6">
        <v>1</v>
      </c>
      <c r="G74" s="6">
        <v>1</v>
      </c>
      <c r="H74" s="6">
        <f t="shared" si="2"/>
        <v>228</v>
      </c>
      <c r="I74" s="6" t="s">
        <v>170</v>
      </c>
      <c r="J74" s="6" t="s">
        <v>171</v>
      </c>
      <c r="K74" s="14"/>
      <c r="L74" s="14"/>
      <c r="M74" s="14"/>
      <c r="N74" s="14"/>
      <c r="O74" s="14"/>
      <c r="P74" s="14"/>
    </row>
    <row r="75" ht="20" customHeight="1" spans="1:16">
      <c r="A75" s="6">
        <v>74</v>
      </c>
      <c r="B75" s="6" t="s">
        <v>172</v>
      </c>
      <c r="C75" s="6"/>
      <c r="D75" s="6" t="s">
        <v>13</v>
      </c>
      <c r="E75" s="7">
        <v>0</v>
      </c>
      <c r="F75" s="6">
        <v>1</v>
      </c>
      <c r="G75" s="10">
        <v>0</v>
      </c>
      <c r="H75" s="6">
        <f t="shared" si="2"/>
        <v>0</v>
      </c>
      <c r="I75" s="6">
        <v>30000</v>
      </c>
      <c r="J75" s="6">
        <v>85000</v>
      </c>
      <c r="K75" s="14"/>
      <c r="L75" s="14"/>
      <c r="M75" s="14"/>
      <c r="N75" s="14"/>
      <c r="O75" s="14"/>
      <c r="P75" s="14"/>
    </row>
    <row r="76" s="1" customFormat="1" ht="20" customHeight="1" spans="1:16">
      <c r="A76" s="6">
        <v>75</v>
      </c>
      <c r="B76" s="10" t="s">
        <v>173</v>
      </c>
      <c r="C76" s="10"/>
      <c r="D76" s="10" t="s">
        <v>13</v>
      </c>
      <c r="E76" s="11">
        <v>22</v>
      </c>
      <c r="F76" s="10">
        <v>0</v>
      </c>
      <c r="G76" s="10">
        <v>5</v>
      </c>
      <c r="H76" s="6">
        <f t="shared" si="2"/>
        <v>110</v>
      </c>
      <c r="I76" s="10"/>
      <c r="J76" s="10"/>
      <c r="K76" s="15"/>
      <c r="L76" s="15"/>
      <c r="M76" s="15"/>
      <c r="N76" s="15"/>
      <c r="O76" s="15"/>
      <c r="P76" s="15"/>
    </row>
    <row r="77" ht="20" customHeight="1" spans="1:16">
      <c r="A77" s="6">
        <v>76</v>
      </c>
      <c r="B77" s="6" t="s">
        <v>174</v>
      </c>
      <c r="C77" s="6"/>
      <c r="D77" s="6" t="s">
        <v>13</v>
      </c>
      <c r="E77" s="7">
        <v>42</v>
      </c>
      <c r="F77" s="6">
        <v>1</v>
      </c>
      <c r="G77" s="20">
        <v>1</v>
      </c>
      <c r="H77" s="6">
        <f t="shared" si="2"/>
        <v>42</v>
      </c>
      <c r="I77" s="6" t="s">
        <v>175</v>
      </c>
      <c r="J77" s="6" t="s">
        <v>117</v>
      </c>
      <c r="K77" s="14"/>
      <c r="L77" s="14"/>
      <c r="M77" s="14"/>
      <c r="N77" s="14"/>
      <c r="O77" s="14"/>
      <c r="P77" s="14"/>
    </row>
    <row r="78" ht="20" customHeight="1" spans="1:16">
      <c r="A78" s="6">
        <v>77</v>
      </c>
      <c r="B78" s="6" t="s">
        <v>176</v>
      </c>
      <c r="C78" s="6"/>
      <c r="D78" s="6" t="s">
        <v>13</v>
      </c>
      <c r="E78" s="7">
        <v>64</v>
      </c>
      <c r="F78" s="6">
        <v>5</v>
      </c>
      <c r="G78" s="6">
        <v>5</v>
      </c>
      <c r="H78" s="6">
        <f t="shared" si="2"/>
        <v>320</v>
      </c>
      <c r="I78" s="6" t="s">
        <v>177</v>
      </c>
      <c r="J78" s="6" t="s">
        <v>178</v>
      </c>
      <c r="K78" s="14"/>
      <c r="L78" s="14"/>
      <c r="M78" s="14"/>
      <c r="N78" s="14"/>
      <c r="O78" s="14"/>
      <c r="P78" s="14"/>
    </row>
    <row r="79" ht="20" customHeight="1" spans="1:16">
      <c r="A79" s="6">
        <v>78</v>
      </c>
      <c r="B79" s="6" t="s">
        <v>179</v>
      </c>
      <c r="C79" s="6"/>
      <c r="D79" s="6" t="s">
        <v>13</v>
      </c>
      <c r="E79" s="7">
        <v>148</v>
      </c>
      <c r="F79" s="6">
        <v>8</v>
      </c>
      <c r="G79" s="6">
        <v>8</v>
      </c>
      <c r="H79" s="6">
        <f t="shared" si="2"/>
        <v>1184</v>
      </c>
      <c r="I79" s="6" t="s">
        <v>180</v>
      </c>
      <c r="J79" s="6" t="s">
        <v>181</v>
      </c>
      <c r="K79" s="14"/>
      <c r="L79" s="14"/>
      <c r="M79" s="14"/>
      <c r="N79" s="14"/>
      <c r="O79" s="14"/>
      <c r="P79" s="14"/>
    </row>
    <row r="80" ht="20" customHeight="1" spans="1:16">
      <c r="A80" s="6">
        <v>79</v>
      </c>
      <c r="B80" s="6" t="s">
        <v>182</v>
      </c>
      <c r="C80" s="6"/>
      <c r="D80" s="6" t="s">
        <v>13</v>
      </c>
      <c r="E80" s="7">
        <v>172</v>
      </c>
      <c r="F80" s="6">
        <v>2</v>
      </c>
      <c r="G80" s="6">
        <v>2</v>
      </c>
      <c r="H80" s="6">
        <v>0</v>
      </c>
      <c r="I80" s="6">
        <v>300000</v>
      </c>
      <c r="J80" s="6">
        <v>800000</v>
      </c>
      <c r="K80" s="14" t="s">
        <v>183</v>
      </c>
      <c r="L80" s="14"/>
      <c r="M80" s="14"/>
      <c r="N80" s="14"/>
      <c r="O80" s="14"/>
      <c r="P80" s="14"/>
    </row>
    <row r="81" ht="20" customHeight="1" spans="1:16">
      <c r="A81" s="6">
        <v>80</v>
      </c>
      <c r="B81" s="6" t="s">
        <v>184</v>
      </c>
      <c r="C81" s="6" t="s">
        <v>185</v>
      </c>
      <c r="D81" s="6" t="s">
        <v>73</v>
      </c>
      <c r="E81" s="7">
        <v>1.2</v>
      </c>
      <c r="F81" s="6">
        <v>798</v>
      </c>
      <c r="G81" s="10">
        <v>798</v>
      </c>
      <c r="H81" s="6">
        <f t="shared" si="2"/>
        <v>957.6</v>
      </c>
      <c r="I81" s="6" t="s">
        <v>186</v>
      </c>
      <c r="J81" s="6" t="s">
        <v>187</v>
      </c>
      <c r="K81" s="14" t="s">
        <v>188</v>
      </c>
      <c r="L81" s="14"/>
      <c r="M81" s="14"/>
      <c r="N81" s="14"/>
      <c r="O81" s="14"/>
      <c r="P81" s="14"/>
    </row>
    <row r="82" ht="20" customHeight="1" spans="1:16">
      <c r="A82" s="6">
        <v>81</v>
      </c>
      <c r="B82" s="6" t="s">
        <v>189</v>
      </c>
      <c r="C82" s="6" t="s">
        <v>190</v>
      </c>
      <c r="D82" s="6" t="s">
        <v>28</v>
      </c>
      <c r="E82" s="7">
        <v>0.7</v>
      </c>
      <c r="F82" s="6">
        <v>18</v>
      </c>
      <c r="G82" s="6">
        <v>18</v>
      </c>
      <c r="H82" s="6">
        <v>0</v>
      </c>
      <c r="I82" s="6" t="s">
        <v>74</v>
      </c>
      <c r="J82" s="6" t="s">
        <v>75</v>
      </c>
      <c r="K82" s="14" t="s">
        <v>76</v>
      </c>
      <c r="L82" s="14"/>
      <c r="M82" s="14"/>
      <c r="N82" s="14"/>
      <c r="O82" s="14"/>
      <c r="P82" s="14"/>
    </row>
    <row r="83" s="2" customFormat="1" spans="1:16">
      <c r="A83" s="21"/>
      <c r="B83" s="21"/>
      <c r="C83" s="21"/>
      <c r="D83" s="21"/>
      <c r="E83" s="22"/>
      <c r="F83" s="21"/>
      <c r="G83" s="21" t="s">
        <v>191</v>
      </c>
      <c r="H83" s="21">
        <f>SUM(H2:H82)</f>
        <v>14650.83</v>
      </c>
      <c r="I83" s="21"/>
      <c r="J83" s="21"/>
      <c r="K83" s="21"/>
      <c r="L83" s="21"/>
      <c r="M83" s="21"/>
      <c r="N83" s="21"/>
      <c r="O83" s="21"/>
      <c r="P83" s="2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workbookViewId="0">
      <selection activeCell="A40" sqref="$A40:$XFD40"/>
    </sheetView>
  </sheetViews>
  <sheetFormatPr defaultColWidth="9.14285714285714" defaultRowHeight="15"/>
  <cols>
    <col min="1" max="1" width="6.14285714285714" customWidth="1"/>
    <col min="2" max="2" width="39.5714285714286" customWidth="1"/>
    <col min="3" max="3" width="20.7142857142857" customWidth="1"/>
    <col min="4" max="4" width="15.8571428571429" customWidth="1"/>
    <col min="5" max="5" width="20.7142857142857" style="3" customWidth="1"/>
    <col min="6" max="7" width="9.57142857142857" customWidth="1"/>
    <col min="8" max="8" width="9.57142857142857" style="3" customWidth="1"/>
    <col min="9" max="9" width="16.1428571428571" customWidth="1"/>
    <col min="10" max="10" width="17.4285714285714" customWidth="1"/>
  </cols>
  <sheetData>
    <row r="1" ht="38" customHeight="1" spans="1:10">
      <c r="A1" s="4" t="s">
        <v>0</v>
      </c>
      <c r="B1" s="4" t="s">
        <v>1</v>
      </c>
      <c r="C1" s="4" t="s">
        <v>2</v>
      </c>
      <c r="D1" s="4" t="s">
        <v>3</v>
      </c>
      <c r="E1" s="5" t="s">
        <v>192</v>
      </c>
      <c r="F1" s="4" t="s">
        <v>193</v>
      </c>
      <c r="G1" s="4" t="s">
        <v>194</v>
      </c>
      <c r="H1" s="5" t="s">
        <v>195</v>
      </c>
      <c r="I1" s="4" t="s">
        <v>8</v>
      </c>
    </row>
    <row r="2" ht="25" customHeight="1" spans="1:10">
      <c r="A2" s="6">
        <v>1</v>
      </c>
      <c r="B2" s="6" t="s">
        <v>196</v>
      </c>
      <c r="C2" s="6" t="s">
        <v>197</v>
      </c>
      <c r="D2" s="6" t="s">
        <v>198</v>
      </c>
      <c r="E2" s="7">
        <v>11.2</v>
      </c>
      <c r="F2" s="6">
        <v>1</v>
      </c>
      <c r="G2" s="6">
        <v>1</v>
      </c>
      <c r="H2" s="7">
        <f>PRODUCT(E2*G2)</f>
        <v>11.2</v>
      </c>
      <c r="I2" s="6" t="s">
        <v>199</v>
      </c>
    </row>
    <row r="3" ht="25" customHeight="1" spans="1:10">
      <c r="A3" s="6">
        <v>2</v>
      </c>
      <c r="B3" s="6" t="s">
        <v>200</v>
      </c>
      <c r="C3" s="6" t="s">
        <v>201</v>
      </c>
      <c r="D3" s="6" t="s">
        <v>22</v>
      </c>
      <c r="E3" s="7">
        <v>33.7</v>
      </c>
      <c r="F3" s="6">
        <v>1</v>
      </c>
      <c r="G3" s="6">
        <v>1</v>
      </c>
      <c r="H3" s="7">
        <f t="shared" ref="H3:H37" si="0">PRODUCT(E3*G3)</f>
        <v>33.7</v>
      </c>
      <c r="I3" s="6" t="s">
        <v>199</v>
      </c>
    </row>
    <row r="4" ht="39" customHeight="1" spans="1:10">
      <c r="A4" s="6">
        <v>3</v>
      </c>
      <c r="B4" s="6" t="s">
        <v>202</v>
      </c>
      <c r="C4" s="6" t="s">
        <v>203</v>
      </c>
      <c r="D4" s="6" t="s">
        <v>13</v>
      </c>
      <c r="E4" s="7">
        <v>2.3</v>
      </c>
      <c r="F4" s="6">
        <v>6</v>
      </c>
      <c r="G4" s="6">
        <v>6</v>
      </c>
      <c r="H4" s="7">
        <f t="shared" si="0"/>
        <v>13.8</v>
      </c>
      <c r="I4" s="6" t="s">
        <v>199</v>
      </c>
    </row>
    <row r="5" ht="25" customHeight="1" spans="1:10">
      <c r="A5" s="8">
        <v>4</v>
      </c>
      <c r="B5" s="8" t="s">
        <v>26</v>
      </c>
      <c r="C5" s="8" t="s">
        <v>204</v>
      </c>
      <c r="D5" s="8"/>
      <c r="E5" s="9">
        <v>3.64</v>
      </c>
      <c r="F5" s="8">
        <v>2</v>
      </c>
      <c r="G5" s="8"/>
      <c r="H5" s="9">
        <f t="shared" si="0"/>
        <v>0</v>
      </c>
      <c r="I5" s="8" t="s">
        <v>199</v>
      </c>
      <c r="J5" t="s">
        <v>205</v>
      </c>
    </row>
    <row r="6" ht="42" customHeight="1" spans="1:10">
      <c r="A6" s="6">
        <v>5</v>
      </c>
      <c r="B6" s="6" t="s">
        <v>206</v>
      </c>
      <c r="C6" s="6" t="s">
        <v>207</v>
      </c>
      <c r="D6" s="6" t="s">
        <v>73</v>
      </c>
      <c r="E6" s="7">
        <v>2.3</v>
      </c>
      <c r="F6" s="6">
        <v>1</v>
      </c>
      <c r="G6" s="6">
        <v>1</v>
      </c>
      <c r="H6" s="7">
        <f t="shared" si="0"/>
        <v>2.3</v>
      </c>
      <c r="I6" s="6" t="s">
        <v>199</v>
      </c>
    </row>
    <row r="7" ht="40" customHeight="1" spans="1:10">
      <c r="A7" s="6">
        <v>6</v>
      </c>
      <c r="B7" s="6" t="s">
        <v>208</v>
      </c>
      <c r="C7" s="6" t="s">
        <v>209</v>
      </c>
      <c r="D7" s="6" t="s">
        <v>73</v>
      </c>
      <c r="E7" s="7">
        <v>5.7</v>
      </c>
      <c r="F7" s="6">
        <v>3</v>
      </c>
      <c r="G7" s="6">
        <v>3</v>
      </c>
      <c r="H7" s="7">
        <f t="shared" si="0"/>
        <v>17.1</v>
      </c>
      <c r="I7" s="6" t="s">
        <v>199</v>
      </c>
    </row>
    <row r="8" ht="41" customHeight="1" spans="1:10">
      <c r="A8" s="8">
        <v>7</v>
      </c>
      <c r="B8" s="8" t="s">
        <v>210</v>
      </c>
      <c r="C8" s="8" t="s">
        <v>211</v>
      </c>
      <c r="D8" s="8"/>
      <c r="E8" s="9">
        <v>1.53</v>
      </c>
      <c r="F8" s="8">
        <v>1</v>
      </c>
      <c r="G8" s="8"/>
      <c r="H8" s="9">
        <f t="shared" si="0"/>
        <v>0</v>
      </c>
      <c r="I8" s="8" t="s">
        <v>199</v>
      </c>
    </row>
    <row r="9" ht="25" customHeight="1" spans="1:10">
      <c r="A9" s="6">
        <v>8</v>
      </c>
      <c r="B9" s="6" t="s">
        <v>212</v>
      </c>
      <c r="C9" s="6" t="s">
        <v>213</v>
      </c>
      <c r="D9" s="6" t="s">
        <v>73</v>
      </c>
      <c r="E9" s="7">
        <v>4.3</v>
      </c>
      <c r="F9" s="6">
        <v>4</v>
      </c>
      <c r="G9" s="6">
        <v>4</v>
      </c>
      <c r="H9" s="7">
        <f t="shared" si="0"/>
        <v>17.2</v>
      </c>
      <c r="I9" s="6" t="s">
        <v>199</v>
      </c>
    </row>
    <row r="10" ht="43" customHeight="1" spans="1:10">
      <c r="A10" s="6">
        <v>9</v>
      </c>
      <c r="B10" s="6" t="s">
        <v>214</v>
      </c>
      <c r="C10" s="6" t="s">
        <v>215</v>
      </c>
      <c r="D10" s="6" t="s">
        <v>73</v>
      </c>
      <c r="E10" s="7">
        <v>1.1</v>
      </c>
      <c r="F10" s="6">
        <v>2</v>
      </c>
      <c r="G10" s="6">
        <v>2</v>
      </c>
      <c r="H10" s="7">
        <f t="shared" si="0"/>
        <v>2.2</v>
      </c>
      <c r="I10" s="6" t="s">
        <v>199</v>
      </c>
    </row>
    <row r="11" ht="38" customHeight="1" spans="1:10">
      <c r="A11" s="6">
        <v>10</v>
      </c>
      <c r="B11" s="6" t="s">
        <v>216</v>
      </c>
      <c r="C11" s="6" t="s">
        <v>217</v>
      </c>
      <c r="D11" s="6" t="s">
        <v>73</v>
      </c>
      <c r="E11" s="7">
        <v>12.3</v>
      </c>
      <c r="F11" s="6">
        <v>1</v>
      </c>
      <c r="G11" s="6">
        <v>1</v>
      </c>
      <c r="H11" s="7">
        <f t="shared" si="0"/>
        <v>12.3</v>
      </c>
      <c r="I11" s="6" t="s">
        <v>199</v>
      </c>
    </row>
    <row r="12" ht="25" customHeight="1" spans="1:10">
      <c r="A12" s="8">
        <v>11</v>
      </c>
      <c r="B12" s="8" t="s">
        <v>218</v>
      </c>
      <c r="C12" s="8"/>
      <c r="D12" s="8"/>
      <c r="E12" s="9"/>
      <c r="F12" s="8">
        <v>2</v>
      </c>
      <c r="G12" s="8"/>
      <c r="H12" s="9">
        <f t="shared" si="0"/>
        <v>0</v>
      </c>
      <c r="I12" s="8" t="s">
        <v>199</v>
      </c>
    </row>
    <row r="13" ht="48" customHeight="1" spans="1:10">
      <c r="A13" s="8">
        <v>12</v>
      </c>
      <c r="B13" s="8" t="s">
        <v>219</v>
      </c>
      <c r="C13" s="8"/>
      <c r="D13" s="8"/>
      <c r="E13" s="9"/>
      <c r="F13" s="8">
        <v>1</v>
      </c>
      <c r="G13" s="8"/>
      <c r="H13" s="9">
        <f t="shared" si="0"/>
        <v>0</v>
      </c>
      <c r="I13" s="8" t="s">
        <v>199</v>
      </c>
    </row>
    <row r="14" ht="46" customHeight="1" spans="1:10">
      <c r="A14" s="8">
        <v>13</v>
      </c>
      <c r="B14" s="8" t="s">
        <v>220</v>
      </c>
      <c r="C14" s="8"/>
      <c r="D14" s="8"/>
      <c r="E14" s="9"/>
      <c r="F14" s="8">
        <v>1</v>
      </c>
      <c r="G14" s="8"/>
      <c r="H14" s="9">
        <f t="shared" si="0"/>
        <v>0</v>
      </c>
      <c r="I14" s="8" t="s">
        <v>199</v>
      </c>
    </row>
    <row r="15" ht="33" customHeight="1" spans="1:10">
      <c r="A15" s="6">
        <v>14</v>
      </c>
      <c r="B15" s="6" t="s">
        <v>221</v>
      </c>
      <c r="C15" s="6" t="s">
        <v>222</v>
      </c>
      <c r="D15" s="6" t="s">
        <v>73</v>
      </c>
      <c r="E15" s="7">
        <v>2.06</v>
      </c>
      <c r="F15" s="6">
        <v>2</v>
      </c>
      <c r="G15" s="6">
        <v>2</v>
      </c>
      <c r="H15" s="7">
        <f t="shared" si="0"/>
        <v>4.12</v>
      </c>
      <c r="I15" s="6" t="s">
        <v>199</v>
      </c>
    </row>
    <row r="16" ht="46" customHeight="1" spans="1:10">
      <c r="A16" s="6">
        <v>15</v>
      </c>
      <c r="B16" s="6" t="s">
        <v>223</v>
      </c>
      <c r="C16" s="6" t="s">
        <v>224</v>
      </c>
      <c r="D16" s="6" t="s">
        <v>73</v>
      </c>
      <c r="E16" s="7">
        <v>1.52</v>
      </c>
      <c r="F16" s="6">
        <v>1</v>
      </c>
      <c r="G16" s="6">
        <v>1</v>
      </c>
      <c r="H16" s="7">
        <f t="shared" si="0"/>
        <v>1.52</v>
      </c>
      <c r="I16" s="6" t="s">
        <v>199</v>
      </c>
    </row>
    <row r="17" ht="39" customHeight="1" spans="1:9">
      <c r="A17" s="6">
        <v>16</v>
      </c>
      <c r="B17" s="6" t="s">
        <v>225</v>
      </c>
      <c r="C17" s="6" t="s">
        <v>226</v>
      </c>
      <c r="D17" s="6" t="s">
        <v>22</v>
      </c>
      <c r="E17" s="7">
        <v>1.5</v>
      </c>
      <c r="F17" s="6">
        <v>6</v>
      </c>
      <c r="G17" s="6">
        <v>6</v>
      </c>
      <c r="H17" s="7">
        <f t="shared" si="0"/>
        <v>9</v>
      </c>
      <c r="I17" s="6" t="s">
        <v>199</v>
      </c>
    </row>
    <row r="18" ht="25" customHeight="1" spans="1:9">
      <c r="A18" s="6">
        <v>17</v>
      </c>
      <c r="B18" s="6" t="s">
        <v>227</v>
      </c>
      <c r="C18" s="6"/>
      <c r="D18" s="6" t="s">
        <v>22</v>
      </c>
      <c r="E18" s="7">
        <v>4</v>
      </c>
      <c r="F18" s="6">
        <v>1</v>
      </c>
      <c r="G18" s="6">
        <v>1</v>
      </c>
      <c r="H18" s="7">
        <f t="shared" si="0"/>
        <v>4</v>
      </c>
      <c r="I18" s="6" t="s">
        <v>199</v>
      </c>
    </row>
    <row r="19" ht="25" customHeight="1" spans="1:9">
      <c r="A19" s="6">
        <v>18</v>
      </c>
      <c r="B19" s="6" t="s">
        <v>228</v>
      </c>
      <c r="C19" s="6" t="s">
        <v>229</v>
      </c>
      <c r="D19" s="6" t="s">
        <v>73</v>
      </c>
      <c r="E19" s="7">
        <v>0.6</v>
      </c>
      <c r="F19" s="6">
        <v>5</v>
      </c>
      <c r="G19" s="6">
        <v>5</v>
      </c>
      <c r="H19" s="7">
        <f t="shared" si="0"/>
        <v>3</v>
      </c>
      <c r="I19" s="6" t="s">
        <v>199</v>
      </c>
    </row>
    <row r="20" ht="25" customHeight="1" spans="1:9">
      <c r="A20" s="6">
        <v>19</v>
      </c>
      <c r="B20" s="6" t="s">
        <v>230</v>
      </c>
      <c r="C20" s="6" t="s">
        <v>231</v>
      </c>
      <c r="D20" s="6" t="s">
        <v>73</v>
      </c>
      <c r="E20" s="7">
        <v>1.7</v>
      </c>
      <c r="F20" s="6">
        <v>3</v>
      </c>
      <c r="G20" s="6">
        <v>3</v>
      </c>
      <c r="H20" s="7">
        <f t="shared" si="0"/>
        <v>5.1</v>
      </c>
      <c r="I20" s="6" t="s">
        <v>199</v>
      </c>
    </row>
    <row r="21" ht="25" customHeight="1" spans="1:9">
      <c r="A21" s="6">
        <v>20</v>
      </c>
      <c r="B21" s="6" t="s">
        <v>230</v>
      </c>
      <c r="C21" s="6" t="s">
        <v>232</v>
      </c>
      <c r="D21" s="6" t="s">
        <v>73</v>
      </c>
      <c r="E21" s="7">
        <v>1.5</v>
      </c>
      <c r="F21" s="6">
        <v>8</v>
      </c>
      <c r="G21" s="10">
        <v>26</v>
      </c>
      <c r="H21" s="7">
        <f t="shared" si="0"/>
        <v>39</v>
      </c>
      <c r="I21" s="6" t="s">
        <v>199</v>
      </c>
    </row>
    <row r="22" ht="25" customHeight="1" spans="1:9">
      <c r="A22" s="6">
        <v>21</v>
      </c>
      <c r="B22" s="6" t="s">
        <v>233</v>
      </c>
      <c r="C22" s="6" t="s">
        <v>234</v>
      </c>
      <c r="D22" s="6" t="s">
        <v>73</v>
      </c>
      <c r="E22" s="7">
        <v>2.5</v>
      </c>
      <c r="F22" s="6">
        <v>2</v>
      </c>
      <c r="G22" s="6">
        <v>2</v>
      </c>
      <c r="H22" s="7">
        <f t="shared" si="0"/>
        <v>5</v>
      </c>
      <c r="I22" s="6" t="s">
        <v>199</v>
      </c>
    </row>
    <row r="23" ht="37" customHeight="1" spans="1:9">
      <c r="A23" s="6">
        <v>22</v>
      </c>
      <c r="B23" s="6" t="s">
        <v>235</v>
      </c>
      <c r="C23" s="6" t="s">
        <v>236</v>
      </c>
      <c r="D23" s="6" t="s">
        <v>73</v>
      </c>
      <c r="E23" s="7">
        <v>5.8</v>
      </c>
      <c r="F23" s="6">
        <v>1</v>
      </c>
      <c r="G23" s="6">
        <v>1</v>
      </c>
      <c r="H23" s="7">
        <f t="shared" si="0"/>
        <v>5.8</v>
      </c>
      <c r="I23" s="6" t="s">
        <v>199</v>
      </c>
    </row>
    <row r="24" ht="30" customHeight="1" spans="1:9">
      <c r="A24" s="6">
        <v>23</v>
      </c>
      <c r="B24" s="6" t="s">
        <v>237</v>
      </c>
      <c r="C24" s="6" t="s">
        <v>238</v>
      </c>
      <c r="D24" s="6" t="s">
        <v>73</v>
      </c>
      <c r="E24" s="7">
        <v>5.4</v>
      </c>
      <c r="F24" s="6">
        <v>2</v>
      </c>
      <c r="G24" s="6">
        <v>2</v>
      </c>
      <c r="H24" s="7">
        <f t="shared" si="0"/>
        <v>10.8</v>
      </c>
      <c r="I24" s="6" t="s">
        <v>199</v>
      </c>
    </row>
    <row r="25" s="1" customFormat="1" ht="30" customHeight="1" spans="1:9">
      <c r="A25" s="10"/>
      <c r="B25" s="10" t="s">
        <v>239</v>
      </c>
      <c r="C25" s="10"/>
      <c r="D25" s="10" t="s">
        <v>22</v>
      </c>
      <c r="E25" s="11">
        <v>9.3</v>
      </c>
      <c r="F25" s="10">
        <v>1</v>
      </c>
      <c r="G25" s="10">
        <v>1</v>
      </c>
      <c r="H25" s="7">
        <f t="shared" si="0"/>
        <v>9.3</v>
      </c>
      <c r="I25" s="10"/>
    </row>
    <row r="26" ht="25" customHeight="1" spans="1:9">
      <c r="A26" s="6">
        <v>24</v>
      </c>
      <c r="B26" s="6" t="s">
        <v>240</v>
      </c>
      <c r="C26" s="6" t="s">
        <v>241</v>
      </c>
      <c r="D26" s="6" t="s">
        <v>13</v>
      </c>
      <c r="E26" s="7">
        <v>5</v>
      </c>
      <c r="F26" s="6">
        <v>1</v>
      </c>
      <c r="G26" s="6">
        <v>1</v>
      </c>
      <c r="H26" s="7">
        <f t="shared" si="0"/>
        <v>5</v>
      </c>
      <c r="I26" s="6" t="s">
        <v>199</v>
      </c>
    </row>
    <row r="27" ht="25" customHeight="1" spans="1:9">
      <c r="A27" s="6">
        <v>25</v>
      </c>
      <c r="B27" s="6" t="s">
        <v>242</v>
      </c>
      <c r="C27" s="6" t="s">
        <v>243</v>
      </c>
      <c r="D27" s="6" t="s">
        <v>198</v>
      </c>
      <c r="E27" s="7">
        <v>2.4</v>
      </c>
      <c r="F27" s="6">
        <v>3</v>
      </c>
      <c r="G27" s="6">
        <v>3</v>
      </c>
      <c r="H27" s="7">
        <f t="shared" si="0"/>
        <v>7.2</v>
      </c>
      <c r="I27" s="6" t="s">
        <v>199</v>
      </c>
    </row>
    <row r="28" ht="25" customHeight="1" spans="1:9">
      <c r="A28" s="6">
        <v>26</v>
      </c>
      <c r="B28" s="6" t="s">
        <v>244</v>
      </c>
      <c r="C28" s="6">
        <v>2619802505</v>
      </c>
      <c r="D28" s="6" t="s">
        <v>245</v>
      </c>
      <c r="E28" s="7">
        <v>6.8</v>
      </c>
      <c r="F28" s="6">
        <v>1</v>
      </c>
      <c r="G28" s="6">
        <v>1</v>
      </c>
      <c r="H28" s="7">
        <f t="shared" si="0"/>
        <v>6.8</v>
      </c>
      <c r="I28" s="6" t="s">
        <v>199</v>
      </c>
    </row>
    <row r="29" ht="39" customHeight="1" spans="1:9">
      <c r="A29" s="6">
        <v>27</v>
      </c>
      <c r="B29" s="6" t="s">
        <v>130</v>
      </c>
      <c r="C29" s="6" t="s">
        <v>246</v>
      </c>
      <c r="D29" s="6" t="s">
        <v>22</v>
      </c>
      <c r="E29" s="7">
        <v>9.4</v>
      </c>
      <c r="F29" s="6">
        <v>1</v>
      </c>
      <c r="G29" s="6">
        <v>1</v>
      </c>
      <c r="H29" s="7">
        <f t="shared" si="0"/>
        <v>9.4</v>
      </c>
      <c r="I29" s="6" t="s">
        <v>199</v>
      </c>
    </row>
    <row r="30" ht="25" customHeight="1" spans="1:9">
      <c r="A30" s="8">
        <v>28</v>
      </c>
      <c r="B30" s="8" t="s">
        <v>247</v>
      </c>
      <c r="C30" s="8" t="s">
        <v>248</v>
      </c>
      <c r="D30" s="8"/>
      <c r="E30" s="9"/>
      <c r="F30" s="8">
        <v>7</v>
      </c>
      <c r="G30" s="8"/>
      <c r="H30" s="9">
        <f t="shared" si="0"/>
        <v>0</v>
      </c>
      <c r="I30" s="8" t="s">
        <v>199</v>
      </c>
    </row>
    <row r="31" ht="25" customHeight="1" spans="1:9">
      <c r="A31" s="6">
        <v>29</v>
      </c>
      <c r="B31" s="6" t="s">
        <v>147</v>
      </c>
      <c r="C31" s="6"/>
      <c r="D31" s="6"/>
      <c r="E31" s="7"/>
      <c r="F31" s="6">
        <v>1</v>
      </c>
      <c r="G31" s="6">
        <v>0</v>
      </c>
      <c r="H31" s="7">
        <f t="shared" si="0"/>
        <v>0</v>
      </c>
      <c r="I31" s="6" t="s">
        <v>199</v>
      </c>
    </row>
    <row r="32" ht="36" customHeight="1" spans="1:9">
      <c r="A32" s="6">
        <v>30</v>
      </c>
      <c r="B32" s="6" t="s">
        <v>249</v>
      </c>
      <c r="C32" s="6" t="s">
        <v>250</v>
      </c>
      <c r="D32" s="6" t="s">
        <v>251</v>
      </c>
      <c r="E32" s="7">
        <v>11.2</v>
      </c>
      <c r="F32" s="6">
        <v>19</v>
      </c>
      <c r="G32" s="6">
        <v>19</v>
      </c>
      <c r="H32" s="7">
        <f t="shared" si="0"/>
        <v>212.8</v>
      </c>
      <c r="I32" s="6" t="s">
        <v>199</v>
      </c>
    </row>
    <row r="33" ht="39" customHeight="1" spans="1:9">
      <c r="A33" s="6">
        <v>31</v>
      </c>
      <c r="B33" s="6" t="s">
        <v>252</v>
      </c>
      <c r="C33" s="6" t="s">
        <v>253</v>
      </c>
      <c r="D33" s="6" t="s">
        <v>251</v>
      </c>
      <c r="E33" s="7">
        <v>1.6</v>
      </c>
      <c r="F33" s="6">
        <v>8</v>
      </c>
      <c r="G33" s="6">
        <v>8</v>
      </c>
      <c r="H33" s="7">
        <f t="shared" si="0"/>
        <v>12.8</v>
      </c>
      <c r="I33" s="6" t="s">
        <v>199</v>
      </c>
    </row>
    <row r="34" ht="39" customHeight="1" spans="1:9">
      <c r="A34" s="10"/>
      <c r="B34" s="10" t="s">
        <v>254</v>
      </c>
      <c r="C34" s="10" t="s">
        <v>255</v>
      </c>
      <c r="D34" s="10" t="s">
        <v>251</v>
      </c>
      <c r="E34" s="11">
        <v>1.5</v>
      </c>
      <c r="F34" s="10">
        <v>3</v>
      </c>
      <c r="G34" s="10">
        <v>3</v>
      </c>
      <c r="H34" s="11">
        <f t="shared" si="0"/>
        <v>4.5</v>
      </c>
      <c r="I34" s="10"/>
    </row>
    <row r="35" ht="36" customHeight="1" spans="1:9">
      <c r="A35" s="6">
        <v>32</v>
      </c>
      <c r="B35" s="6" t="s">
        <v>256</v>
      </c>
      <c r="C35" s="6" t="s">
        <v>257</v>
      </c>
      <c r="D35" s="6" t="s">
        <v>251</v>
      </c>
      <c r="E35" s="7">
        <v>18.2</v>
      </c>
      <c r="F35" s="6">
        <v>6</v>
      </c>
      <c r="G35" s="6">
        <v>6</v>
      </c>
      <c r="H35" s="7">
        <f t="shared" si="0"/>
        <v>109.2</v>
      </c>
      <c r="I35" s="6" t="s">
        <v>199</v>
      </c>
    </row>
    <row r="36" ht="25" customHeight="1" spans="1:9">
      <c r="A36" s="6">
        <v>33</v>
      </c>
      <c r="B36" s="6" t="s">
        <v>258</v>
      </c>
      <c r="C36" s="6"/>
      <c r="D36" s="6" t="s">
        <v>22</v>
      </c>
      <c r="E36" s="7">
        <v>110</v>
      </c>
      <c r="F36" s="6">
        <v>3</v>
      </c>
      <c r="G36" s="6">
        <v>3</v>
      </c>
      <c r="H36" s="7">
        <f t="shared" si="0"/>
        <v>330</v>
      </c>
      <c r="I36" s="6" t="s">
        <v>199</v>
      </c>
    </row>
    <row r="37" ht="25" customHeight="1" spans="1:9">
      <c r="A37" s="6">
        <v>34</v>
      </c>
      <c r="B37" s="6" t="s">
        <v>259</v>
      </c>
      <c r="C37" s="6" t="s">
        <v>260</v>
      </c>
      <c r="D37" s="6" t="s">
        <v>198</v>
      </c>
      <c r="E37" s="7">
        <v>2.9</v>
      </c>
      <c r="F37" s="6">
        <v>3</v>
      </c>
      <c r="G37" s="6">
        <v>3</v>
      </c>
      <c r="H37" s="7">
        <v>2</v>
      </c>
      <c r="I37" s="6" t="s">
        <v>199</v>
      </c>
    </row>
    <row r="38" ht="25" customHeight="1" spans="1:9">
      <c r="A38" s="6">
        <v>35</v>
      </c>
      <c r="B38" s="6" t="s">
        <v>261</v>
      </c>
      <c r="C38" s="6" t="s">
        <v>262</v>
      </c>
      <c r="D38" s="6" t="s">
        <v>245</v>
      </c>
      <c r="E38" s="7">
        <v>2.7</v>
      </c>
      <c r="F38" s="6">
        <v>2</v>
      </c>
      <c r="G38" s="6">
        <v>2</v>
      </c>
      <c r="H38" s="7">
        <f>PRODUCT(E38*G38)</f>
        <v>5.4</v>
      </c>
      <c r="I38" s="6" t="s">
        <v>199</v>
      </c>
    </row>
    <row r="39" ht="25" customHeight="1" spans="1:9">
      <c r="A39" s="6">
        <v>36</v>
      </c>
      <c r="B39" s="6" t="s">
        <v>263</v>
      </c>
      <c r="C39" s="6" t="s">
        <v>264</v>
      </c>
      <c r="D39" s="6" t="s">
        <v>245</v>
      </c>
      <c r="E39" s="7">
        <v>4.7</v>
      </c>
      <c r="F39" s="6">
        <v>2</v>
      </c>
      <c r="G39" s="6">
        <v>2</v>
      </c>
      <c r="H39" s="7">
        <f>PRODUCT(E39*G39)</f>
        <v>9.4</v>
      </c>
      <c r="I39" s="6" t="s">
        <v>199</v>
      </c>
    </row>
    <row r="40" s="2" customFormat="1" ht="25" customHeight="1" spans="1:9">
      <c r="E40" s="12"/>
      <c r="F40" s="2"/>
      <c r="G40" s="2" t="s">
        <v>265</v>
      </c>
      <c r="H40" s="12">
        <f>SUM(H2:H39)</f>
        <v>920.94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Приложение № 2 (ПИТЕР)</vt:lpstr>
      <vt:lpstr>Приложение №3 (Питер)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U1</cp:lastModifiedBy>
  <dcterms:created xsi:type="dcterms:W3CDTF">2026-09-30T05:30:00Z</dcterms:created>
  <dcterms:modified xsi:type="dcterms:W3CDTF">2026-10-05T08:55:41Z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BDFB382DCF5E4DF88791266E2703F588_13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
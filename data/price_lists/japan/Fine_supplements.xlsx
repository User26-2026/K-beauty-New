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57AB10C-EBE5-4BBB-AFFA-459E7B188FF7}" xr6:coauthVersionLast="47" xr6:coauthVersionMax="47" xr10:uidLastSave="{00000000-0000-0000-0000-000000000000}"/>
  <bookViews>
    <workbookView xWindow="720" yWindow="105" windowWidth="16785" windowHeight="10695" xr2:uid="{00000000-000D-0000-FFFF-FFFF00000000}"/>
  </bookViews>
  <sheets>
    <sheet name="Price" sheetId="1" r:id="rId1"/>
  </sheets>
  <definedNames>
    <definedName name="_xlnm._FilterDatabase" localSheetId="0" hidden="1">Price!$J$1:$J$10</definedName>
  </definedNames>
  <calcPr calcId="191029"/>
</workbook>
</file>

<file path=xl/calcChain.xml><?xml version="1.0" encoding="utf-8"?>
<calcChain xmlns="http://schemas.openxmlformats.org/spreadsheetml/2006/main">
  <c r="J7" i="1" l="1"/>
  <c r="U8" i="1" l="1"/>
  <c r="V8" i="1"/>
  <c r="U9" i="1" l="1"/>
  <c r="V9" i="1"/>
  <c r="U10" i="1"/>
  <c r="V10" i="1"/>
  <c r="V7" i="1" l="1"/>
  <c r="U7" i="1"/>
  <c r="K8" i="1" l="1"/>
  <c r="K9" i="1"/>
  <c r="K10" i="1"/>
  <c r="L10" i="1" l="1"/>
  <c r="T10" i="1"/>
  <c r="L9" i="1"/>
  <c r="T9" i="1"/>
  <c r="L8" i="1"/>
  <c r="T8" i="1"/>
  <c r="K7" i="1"/>
  <c r="T7" i="1" l="1"/>
  <c r="L7" i="1"/>
</calcChain>
</file>

<file path=xl/sharedStrings.xml><?xml version="1.0" encoding="utf-8"?>
<sst xmlns="http://schemas.openxmlformats.org/spreadsheetml/2006/main" count="41" uniqueCount="31">
  <si>
    <t>Maker</t>
  </si>
  <si>
    <t>CTN</t>
  </si>
  <si>
    <t>PCS</t>
  </si>
  <si>
    <t>L</t>
  </si>
  <si>
    <t>W</t>
  </si>
  <si>
    <t>H</t>
  </si>
  <si>
    <t>Order Quantity</t>
  </si>
  <si>
    <t>Origin</t>
  </si>
  <si>
    <t>Carton Measures (m)</t>
  </si>
  <si>
    <t>JAN</t>
  </si>
  <si>
    <t>code</t>
  </si>
  <si>
    <t>Cost (JPY)</t>
  </si>
  <si>
    <t>Order</t>
  </si>
  <si>
    <t>Volume (m3)</t>
  </si>
  <si>
    <t>Piece</t>
  </si>
  <si>
    <t>Weight (kg)</t>
  </si>
  <si>
    <t>Pieces per</t>
  </si>
  <si>
    <t>Order NET</t>
  </si>
  <si>
    <t>Order Gross</t>
  </si>
  <si>
    <t>Price</t>
  </si>
  <si>
    <t>JAPAN</t>
  </si>
  <si>
    <t>FINE JAPAN</t>
    <phoneticPr fontId="1"/>
  </si>
  <si>
    <r>
      <rPr>
        <sz val="11"/>
        <rFont val="游ゴシック"/>
        <family val="2"/>
        <charset val="128"/>
      </rPr>
      <t>日本ﾉ青汁</t>
    </r>
    <r>
      <rPr>
        <sz val="11"/>
        <rFont val="Arial"/>
        <family val="2"/>
      </rPr>
      <t xml:space="preserve">100g </t>
    </r>
    <phoneticPr fontId="1"/>
  </si>
  <si>
    <r>
      <rPr>
        <sz val="11"/>
        <rFont val="游ゴシック"/>
        <family val="2"/>
        <charset val="128"/>
      </rPr>
      <t>日本ﾉ青汁ﾊﾞﾅﾅﾁｱｼｰﾄﾞ</t>
    </r>
    <r>
      <rPr>
        <sz val="11"/>
        <rFont val="Arial"/>
        <family val="2"/>
      </rPr>
      <t>40</t>
    </r>
    <r>
      <rPr>
        <sz val="11"/>
        <rFont val="游ゴシック"/>
        <family val="2"/>
        <charset val="128"/>
      </rPr>
      <t>包</t>
    </r>
    <phoneticPr fontId="1"/>
  </si>
  <si>
    <r>
      <rPr>
        <sz val="11"/>
        <rFont val="游ゴシック"/>
        <family val="2"/>
        <charset val="128"/>
      </rPr>
      <t>ﾌﾙｰﾂﾉ入ｯﾀ日本ﾉ青汁</t>
    </r>
    <r>
      <rPr>
        <sz val="11"/>
        <rFont val="Arial"/>
        <family val="2"/>
      </rPr>
      <t>+</t>
    </r>
    <r>
      <rPr>
        <sz val="11"/>
        <rFont val="游ゴシック"/>
        <family val="2"/>
        <charset val="128"/>
      </rPr>
      <t>納豆ｷﾅｰｾﾞ</t>
    </r>
    <r>
      <rPr>
        <sz val="11"/>
        <rFont val="Arial"/>
        <family val="2"/>
      </rPr>
      <t>30</t>
    </r>
    <r>
      <rPr>
        <sz val="11"/>
        <rFont val="游ゴシック"/>
        <family val="2"/>
        <charset val="128"/>
      </rPr>
      <t>包</t>
    </r>
    <phoneticPr fontId="1"/>
  </si>
  <si>
    <t>Japanese Green 100g</t>
  </si>
  <si>
    <t>Japanese Green with Chia Seeds -Banana flavor-  40sticks)</t>
  </si>
  <si>
    <t>Japanese Green + Natto Kinase with fruits 30 stciks</t>
  </si>
  <si>
    <t>Японский зелёный чай 100 г</t>
  </si>
  <si>
    <t>Японский зелёный чай с семенами чиа, вкус банана — 40 стиков</t>
    <phoneticPr fontId="1"/>
  </si>
  <si>
    <t>Японский зелёный чай с наттокиназой и фруктами — 30 стиков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</si>
</sst>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¥-411]#,##0"/>
    <numFmt numFmtId="177" formatCode="0_);[Red]\(0\)"/>
    <numFmt numFmtId="178" formatCode="&quot;¥&quot;#,##0_);[Red]\(&quot;¥&quot;#,##0\)"/>
    <numFmt numFmtId="179" formatCode="0.000_);[Red]\(0.000\)"/>
  </numFmts>
  <fonts count="10">
    <font>
      <sz val="11"/>
      <color theme="1"/>
      <name val="ＭＳ Ｐゴシック"/>
      <family val="2"/>
      <charset val="204"/>
      <scheme val="minor"/>
    </font>
    <font>
      <sz val="6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游ゴシック"/>
      <family val="2"/>
      <charset val="128"/>
    </font>
    <font>
      <sz val="11"/>
      <name val="Arial"/>
      <family val="2"/>
      <charset val="128"/>
    </font>
    <font>
      <sz val="12"/>
      <name val="Meiryo"/>
      <family val="2"/>
    </font>
    <font>
      <sz val="12"/>
      <color rgb="FFFF0000"/>
      <name val="Meiryo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81">
    <xf numFmtId="0" fontId="0" fillId="0" borderId="0" xfId="0"/>
    <xf numFmtId="177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 shrinkToFit="1"/>
    </xf>
    <xf numFmtId="0" fontId="3" fillId="2" borderId="0" xfId="0" applyFont="1" applyFill="1" applyAlignment="1">
      <alignment horizontal="left"/>
    </xf>
    <xf numFmtId="177" fontId="3" fillId="2" borderId="0" xfId="0" applyNumberFormat="1" applyFont="1" applyFill="1" applyAlignment="1">
      <alignment horizontal="right"/>
    </xf>
    <xf numFmtId="178" fontId="3" fillId="2" borderId="0" xfId="0" applyNumberFormat="1" applyFont="1" applyFill="1" applyAlignment="1">
      <alignment horizontal="right"/>
    </xf>
    <xf numFmtId="179" fontId="3" fillId="2" borderId="0" xfId="0" applyNumberFormat="1" applyFont="1" applyFill="1" applyAlignment="1">
      <alignment horizontal="left"/>
    </xf>
    <xf numFmtId="177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 shrinkToFit="1"/>
    </xf>
    <xf numFmtId="0" fontId="3" fillId="4" borderId="0" xfId="0" applyFont="1" applyFill="1" applyAlignment="1">
      <alignment horizontal="left"/>
    </xf>
    <xf numFmtId="1" fontId="3" fillId="4" borderId="0" xfId="0" applyNumberFormat="1" applyFont="1" applyFill="1" applyAlignment="1">
      <alignment horizontal="left"/>
    </xf>
    <xf numFmtId="177" fontId="3" fillId="4" borderId="0" xfId="0" applyNumberFormat="1" applyFont="1" applyFill="1" applyAlignment="1">
      <alignment horizontal="right"/>
    </xf>
    <xf numFmtId="178" fontId="3" fillId="4" borderId="0" xfId="0" applyNumberFormat="1" applyFont="1" applyFill="1" applyAlignment="1">
      <alignment horizontal="right"/>
    </xf>
    <xf numFmtId="179" fontId="3" fillId="4" borderId="0" xfId="0" applyNumberFormat="1" applyFont="1" applyFill="1" applyAlignment="1">
      <alignment horizontal="left"/>
    </xf>
    <xf numFmtId="1" fontId="3" fillId="4" borderId="0" xfId="0" applyNumberFormat="1" applyFont="1" applyFill="1" applyAlignment="1">
      <alignment horizontal="left" shrinkToFit="1"/>
    </xf>
    <xf numFmtId="177" fontId="4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 shrinkToFit="1"/>
    </xf>
    <xf numFmtId="0" fontId="4" fillId="4" borderId="0" xfId="0" applyFont="1" applyFill="1" applyAlignment="1">
      <alignment horizontal="left"/>
    </xf>
    <xf numFmtId="178" fontId="4" fillId="4" borderId="0" xfId="0" applyNumberFormat="1" applyFont="1" applyFill="1" applyAlignment="1">
      <alignment horizontal="right"/>
    </xf>
    <xf numFmtId="179" fontId="4" fillId="4" borderId="0" xfId="0" applyNumberFormat="1" applyFont="1" applyFill="1" applyAlignment="1">
      <alignment horizontal="left" shrinkToFit="1"/>
    </xf>
    <xf numFmtId="177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left" vertical="center"/>
    </xf>
    <xf numFmtId="177" fontId="3" fillId="4" borderId="0" xfId="0" applyNumberFormat="1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left" vertical="center"/>
    </xf>
    <xf numFmtId="177" fontId="3" fillId="5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shrinkToFit="1"/>
    </xf>
    <xf numFmtId="0" fontId="3" fillId="5" borderId="0" xfId="0" applyFont="1" applyFill="1" applyAlignment="1">
      <alignment horizontal="left"/>
    </xf>
    <xf numFmtId="1" fontId="3" fillId="5" borderId="0" xfId="0" applyNumberFormat="1" applyFont="1" applyFill="1" applyAlignment="1">
      <alignment horizontal="left"/>
    </xf>
    <xf numFmtId="177" fontId="3" fillId="5" borderId="0" xfId="0" applyNumberFormat="1" applyFont="1" applyFill="1" applyAlignment="1">
      <alignment horizontal="right"/>
    </xf>
    <xf numFmtId="178" fontId="3" fillId="5" borderId="0" xfId="0" applyNumberFormat="1" applyFont="1" applyFill="1" applyAlignment="1">
      <alignment horizontal="right"/>
    </xf>
    <xf numFmtId="179" fontId="3" fillId="5" borderId="0" xfId="0" applyNumberFormat="1" applyFont="1" applyFill="1" applyAlignment="1">
      <alignment horizontal="left"/>
    </xf>
    <xf numFmtId="1" fontId="3" fillId="5" borderId="0" xfId="0" applyNumberFormat="1" applyFont="1" applyFill="1" applyAlignment="1">
      <alignment horizontal="left" shrinkToFit="1"/>
    </xf>
    <xf numFmtId="177" fontId="3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 shrinkToFit="1"/>
    </xf>
    <xf numFmtId="0" fontId="3" fillId="6" borderId="0" xfId="0" applyFont="1" applyFill="1" applyAlignment="1">
      <alignment horizontal="left"/>
    </xf>
    <xf numFmtId="1" fontId="3" fillId="6" borderId="0" xfId="0" applyNumberFormat="1" applyFont="1" applyFill="1" applyAlignment="1">
      <alignment horizontal="left"/>
    </xf>
    <xf numFmtId="177" fontId="3" fillId="6" borderId="0" xfId="0" applyNumberFormat="1" applyFont="1" applyFill="1" applyAlignment="1">
      <alignment horizontal="right"/>
    </xf>
    <xf numFmtId="178" fontId="3" fillId="6" borderId="0" xfId="0" applyNumberFormat="1" applyFont="1" applyFill="1" applyAlignment="1">
      <alignment horizontal="right"/>
    </xf>
    <xf numFmtId="179" fontId="3" fillId="6" borderId="0" xfId="0" applyNumberFormat="1" applyFont="1" applyFill="1" applyAlignment="1">
      <alignment horizontal="left"/>
    </xf>
    <xf numFmtId="1" fontId="3" fillId="6" borderId="0" xfId="0" applyNumberFormat="1" applyFont="1" applyFill="1" applyAlignment="1">
      <alignment horizontal="left" shrinkToFit="1"/>
    </xf>
    <xf numFmtId="177" fontId="3" fillId="7" borderId="0" xfId="0" applyNumberFormat="1" applyFont="1" applyFill="1" applyAlignment="1">
      <alignment horizontal="left"/>
    </xf>
    <xf numFmtId="0" fontId="3" fillId="7" borderId="0" xfId="0" applyFont="1" applyFill="1" applyAlignment="1">
      <alignment horizontal="left" shrinkToFit="1"/>
    </xf>
    <xf numFmtId="0" fontId="3" fillId="7" borderId="0" xfId="0" applyFont="1" applyFill="1" applyAlignment="1">
      <alignment horizontal="left"/>
    </xf>
    <xf numFmtId="1" fontId="3" fillId="7" borderId="0" xfId="0" applyNumberFormat="1" applyFont="1" applyFill="1" applyAlignment="1">
      <alignment horizontal="left"/>
    </xf>
    <xf numFmtId="177" fontId="3" fillId="7" borderId="0" xfId="0" applyNumberFormat="1" applyFont="1" applyFill="1" applyAlignment="1">
      <alignment horizontal="right"/>
    </xf>
    <xf numFmtId="178" fontId="3" fillId="7" borderId="0" xfId="0" applyNumberFormat="1" applyFont="1" applyFill="1" applyAlignment="1">
      <alignment horizontal="right"/>
    </xf>
    <xf numFmtId="179" fontId="3" fillId="7" borderId="0" xfId="0" applyNumberFormat="1" applyFont="1" applyFill="1" applyAlignment="1">
      <alignment horizontal="left"/>
    </xf>
    <xf numFmtId="1" fontId="3" fillId="7" borderId="0" xfId="0" applyNumberFormat="1" applyFont="1" applyFill="1" applyAlignment="1">
      <alignment horizontal="left" shrinkToFit="1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4" borderId="0" xfId="0" applyFont="1" applyFill="1"/>
    <xf numFmtId="0" fontId="4" fillId="4" borderId="0" xfId="0" applyFont="1" applyFill="1"/>
    <xf numFmtId="0" fontId="3" fillId="4" borderId="0" xfId="0" applyFont="1" applyFill="1" applyAlignment="1">
      <alignment vertical="center"/>
    </xf>
    <xf numFmtId="0" fontId="3" fillId="2" borderId="0" xfId="0" applyFont="1" applyFill="1"/>
    <xf numFmtId="0" fontId="5" fillId="0" borderId="0" xfId="0" applyFont="1"/>
    <xf numFmtId="1" fontId="3" fillId="5" borderId="0" xfId="0" applyNumberFormat="1" applyFont="1" applyFill="1" applyAlignment="1">
      <alignment horizontal="right"/>
    </xf>
    <xf numFmtId="1" fontId="3" fillId="6" borderId="0" xfId="0" applyNumberFormat="1" applyFont="1" applyFill="1" applyAlignment="1">
      <alignment horizontal="right"/>
    </xf>
    <xf numFmtId="1" fontId="3" fillId="7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 wrapText="1" shrinkToFit="1"/>
    </xf>
    <xf numFmtId="0" fontId="4" fillId="4" borderId="0" xfId="0" applyFont="1" applyFill="1" applyAlignment="1">
      <alignment horizontal="right" shrinkToFit="1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76" fontId="3" fillId="5" borderId="0" xfId="0" applyNumberFormat="1" applyFont="1" applyFill="1" applyAlignment="1">
      <alignment horizontal="center"/>
    </xf>
    <xf numFmtId="176" fontId="3" fillId="6" borderId="0" xfId="0" applyNumberFormat="1" applyFont="1" applyFill="1" applyAlignment="1">
      <alignment horizontal="center"/>
    </xf>
    <xf numFmtId="176" fontId="3" fillId="7" borderId="0" xfId="0" applyNumberFormat="1" applyFont="1" applyFill="1" applyAlignment="1">
      <alignment horizontal="center"/>
    </xf>
    <xf numFmtId="176" fontId="3" fillId="4" borderId="0" xfId="0" applyNumberFormat="1" applyFont="1" applyFill="1" applyAlignment="1">
      <alignment horizontal="center"/>
    </xf>
    <xf numFmtId="176" fontId="4" fillId="4" borderId="0" xfId="0" applyNumberFormat="1" applyFont="1" applyFill="1" applyAlignment="1">
      <alignment horizontal="center" shrinkToFit="1"/>
    </xf>
    <xf numFmtId="176" fontId="3" fillId="4" borderId="0" xfId="0" quotePrefix="1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/>
    </xf>
    <xf numFmtId="179" fontId="4" fillId="4" borderId="0" xfId="0" applyNumberFormat="1" applyFont="1" applyFill="1" applyAlignment="1">
      <alignment horizontal="left"/>
    </xf>
    <xf numFmtId="177" fontId="4" fillId="4" borderId="0" xfId="0" applyNumberFormat="1" applyFont="1" applyFill="1"/>
    <xf numFmtId="179" fontId="4" fillId="4" borderId="0" xfId="0" applyNumberFormat="1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9" fillId="2" borderId="0" xfId="0" applyFont="1" applyFill="1"/>
    <xf numFmtId="176" fontId="3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2">
    <cellStyle name="桁区切り 10 2 3 2 3 2" xfId="1" xr:uid="{00000000-0005-0000-0000-000001000000}"/>
    <cellStyle name="標準" xfId="0" builtinId="0"/>
  </cellStyles>
  <dxfs count="0"/>
  <tableStyles count="0" defaultTableStyle="TableStyleMedium9" defaultPivotStyle="PivotStyleLight16"/>
  <colors>
    <mruColors>
      <color rgb="FFFF99CC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zoomScaleNormal="100" workbookViewId="0">
      <selection activeCell="F10" sqref="F10"/>
    </sheetView>
  </sheetViews>
  <sheetFormatPr defaultColWidth="9.125" defaultRowHeight="14.25" outlineLevelCol="1"/>
  <cols>
    <col min="1" max="1" width="4.75" style="1" bestFit="1" customWidth="1"/>
    <col min="2" max="2" width="21.75" style="2" customWidth="1"/>
    <col min="3" max="3" width="22.25" style="1" bestFit="1" customWidth="1"/>
    <col min="4" max="4" width="32.625" style="3" customWidth="1"/>
    <col min="5" max="5" width="52.375" style="56" customWidth="1"/>
    <col min="6" max="6" width="62.75" style="3" bestFit="1" customWidth="1"/>
    <col min="7" max="7" width="7.25" style="65" customWidth="1"/>
    <col min="8" max="8" width="11.75" style="72" customWidth="1"/>
    <col min="9" max="9" width="3.25" style="3" customWidth="1" collapsed="1"/>
    <col min="10" max="11" width="8.75" style="4" customWidth="1"/>
    <col min="12" max="12" width="14.75" style="5" customWidth="1"/>
    <col min="13" max="13" width="2.75" style="3" customWidth="1" outlineLevel="1"/>
    <col min="14" max="18" width="8.125" style="6" customWidth="1" outlineLevel="1"/>
    <col min="19" max="19" width="2.75" style="6" customWidth="1" outlineLevel="1"/>
    <col min="20" max="22" width="14.75" style="6" customWidth="1"/>
    <col min="23" max="23" width="2.75" style="3" customWidth="1"/>
    <col min="24" max="24" width="13.375" style="2" customWidth="1"/>
    <col min="25" max="16384" width="9.125" style="3"/>
  </cols>
  <sheetData>
    <row r="1" spans="1:24" s="28" customFormat="1" ht="17.25" customHeight="1">
      <c r="A1" s="26"/>
      <c r="B1" s="27"/>
      <c r="C1" s="26"/>
      <c r="E1" s="50"/>
      <c r="F1" s="29"/>
      <c r="G1" s="58"/>
      <c r="H1" s="66"/>
      <c r="I1" s="29"/>
      <c r="J1" s="30"/>
      <c r="K1" s="30"/>
      <c r="L1" s="31"/>
      <c r="M1" s="29"/>
      <c r="N1" s="32"/>
      <c r="O1" s="32"/>
      <c r="P1" s="32"/>
      <c r="Q1" s="32"/>
      <c r="R1" s="32"/>
      <c r="S1" s="32"/>
      <c r="T1" s="32"/>
      <c r="U1" s="32"/>
      <c r="V1" s="32"/>
      <c r="W1" s="29"/>
      <c r="X1" s="33"/>
    </row>
    <row r="2" spans="1:24" s="36" customFormat="1" ht="17.25" customHeight="1">
      <c r="A2" s="34"/>
      <c r="B2" s="35"/>
      <c r="C2" s="34"/>
      <c r="E2" s="51"/>
      <c r="F2" s="37"/>
      <c r="G2" s="59"/>
      <c r="H2" s="67"/>
      <c r="I2" s="37"/>
      <c r="J2" s="38"/>
      <c r="K2" s="38"/>
      <c r="L2" s="39"/>
      <c r="M2" s="37"/>
      <c r="N2" s="40"/>
      <c r="O2" s="40"/>
      <c r="P2" s="40"/>
      <c r="Q2" s="40"/>
      <c r="R2" s="40"/>
      <c r="S2" s="40"/>
      <c r="T2" s="40"/>
      <c r="U2" s="40"/>
      <c r="V2" s="40"/>
      <c r="W2" s="37"/>
      <c r="X2" s="41"/>
    </row>
    <row r="3" spans="1:24" s="44" customFormat="1" ht="17.25" customHeight="1">
      <c r="A3" s="42"/>
      <c r="B3" s="43"/>
      <c r="C3" s="42"/>
      <c r="E3" s="52"/>
      <c r="F3" s="45"/>
      <c r="G3" s="60"/>
      <c r="H3" s="68"/>
      <c r="I3" s="45"/>
      <c r="J3" s="46"/>
      <c r="K3" s="46"/>
      <c r="L3" s="47"/>
      <c r="M3" s="45"/>
      <c r="N3" s="48"/>
      <c r="O3" s="48"/>
      <c r="P3" s="48"/>
      <c r="Q3" s="48"/>
      <c r="R3" s="48"/>
      <c r="S3" s="48"/>
      <c r="T3" s="48"/>
      <c r="U3" s="48"/>
      <c r="V3" s="48"/>
      <c r="W3" s="45"/>
      <c r="X3" s="49"/>
    </row>
    <row r="4" spans="1:24" s="9" customFormat="1">
      <c r="A4" s="7"/>
      <c r="B4" s="8"/>
      <c r="C4" s="7"/>
      <c r="E4" s="53"/>
      <c r="F4" s="10"/>
      <c r="G4" s="61"/>
      <c r="H4" s="69"/>
      <c r="I4" s="10"/>
      <c r="J4" s="11"/>
      <c r="K4" s="11"/>
      <c r="L4" s="12"/>
      <c r="M4" s="10"/>
      <c r="N4" s="13"/>
      <c r="O4" s="13"/>
      <c r="P4" s="13"/>
      <c r="Q4" s="13"/>
      <c r="R4" s="13"/>
      <c r="S4" s="13"/>
      <c r="T4" s="13"/>
      <c r="U4" s="13"/>
      <c r="V4" s="13"/>
      <c r="W4" s="10"/>
      <c r="X4" s="14"/>
    </row>
    <row r="5" spans="1:24" s="9" customFormat="1" ht="31.5" customHeight="1">
      <c r="A5" s="7"/>
      <c r="B5" s="8"/>
      <c r="C5" s="15" t="s">
        <v>9</v>
      </c>
      <c r="E5" s="53"/>
      <c r="G5" s="62" t="s">
        <v>16</v>
      </c>
      <c r="H5" s="70"/>
      <c r="I5" s="17"/>
      <c r="J5" s="74" t="s">
        <v>6</v>
      </c>
      <c r="K5" s="74"/>
      <c r="L5" s="18" t="s">
        <v>12</v>
      </c>
      <c r="M5" s="17"/>
      <c r="N5" s="75" t="s">
        <v>8</v>
      </c>
      <c r="O5" s="75"/>
      <c r="P5" s="75"/>
      <c r="Q5" s="73" t="s">
        <v>14</v>
      </c>
      <c r="R5" s="73" t="s">
        <v>1</v>
      </c>
      <c r="S5" s="73"/>
      <c r="T5" s="73" t="s">
        <v>17</v>
      </c>
      <c r="U5" s="73" t="s">
        <v>18</v>
      </c>
      <c r="V5" s="73" t="s">
        <v>12</v>
      </c>
      <c r="W5" s="17"/>
      <c r="X5" s="8"/>
    </row>
    <row r="6" spans="1:24" s="9" customFormat="1" ht="15">
      <c r="A6" s="7"/>
      <c r="B6" s="16" t="s">
        <v>0</v>
      </c>
      <c r="C6" s="15" t="s">
        <v>10</v>
      </c>
      <c r="D6" s="17"/>
      <c r="E6" s="54"/>
      <c r="F6" s="17"/>
      <c r="G6" s="63" t="s">
        <v>1</v>
      </c>
      <c r="H6" s="70" t="s">
        <v>19</v>
      </c>
      <c r="I6" s="17"/>
      <c r="J6" s="11" t="s">
        <v>1</v>
      </c>
      <c r="K6" s="11" t="s">
        <v>2</v>
      </c>
      <c r="L6" s="18" t="s">
        <v>11</v>
      </c>
      <c r="M6" s="17"/>
      <c r="N6" s="13" t="s">
        <v>3</v>
      </c>
      <c r="O6" s="13" t="s">
        <v>4</v>
      </c>
      <c r="P6" s="13" t="s">
        <v>5</v>
      </c>
      <c r="Q6" s="19" t="s">
        <v>15</v>
      </c>
      <c r="R6" s="19" t="s">
        <v>15</v>
      </c>
      <c r="S6" s="73"/>
      <c r="T6" s="73" t="s">
        <v>15</v>
      </c>
      <c r="U6" s="73" t="s">
        <v>15</v>
      </c>
      <c r="V6" s="73" t="s">
        <v>13</v>
      </c>
      <c r="W6" s="17"/>
      <c r="X6" s="16" t="s">
        <v>7</v>
      </c>
    </row>
    <row r="7" spans="1:24" s="22" customFormat="1" ht="18" customHeight="1">
      <c r="A7" s="20"/>
      <c r="B7" s="21"/>
      <c r="C7" s="20"/>
      <c r="E7" s="55"/>
      <c r="G7" s="64"/>
      <c r="H7" s="71"/>
      <c r="J7" s="23">
        <f>SUM(J8:J10)</f>
        <v>0</v>
      </c>
      <c r="K7" s="23">
        <f>SUM(K8:K10)</f>
        <v>0</v>
      </c>
      <c r="L7" s="24">
        <f>SUM(L8:L10)</f>
        <v>0</v>
      </c>
      <c r="N7" s="25"/>
      <c r="O7" s="25"/>
      <c r="P7" s="25"/>
      <c r="Q7" s="25"/>
      <c r="R7" s="25"/>
      <c r="S7" s="25"/>
      <c r="T7" s="25">
        <f>SUM(T8:T10)</f>
        <v>0</v>
      </c>
      <c r="U7" s="25">
        <f>SUM(U8:U10)</f>
        <v>0</v>
      </c>
      <c r="V7" s="25">
        <f>SUM(V8:V10)</f>
        <v>0</v>
      </c>
      <c r="X7" s="21"/>
    </row>
    <row r="8" spans="1:24" ht="18.75">
      <c r="B8" s="2" t="s">
        <v>21</v>
      </c>
      <c r="C8" s="1">
        <v>4976652006287</v>
      </c>
      <c r="D8" s="76" t="s">
        <v>22</v>
      </c>
      <c r="E8" s="57" t="s">
        <v>25</v>
      </c>
      <c r="F8" s="80" t="s">
        <v>28</v>
      </c>
      <c r="G8" s="65">
        <v>30</v>
      </c>
      <c r="H8" s="79">
        <v>670</v>
      </c>
      <c r="K8" s="4">
        <f>SUM(J8*G8)</f>
        <v>0</v>
      </c>
      <c r="L8" s="5">
        <f>SUM(K8*H8)</f>
        <v>0</v>
      </c>
      <c r="N8" s="6">
        <v>0.51500000000000001</v>
      </c>
      <c r="O8" s="6">
        <v>0.28299999999999997</v>
      </c>
      <c r="P8" s="6">
        <v>0.28000000000000003</v>
      </c>
      <c r="Q8" s="6">
        <v>0.109</v>
      </c>
      <c r="R8" s="6">
        <v>3.9</v>
      </c>
      <c r="T8" s="6">
        <f>Q8*K8</f>
        <v>0</v>
      </c>
      <c r="U8" s="6">
        <f>R8*J8</f>
        <v>0</v>
      </c>
      <c r="V8" s="6">
        <f>P8*O8*N8*J8</f>
        <v>0</v>
      </c>
      <c r="X8" s="2" t="s">
        <v>20</v>
      </c>
    </row>
    <row r="9" spans="1:24" ht="18.75">
      <c r="B9" s="2" t="s">
        <v>21</v>
      </c>
      <c r="C9" s="1">
        <v>4976652012172</v>
      </c>
      <c r="D9" s="76" t="s">
        <v>23</v>
      </c>
      <c r="E9" s="57" t="s">
        <v>26</v>
      </c>
      <c r="F9" s="3" t="s">
        <v>29</v>
      </c>
      <c r="G9" s="65">
        <v>30</v>
      </c>
      <c r="H9" s="79">
        <v>1050</v>
      </c>
      <c r="K9" s="4">
        <f>SUM(J9*G9)</f>
        <v>0</v>
      </c>
      <c r="L9" s="5">
        <f t="shared" ref="L9" si="0">SUM(K9*H9)</f>
        <v>0</v>
      </c>
      <c r="N9" s="6">
        <v>0.42</v>
      </c>
      <c r="O9" s="6">
        <v>0.42</v>
      </c>
      <c r="P9" s="6">
        <v>0.33500000000000002</v>
      </c>
      <c r="Q9" s="6">
        <v>0.185</v>
      </c>
      <c r="R9" s="6">
        <v>6.4</v>
      </c>
      <c r="T9" s="6">
        <f t="shared" ref="T9:T10" si="1">Q9*K9</f>
        <v>0</v>
      </c>
      <c r="U9" s="6">
        <f t="shared" ref="U9:U10" si="2">R9*J9</f>
        <v>0</v>
      </c>
      <c r="V9" s="6">
        <f t="shared" ref="V9:V10" si="3">P9*O9*N9*J9</f>
        <v>0</v>
      </c>
      <c r="X9" s="2" t="s">
        <v>20</v>
      </c>
    </row>
    <row r="10" spans="1:24" ht="18.75">
      <c r="B10" s="2" t="s">
        <v>21</v>
      </c>
      <c r="C10" s="1">
        <v>4976652016064</v>
      </c>
      <c r="D10" s="76" t="s">
        <v>24</v>
      </c>
      <c r="E10" s="57" t="s">
        <v>27</v>
      </c>
      <c r="F10" s="3" t="s">
        <v>30</v>
      </c>
      <c r="G10" s="65">
        <v>30</v>
      </c>
      <c r="H10" s="79">
        <v>1071</v>
      </c>
      <c r="K10" s="4">
        <f>SUM(J10*G10)</f>
        <v>0</v>
      </c>
      <c r="L10" s="5">
        <f t="shared" ref="L10" si="4">SUM(K10*H10)</f>
        <v>0</v>
      </c>
      <c r="N10" s="6">
        <v>0.375</v>
      </c>
      <c r="O10" s="6">
        <v>0.33500000000000002</v>
      </c>
      <c r="P10" s="6">
        <v>0.34499999999999997</v>
      </c>
      <c r="Q10" s="6">
        <v>0.154</v>
      </c>
      <c r="R10" s="6">
        <v>5.2</v>
      </c>
      <c r="T10" s="6">
        <f t="shared" si="1"/>
        <v>0</v>
      </c>
      <c r="U10" s="6">
        <f t="shared" si="2"/>
        <v>0</v>
      </c>
      <c r="V10" s="6">
        <f t="shared" si="3"/>
        <v>0</v>
      </c>
      <c r="X10" s="2" t="s">
        <v>20</v>
      </c>
    </row>
    <row r="12" spans="1:24" ht="19.5">
      <c r="E12" s="77"/>
    </row>
    <row r="13" spans="1:24" ht="19.5">
      <c r="E13" s="78"/>
    </row>
    <row r="14" spans="1:24" ht="19.5">
      <c r="E14" s="77"/>
    </row>
    <row r="15" spans="1:24" ht="19.5">
      <c r="E15" s="77"/>
    </row>
    <row r="16" spans="1:24" ht="19.5">
      <c r="E16" s="77"/>
    </row>
    <row r="17" spans="5:5" ht="19.5">
      <c r="E17" s="77"/>
    </row>
    <row r="18" spans="5:5" ht="19.5">
      <c r="E18" s="78"/>
    </row>
    <row r="19" spans="5:5" ht="19.5">
      <c r="E19" s="77"/>
    </row>
    <row r="20" spans="5:5" ht="19.5">
      <c r="E20" s="77"/>
    </row>
    <row r="21" spans="5:5" ht="19.5">
      <c r="E21" s="77"/>
    </row>
  </sheetData>
  <autoFilter ref="J1:J10" xr:uid="{00000000-0009-0000-0000-000000000000}"/>
  <phoneticPr fontId="1"/>
  <pageMargins left="0.25" right="0.25" top="0.75" bottom="0.75" header="0.3" footer="0.3"/>
  <pageSetup paperSize="9" scale="98" orientation="landscape" horizontalDpi="180" verticalDpi="18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2025-07-04T00:26:44Z</dcterms:modified>
</cp:coreProperties>
</file>
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단가리스트\"/>
    </mc:Choice>
  </mc:AlternateContent>
  <xr:revisionPtr revIDLastSave="0" documentId="8_{DABF3468-AAE1-4626-9FA6-8EF0F9EB0E3D}" xr6:coauthVersionLast="47" xr6:coauthVersionMax="47" xr10:uidLastSave="{00000000-0000-0000-0000-000000000000}"/>
  <bookViews>
    <workbookView xWindow="-28920" yWindow="0" windowWidth="29040" windowHeight="15840" xr2:uid="{9CA58BB0-A218-441F-B662-5B9FAEC38DED}"/>
  </bookViews>
  <sheets>
    <sheet name="list" sheetId="7" r:id="rId1"/>
    <sheet name="Spec" sheetId="5" r:id="rId2"/>
  </sheets>
  <definedNames>
    <definedName name="_xlnm._FilterDatabase" localSheetId="0" hidden="1">list!$A$2:$J$2</definedName>
    <definedName name="품명" localSheetId="0">list!$B:$B</definedName>
    <definedName name="품명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6" i="7" l="1"/>
  <c r="I115" i="7"/>
  <c r="I114" i="7"/>
  <c r="I113" i="7"/>
  <c r="I112" i="7"/>
  <c r="I111" i="7"/>
  <c r="I110" i="7"/>
  <c r="I109" i="7"/>
  <c r="I108" i="7"/>
  <c r="I107" i="7"/>
  <c r="I106" i="7"/>
  <c r="I105" i="7"/>
  <c r="I104" i="7"/>
  <c r="J104" i="7" s="1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J88" i="7" s="1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J72" i="7" s="1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J56" i="7" s="1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J32" i="7"/>
  <c r="J47" i="7"/>
  <c r="J48" i="7"/>
  <c r="J63" i="7"/>
  <c r="J13" i="7" l="1"/>
  <c r="J77" i="7"/>
  <c r="J93" i="7"/>
  <c r="J109" i="7"/>
  <c r="J8" i="7"/>
  <c r="J52" i="7"/>
  <c r="J10" i="7"/>
  <c r="J26" i="7"/>
  <c r="J41" i="7"/>
  <c r="J57" i="7"/>
  <c r="J42" i="7"/>
  <c r="J62" i="7"/>
  <c r="J17" i="7"/>
  <c r="J67" i="7"/>
  <c r="J83" i="7"/>
  <c r="J99" i="7"/>
  <c r="J115" i="7"/>
  <c r="J23" i="7"/>
  <c r="J38" i="7"/>
  <c r="J70" i="7"/>
  <c r="J86" i="7"/>
  <c r="J102" i="7"/>
  <c r="J5" i="7"/>
  <c r="J55" i="7"/>
  <c r="J71" i="7"/>
  <c r="J87" i="7"/>
  <c r="J103" i="7"/>
  <c r="J11" i="7"/>
  <c r="J43" i="7"/>
  <c r="J29" i="7"/>
  <c r="J44" i="7"/>
  <c r="J58" i="7"/>
  <c r="J73" i="7"/>
  <c r="J89" i="7"/>
  <c r="J105" i="7"/>
  <c r="J27" i="7"/>
  <c r="J28" i="7"/>
  <c r="J14" i="7"/>
  <c r="J30" i="7"/>
  <c r="J45" i="7"/>
  <c r="J59" i="7"/>
  <c r="J74" i="7"/>
  <c r="J90" i="7"/>
  <c r="J106" i="7"/>
  <c r="J15" i="7"/>
  <c r="J31" i="7"/>
  <c r="J46" i="7"/>
  <c r="J60" i="7"/>
  <c r="J75" i="7"/>
  <c r="J91" i="7"/>
  <c r="J107" i="7"/>
  <c r="J12" i="7"/>
  <c r="J16" i="7"/>
  <c r="J61" i="7"/>
  <c r="J76" i="7"/>
  <c r="J92" i="7"/>
  <c r="J108" i="7"/>
  <c r="J18" i="7"/>
  <c r="J33" i="7"/>
  <c r="J78" i="7"/>
  <c r="J94" i="7"/>
  <c r="J110" i="7"/>
  <c r="J4" i="7"/>
  <c r="J19" i="7"/>
  <c r="J34" i="7"/>
  <c r="J79" i="7"/>
  <c r="J95" i="7"/>
  <c r="J111" i="7"/>
  <c r="J20" i="7"/>
  <c r="J35" i="7"/>
  <c r="J49" i="7"/>
  <c r="J64" i="7"/>
  <c r="J80" i="7"/>
  <c r="J96" i="7"/>
  <c r="J112" i="7"/>
  <c r="J6" i="7"/>
  <c r="J21" i="7"/>
  <c r="J36" i="7"/>
  <c r="J50" i="7"/>
  <c r="J65" i="7"/>
  <c r="J81" i="7"/>
  <c r="J97" i="7"/>
  <c r="J113" i="7"/>
  <c r="J7" i="7"/>
  <c r="J22" i="7"/>
  <c r="J37" i="7"/>
  <c r="J51" i="7"/>
  <c r="J66" i="7"/>
  <c r="J82" i="7"/>
  <c r="J98" i="7"/>
  <c r="J114" i="7"/>
  <c r="J24" i="7"/>
  <c r="J39" i="7"/>
  <c r="J53" i="7"/>
  <c r="J68" i="7"/>
  <c r="J84" i="7"/>
  <c r="J100" i="7"/>
  <c r="J116" i="7"/>
  <c r="J9" i="7"/>
  <c r="J25" i="7"/>
  <c r="J40" i="7"/>
  <c r="J54" i="7"/>
  <c r="J69" i="7"/>
  <c r="J85" i="7"/>
  <c r="J101" i="7"/>
  <c r="I3" i="7"/>
  <c r="H1" i="7"/>
  <c r="J3" i="7" l="1"/>
  <c r="I1" i="7"/>
  <c r="J1" i="7" l="1"/>
</calcChain>
</file>

<file path=xl/sharedStrings.xml><?xml version="1.0" encoding="utf-8"?>
<sst xmlns="http://schemas.openxmlformats.org/spreadsheetml/2006/main" count="990" uniqueCount="600">
  <si>
    <t>1025 DOKDO TONER_100ml</t>
  </si>
  <si>
    <t>1025 DOKDO TONER_500ml</t>
  </si>
  <si>
    <t>1025 DOKDO LOTION_200ml</t>
  </si>
  <si>
    <t>1025 DOKDO CREAM_80ml</t>
  </si>
  <si>
    <t xml:space="preserve">1025 DOKDO CLEANSER_150ml  </t>
  </si>
  <si>
    <t>1025 DOKDO CLEANSING OIL_200ml</t>
  </si>
  <si>
    <t>1025 DOKDO SLEEPING PACK_100ml</t>
  </si>
  <si>
    <t>1025 DOKDO AMPULE_45g</t>
  </si>
  <si>
    <t>1025 DOKDO MUD PACK_100ml (Tube Type)</t>
  </si>
  <si>
    <t>1025 DOKDO HYDRATING WATER GEL MASK_30ml (10ea)</t>
    <phoneticPr fontId="8" type="noConversion"/>
  </si>
  <si>
    <t>1025 DOKDO LIGHT CREAM_80ml</t>
  </si>
  <si>
    <t>1025 DOKDO CLEANSING MILK_200ml</t>
  </si>
  <si>
    <t>1025 DOKDO BUBBLE FOAM_150ml</t>
    <phoneticPr fontId="8" type="noConversion"/>
  </si>
  <si>
    <t>1025 DOKDO PAD_70pcs</t>
  </si>
  <si>
    <t>1025 DOKDO EYE CREAM_30ml</t>
  </si>
  <si>
    <t>1025 DOKDO PEELING GEL_120ml</t>
    <phoneticPr fontId="8" type="noConversion"/>
  </si>
  <si>
    <t>1025 DOKDO SUNSCREEN_50ml</t>
  </si>
  <si>
    <t>1025 DOKDO CLEANSING GEL_150ml</t>
  </si>
  <si>
    <t>1025 DOKDO CLEANSING WATER_400ml</t>
    <phoneticPr fontId="8" type="noConversion"/>
  </si>
  <si>
    <t>1025 DOKDO TONER LOTION SPECIAL SET (Toner_200ml + Lotion_200ml)</t>
    <phoneticPr fontId="8" type="noConversion"/>
  </si>
  <si>
    <t>1025 DOKDO TRIAL KIT (Cleanser 30ml + Toner 20ml + Ampule 10ml + Cream 20ml)</t>
    <phoneticPr fontId="8" type="noConversion"/>
  </si>
  <si>
    <t>1025 DOKDO CLEANSING TISSUE_30ea</t>
  </si>
  <si>
    <t>BIRCH JUICE MOISTURIZING TONER_300ml</t>
  </si>
  <si>
    <t>BIRCH JUICE MOISTURIZING CREAM_80ml</t>
    <phoneticPr fontId="8" type="noConversion"/>
  </si>
  <si>
    <t>BIRCH JUICE MOISTURIZING CLEANSER_150ml</t>
  </si>
  <si>
    <t>BIRCH JUICE MOISTURIZING WASHOFF PACK_80ml</t>
  </si>
  <si>
    <t>BIRCH JUICE MOISTURIZING SERUM_50ml</t>
  </si>
  <si>
    <t>BIRCH JUICE MOISTURIZING PAD_80pcs</t>
  </si>
  <si>
    <t>BIRCH JUICE MOISTURIZING SUNSCREEN_50ml</t>
  </si>
  <si>
    <t>BIRCH JUICE MOISTURIZING MASK_25ml (10ea)</t>
    <phoneticPr fontId="8" type="noConversion"/>
  </si>
  <si>
    <t>BIRCH JUICE MOISTURIZING SOOTHING GEL_150ml</t>
  </si>
  <si>
    <t>BIRCH JUICE MOISTURIZING TONE UP SUNSCREEN_50ml</t>
  </si>
  <si>
    <t>BIRCH JUICE MILD-UP SUNSCREEN_50ml</t>
  </si>
  <si>
    <t xml:space="preserve">BIRCH JUICE MOISTURIZING SUN STICK_19g </t>
  </si>
  <si>
    <t xml:space="preserve">BIRCH JUICE MOISTURIZING SUN CUSHION_15g </t>
  </si>
  <si>
    <t>BIRCH JUICE AMPOULE_50ml</t>
    <phoneticPr fontId="8" type="noConversion"/>
  </si>
  <si>
    <t>BIRCH JUICE CLEANSING PAD_60ea</t>
    <phoneticPr fontId="8" type="noConversion"/>
  </si>
  <si>
    <t>BIRCH JUICE HAND CREAM 30ml</t>
    <phoneticPr fontId="8" type="noConversion"/>
  </si>
  <si>
    <t>BIRCH JUICE TRIAL KIT (Cleanser 30ml + Toner 20ml + Ampoule 10ml + Cream 20ml)</t>
    <phoneticPr fontId="8" type="noConversion"/>
  </si>
  <si>
    <t>ROUND LAB BIRCH JUICE MOISTURIZING DOUBLE GEL MASK 23ml(10ea)</t>
    <phoneticPr fontId="8" type="noConversion"/>
  </si>
  <si>
    <t>MUGWORT CALMING TONER_300ml</t>
  </si>
  <si>
    <t>MUGWORT CALMING CREAM_80ml</t>
  </si>
  <si>
    <t>MUGWORT CALMING CLEANSER_150ml</t>
  </si>
  <si>
    <t>MUGWORT CALMING SERUM_50ml</t>
  </si>
  <si>
    <t>MUGWORT CALMING SOOTHING GEL_150ml</t>
  </si>
  <si>
    <t>MUGWORT CALMING MASK_25ml (10ea)</t>
    <phoneticPr fontId="8" type="noConversion"/>
  </si>
  <si>
    <t>SOYBEAN</t>
    <phoneticPr fontId="8" type="noConversion"/>
  </si>
  <si>
    <t>SOYBEAN SERUM_50ml</t>
  </si>
  <si>
    <t>SOYBEAN NOURISHING MASK_27ml (10ea)</t>
    <phoneticPr fontId="8" type="noConversion"/>
  </si>
  <si>
    <t>SOYBEAN NOURISHING TONER_300ml</t>
    <phoneticPr fontId="8" type="noConversion"/>
  </si>
  <si>
    <t>SOYBEAN NOURISHING CREAM_80ml</t>
  </si>
  <si>
    <t>SOYBEAN CLEANSER_150ml</t>
  </si>
  <si>
    <t>SOYBEAN CLEANSING OIL_200ml</t>
  </si>
  <si>
    <t>SOYBEAN PANTHENOL TONER_250ml</t>
    <phoneticPr fontId="8" type="noConversion"/>
  </si>
  <si>
    <t>8809962541024</t>
  </si>
  <si>
    <t>SOYBEAN PANTHENOL AMPOULE_50ml</t>
    <phoneticPr fontId="8" type="noConversion"/>
  </si>
  <si>
    <t>SOYBEAN PANTHENOL CREAM_80ml</t>
    <phoneticPr fontId="8" type="noConversion"/>
  </si>
  <si>
    <t>SOYBEAN PANTHENOL MASK_25ml (10ea)</t>
    <phoneticPr fontId="8" type="noConversion"/>
  </si>
  <si>
    <t>PINE 
CALMING 
CICA</t>
    <phoneticPr fontId="8" type="noConversion"/>
  </si>
  <si>
    <t>PINE CALMING CICA CREAM_50ml</t>
  </si>
  <si>
    <t>PINE CALMING CICA PAD_50pcs</t>
  </si>
  <si>
    <t>PINE CALMING CICA MASK_27ml (10ea)</t>
    <phoneticPr fontId="8" type="noConversion"/>
  </si>
  <si>
    <t>PINE CALMING CICA TONER_250ml</t>
  </si>
  <si>
    <t>PINE CALMING CICA LOTION_250ml</t>
    <phoneticPr fontId="8" type="noConversion"/>
  </si>
  <si>
    <t>PINE CALMING CICA CLEANSER_150ml</t>
    <phoneticPr fontId="8" type="noConversion"/>
  </si>
  <si>
    <t>PINE CALMING CICA BODY WASH_400ml</t>
    <phoneticPr fontId="8" type="noConversion"/>
  </si>
  <si>
    <t>PINE CALMING CICA TRIAL KIT (Cleanser 30ml + Toner 20ml + Ampoule 10ml + Cream 20ml)</t>
    <phoneticPr fontId="8" type="noConversion"/>
  </si>
  <si>
    <t>BABY</t>
    <phoneticPr fontId="8" type="noConversion"/>
  </si>
  <si>
    <t>ROUND LAB BABY MILD TOP TO TOE WASH 300ml</t>
  </si>
  <si>
    <t>ROUND LAB BABY MILD LOTION 300ml</t>
  </si>
  <si>
    <t>ROUND LAB BABY MILD WET WIPES 20ea</t>
  </si>
  <si>
    <t>ROUND LAB BABY MILD WET WIPES 70ea</t>
  </si>
  <si>
    <t>8809962540805</t>
  </si>
  <si>
    <t>8809962540812</t>
  </si>
  <si>
    <t>CAMELLIA
COLLAGEN</t>
    <phoneticPr fontId="8" type="noConversion"/>
  </si>
  <si>
    <t>ROUND LAB CAMELLIA DEEP COLLAGEN FIRMING SUN SERUM 50ml</t>
  </si>
  <si>
    <t>FOR MEN BIRCH JUICE MOISTURIZING TONER_200ml</t>
    <phoneticPr fontId="8" type="noConversion"/>
  </si>
  <si>
    <t>FOR MEN BIRCH JUICE MOISTURIZING LOTION_200ml</t>
    <phoneticPr fontId="8" type="noConversion"/>
  </si>
  <si>
    <t>FOR MEN BIRCH JUICE MOISTURIZING CREAM_75ml</t>
  </si>
  <si>
    <t>FOR MEN PINE CALMING CICA TONER_200ml</t>
    <phoneticPr fontId="8" type="noConversion"/>
  </si>
  <si>
    <t>FOR MEN PINE CALMING CICA LOTION_200ml</t>
    <phoneticPr fontId="8" type="noConversion"/>
  </si>
  <si>
    <t>SPECIAL SET</t>
    <phoneticPr fontId="8" type="noConversion"/>
  </si>
  <si>
    <t>8809962540553</t>
  </si>
  <si>
    <t>3304.99-9000</t>
  </si>
  <si>
    <t>ㅡ</t>
  </si>
  <si>
    <t>585*300*145</t>
  </si>
  <si>
    <t>56*27.5*124</t>
  </si>
  <si>
    <t>ROUND LAB STICK POUCH KIT</t>
  </si>
  <si>
    <t>[수출]라운드랩스틱파우치키트</t>
  </si>
  <si>
    <t>코스메카코리아</t>
  </si>
  <si>
    <t>335*335*180</t>
  </si>
  <si>
    <t>63*31*155</t>
  </si>
  <si>
    <t>ROUND LAB FOR MEN PINE CALMING CICA CREAM 75ml</t>
  </si>
  <si>
    <t>[수출]라운드랩포맨소나무시카크림75ml</t>
  </si>
  <si>
    <t>395*340*175</t>
  </si>
  <si>
    <t>64*37*153</t>
  </si>
  <si>
    <t>ROUND LAB FOR MEN PINE CALMING CICA LOTION 200ml</t>
  </si>
  <si>
    <t>[수출]라운드랩포맨소나무시카로션200ml</t>
  </si>
  <si>
    <t>ROUND LAB FOR MEN PINE CALMING CICA TONER 200ml</t>
  </si>
  <si>
    <t>[수출]라운드랩포맨소나무시카토너200ml</t>
  </si>
  <si>
    <t>엔코스</t>
  </si>
  <si>
    <t>ROUND LAB FOR MEN BIRCH JUICE MOISTURIZING CREAM 75ml</t>
  </si>
  <si>
    <t>[수출]라운드랩포맨자작수분크림75ml</t>
  </si>
  <si>
    <t>앤코스</t>
  </si>
  <si>
    <t>ROUND LAB FOR MEN BIRCH JUICE MOISTURIZING LOTION 200ml</t>
  </si>
  <si>
    <t>[수출]라운드랩포맨자작수분로션200ml</t>
  </si>
  <si>
    <t>ROUND LAB FOR MEN BIRCH JUICE MOISTURIZING TONER 200ml</t>
  </si>
  <si>
    <t>[수출]라운드랩포맨자작수분토너200ml</t>
  </si>
  <si>
    <t>3401.30-0000</t>
  </si>
  <si>
    <t>코스맥스</t>
  </si>
  <si>
    <t>535*333*182</t>
  </si>
  <si>
    <t>63*50*161</t>
  </si>
  <si>
    <t>ROUND LAB CAMELLIA DEEP COLLAGEN JELLY MASK CLEANSER 150ml</t>
  </si>
  <si>
    <t>[병행]라운드랩동백딥콜라겐젤리팩클렌저150ml</t>
  </si>
  <si>
    <t>340*263*165</t>
  </si>
  <si>
    <t>48.5*31.5*154.5</t>
  </si>
  <si>
    <t>[수출]라운드랩동백딥콜라겐탄력선세럼50ml</t>
  </si>
  <si>
    <t>495*315*142</t>
  </si>
  <si>
    <t>59*59*60</t>
  </si>
  <si>
    <t>ROUND LAB CAMELLIA DEEP COLLAGEN FIRMING CREAM 50ml</t>
    <phoneticPr fontId="7" type="noConversion"/>
  </si>
  <si>
    <t>[수출]라운드랩동백딥콜라겐탄력크림50ml</t>
  </si>
  <si>
    <t>420*257*122</t>
  </si>
  <si>
    <t>39.5*39.5*100.5</t>
  </si>
  <si>
    <t>ROUND LAB CAMELLIA DEEP COLLAGEN FIRMING AMPOULE 30ml</t>
  </si>
  <si>
    <t>[수출]라운드랩동백딥콜라겐탄력앰플30ml</t>
  </si>
  <si>
    <t>3307.90-4000</t>
  </si>
  <si>
    <t>360*320*200</t>
  </si>
  <si>
    <t>151*22*180</t>
  </si>
  <si>
    <t>ROUND LAB CAMELLIA DEEP COLLAGEN FIRMING GEL MASK 34ml (4ea)</t>
  </si>
  <si>
    <t>[수출]라운드랩동백딥콜라겐탄력겔마스크34g-4매입</t>
  </si>
  <si>
    <t>콜마</t>
  </si>
  <si>
    <t>480*305*207</t>
  </si>
  <si>
    <t>57*57*185.5</t>
  </si>
  <si>
    <t>ROUND LAB BABY MILD CREAM 200ml</t>
  </si>
  <si>
    <t>[병행]라운드랩베이비마일드크림200ml</t>
  </si>
  <si>
    <t>408*325*178</t>
  </si>
  <si>
    <t>77.5*30*78</t>
  </si>
  <si>
    <t>ROUND LAB BABY MILD SUN CUSHION 16g</t>
  </si>
  <si>
    <t>[병행]라운드랩베이비마일드선쿠션16g</t>
  </si>
  <si>
    <t>282*255*115</t>
  </si>
  <si>
    <t>52.5*23*93.5</t>
  </si>
  <si>
    <t>ROUND LAB BABY MILD SUN STICK 21g</t>
  </si>
  <si>
    <t>[병행]라운드랩베이비마일드선스틱21g</t>
  </si>
  <si>
    <t>443*283*192</t>
  </si>
  <si>
    <t>52.5*52.5*172</t>
  </si>
  <si>
    <t>ROUND LAB BABY MILD SOOTHING GEL 150ml</t>
  </si>
  <si>
    <t>[수출]라운드랩베이비마일드수딩젤150ml</t>
  </si>
  <si>
    <t>360*273*142</t>
  </si>
  <si>
    <t>50.5*42*121.5</t>
  </si>
  <si>
    <t>ROUND LAB BABY MILD SUNSCREEN 60ml</t>
  </si>
  <si>
    <t>[병행]라운드랩베이비마일드선크림60ml</t>
  </si>
  <si>
    <t>4818.20.0000</t>
  </si>
  <si>
    <t>에이제이㈜</t>
  </si>
  <si>
    <t>545*215*195</t>
  </si>
  <si>
    <t>180*110*75</t>
  </si>
  <si>
    <t>[수출]라운드랩베이비마일드물티슈70매</t>
  </si>
  <si>
    <t>270*180*165</t>
  </si>
  <si>
    <t>120*70*60</t>
  </si>
  <si>
    <t>[수출]라운드랩베이비마일드물티슈20매</t>
  </si>
  <si>
    <t>402*338*176</t>
  </si>
  <si>
    <t>64*64*158</t>
  </si>
  <si>
    <t>[병행]라운드랩베이비마일드로션300ml</t>
  </si>
  <si>
    <t>430*360*205</t>
  </si>
  <si>
    <t>68*68*184</t>
  </si>
  <si>
    <t>[병행]라운드랩베이비마일드탑투토워시300ml</t>
  </si>
  <si>
    <t>씨앤에프</t>
  </si>
  <si>
    <t>473*430*195</t>
  </si>
  <si>
    <t>112*43*173</t>
  </si>
  <si>
    <t>ROUND LAB VITA NIACINAMIDE DARK SPOT SERUM MASK 20ml (10ea)</t>
  </si>
  <si>
    <t>[수출]라운드랩비타나이아신잡티세럼마스크20g-10매</t>
  </si>
  <si>
    <t>365*225*165</t>
  </si>
  <si>
    <t>34*34*145</t>
  </si>
  <si>
    <t>ROUND LAB VITA NIACINAMIDE DARK SPOT CREAM 50ml</t>
  </si>
  <si>
    <t>[수출]라운드랩비타나이아신잡티크림50ml</t>
  </si>
  <si>
    <t>40*40*101</t>
  </si>
  <si>
    <t>ROUND LAB VITA NIACINAMIDE DARK SPOT SERUM 30ml</t>
  </si>
  <si>
    <t>[수출]라운드랩비타나이아신잡티세럼30ml</t>
  </si>
  <si>
    <t>375*195*155</t>
  </si>
  <si>
    <t>35*35*133</t>
  </si>
  <si>
    <t>ROUND LAB PINE CALMING CICA SUNSCREEN 40ml</t>
  </si>
  <si>
    <t>[병행]라운드랩소나무시카선크림40ml</t>
  </si>
  <si>
    <t>425*260*172</t>
  </si>
  <si>
    <t>40*40*152</t>
  </si>
  <si>
    <t>ROUND LAB PINE CALMING CICA CREAM PLUS 60ml</t>
  </si>
  <si>
    <t>[수출]라운드랩소나무시카크림플러스60ml</t>
  </si>
  <si>
    <t>438*296*195</t>
  </si>
  <si>
    <t>21.3*13.8*3.4</t>
  </si>
  <si>
    <t>ROUND LAB PINE CALMING CICA TRIAL KIT (Cleanser 30ml + Toner 20ml + Ampoule 10ml + Cream 20ml)</t>
  </si>
  <si>
    <t>[수출]라운드랩소나무시카트라이얼키트(소나무시카클렌저30+소나무시카토너20+소나무시카앰플10+소나무시카크림20)</t>
  </si>
  <si>
    <t>460*338*220</t>
  </si>
  <si>
    <t>80*44*198</t>
  </si>
  <si>
    <t>ROUND LAB PINE CALMING CICA BODY WASH 400ml</t>
  </si>
  <si>
    <t>[수출]라운드랩소나무시카바디워시400ml</t>
  </si>
  <si>
    <t>326*275*200</t>
  </si>
  <si>
    <t>51*51*180</t>
  </si>
  <si>
    <t>ROUND LAB PINE CALMING CICA CLEANSER 150ml</t>
  </si>
  <si>
    <t>[수출]라운드랩소나무시카클렌저150ml</t>
  </si>
  <si>
    <t>344*290*190</t>
  </si>
  <si>
    <t>53.5*53.5*168</t>
  </si>
  <si>
    <t>ROUND LAB PINE CALMING CICA LOTION 250ml</t>
  </si>
  <si>
    <t>[수출]라운드랩소나무시카로션250ml</t>
  </si>
  <si>
    <t>ROUND LAB PINE CALMING CICA TONER 250ml</t>
  </si>
  <si>
    <t>[수출]라운드랩소나무시카토너250ml</t>
  </si>
  <si>
    <t>ROUND LAB PINE CALMING CICA MASK SHEET 27ml (10ea)</t>
  </si>
  <si>
    <t>[수출]라운드랩소나무시카마스크27ml-10매</t>
  </si>
  <si>
    <t>이미인</t>
  </si>
  <si>
    <t>460*285*190</t>
  </si>
  <si>
    <t>88*88*83.5</t>
  </si>
  <si>
    <t>ROUND LAB PINE CALMING CICA PAD 50ea</t>
  </si>
  <si>
    <t>[수출]라운드랩소나무시카패드50매(30개월)</t>
  </si>
  <si>
    <t>ROUND LAB PINE CALMING CICA AMPOULE 30ml</t>
  </si>
  <si>
    <t>[수출]라운드랩소나무시카앰플30ml</t>
  </si>
  <si>
    <t>ROUND LAB PINE CALMING CICA CREAM 50ml</t>
  </si>
  <si>
    <t>[수출]라운드랩소나무시카크림50ml</t>
  </si>
  <si>
    <t>420*270*198</t>
  </si>
  <si>
    <t>49*49*185.5</t>
  </si>
  <si>
    <t>ROUND LAB SOYBEAN PANTHENOL CLEANSING OIL 200ml</t>
  </si>
  <si>
    <t>[수출]라운드랩약콩판테놀클렌징오일200ml</t>
  </si>
  <si>
    <t>ROUND LAB SOYBEAN PANTHENOL CLEANSER 150ml</t>
  </si>
  <si>
    <t>[수출]라운드랩약콩판테놀클렌저150ml</t>
  </si>
  <si>
    <t>142*35*202</t>
  </si>
  <si>
    <t>ROUND LAB SOYBEAN PANTHENOL MASK 25ml (10ea)</t>
  </si>
  <si>
    <t>[수출]라운드랩약콩판테놀마스크25ml-10매</t>
  </si>
  <si>
    <t>435*267*178</t>
  </si>
  <si>
    <t>41*41*156</t>
  </si>
  <si>
    <t>ROUND LAB SOYBEAN PANTHENOL CREAM 80ml</t>
  </si>
  <si>
    <t>[수출]라운드랩약콩판테놀크림80ml</t>
  </si>
  <si>
    <t>420*257*147</t>
  </si>
  <si>
    <t>40*40*124</t>
  </si>
  <si>
    <t>ROUND LAB SOYBEAN PANTHENOL AMPOULE 50ml</t>
  </si>
  <si>
    <t>[수출]라운드랩약콩판테놀앰플50ml</t>
  </si>
  <si>
    <t>53.5*53.*168</t>
  </si>
  <si>
    <t>ROUND LAB SOYBEAN PANTHENOL TONER 250ml</t>
  </si>
  <si>
    <t>[수출]라운드랩약콩판테놀토너250ml</t>
  </si>
  <si>
    <t>515*365*206</t>
  </si>
  <si>
    <t>ROUND LAB SOYBEAN CLEANSING OIL 200ml</t>
  </si>
  <si>
    <t>[수출]라운드랩약콩클렌징오일200ml</t>
  </si>
  <si>
    <t>535*275*200</t>
  </si>
  <si>
    <t>ROUND LAB SOYBEAN CLEANSER 150ml</t>
  </si>
  <si>
    <t>[수출]라운드랩약콩클렌저150ml</t>
  </si>
  <si>
    <t>565*340*170</t>
  </si>
  <si>
    <t>61*61*65</t>
  </si>
  <si>
    <t>ROUND LAB SOYBEAN NOURISHING CREAM 80ml</t>
  </si>
  <si>
    <t>[수출]라운드랩약콩영양크림80ml</t>
  </si>
  <si>
    <t>540*340*175</t>
  </si>
  <si>
    <t>64*64*155</t>
  </si>
  <si>
    <t>ROUND LAB SOYBEAN NOURISHING TONER 300ml</t>
  </si>
  <si>
    <t>[수출]라운드랩약콩토너300ml</t>
  </si>
  <si>
    <t>ROUND LAB SOYBEAN MASK SHEET 27ml (10ea)</t>
  </si>
  <si>
    <t>[수출]라운드랩약콩마스크27ml-10매</t>
  </si>
  <si>
    <t>450*320*133</t>
  </si>
  <si>
    <t>42.5*42.5*110</t>
  </si>
  <si>
    <t>ROUND LAB SOYBEAN SERUM 50ml</t>
  </si>
  <si>
    <t>[수출]라운드랩약콩세럼50ml</t>
  </si>
  <si>
    <t>ROUND LAB MUGWORT CALMING MASK SHEET 25ml (10ea)</t>
  </si>
  <si>
    <t>[수출]라운드랩해풍쑥마스크25ml-10매</t>
  </si>
  <si>
    <t>483*247*192</t>
  </si>
  <si>
    <t>57.5*45.5*171</t>
  </si>
  <si>
    <t>ROUND LAB MUGWORT CALMING SOOTHING GEL 150ml</t>
  </si>
  <si>
    <t>[수출]라운드랩해풍쑥수딩젤150ml</t>
  </si>
  <si>
    <t>ROUND LAB MUGWORT CALMING SERUM 50ml</t>
  </si>
  <si>
    <t>[수출]라운드랩해풍쑥세럼50ml</t>
  </si>
  <si>
    <t>ROUND LAB MUGWORT CALMING CLEANSER 150ml</t>
  </si>
  <si>
    <t>[수출]라운드랩해풍쑥클렌저150ml</t>
  </si>
  <si>
    <t>ROUND LAB MUGWORT CALMING CREAM 80ml</t>
  </si>
  <si>
    <t>[수출]라운드랩해풍쑥크림80ml</t>
  </si>
  <si>
    <t>ROUND LAB MUGWORT CALMING TONER 300ml</t>
  </si>
  <si>
    <t>[수출]라운드랩해풍쑥토너300ml</t>
  </si>
  <si>
    <t>550*440*185</t>
  </si>
  <si>
    <t>106*70*162</t>
  </si>
  <si>
    <t>ROUND LAB FOR MEN BIRCH JUICE MOISTURIZING SET</t>
  </si>
  <si>
    <t>[수출]라운드랩포맨자작수분토너200ml+포맨자작수분로션200ml기획(+포맨자작수분토너20+포맨자작수분로션20)</t>
  </si>
  <si>
    <t>475*360*113</t>
  </si>
  <si>
    <t>68*48*91</t>
  </si>
  <si>
    <t>ROUND LAB BIRCH JUICE MOISTURIZING LIP BALM SET</t>
  </si>
  <si>
    <t>[병행]라운드랩자작나무수분립밤20g기획(+립브러쉬)</t>
  </si>
  <si>
    <t>475*245*105</t>
  </si>
  <si>
    <t>44.5*44.5*39.5</t>
  </si>
  <si>
    <t>ROUND LAB BIRCH JUICE MOISTURIZING LIP BALM 20g</t>
  </si>
  <si>
    <t>[병행]라운드랩자작나무수분립밤20g</t>
  </si>
  <si>
    <t>ROUND LAB BIRCH JUICE TRIAL KIT (Cleanser 30ml + Toner 20ml + Ampoule 10ml + Cream 20ml)</t>
  </si>
  <si>
    <t>[수출]라운드랩자작수분트라이얼키트(자작클렌저30+자작토너20+자작앰플10+자작크림20)</t>
  </si>
  <si>
    <t>320*258*141</t>
  </si>
  <si>
    <t>30*30*121</t>
  </si>
  <si>
    <t>ROUND LAB BIRCH JUICE HAND CREAM 30ml</t>
  </si>
  <si>
    <t>[수출]라운드랩자작수분핸드크림30ml</t>
  </si>
  <si>
    <t>503*406*175</t>
  </si>
  <si>
    <t>96.5*96.5*76</t>
  </si>
  <si>
    <t>ROUND LAB BIRCH JUICE CLEANSING PAD 60ea</t>
  </si>
  <si>
    <t>[수출]라운드랩자작수분클렌징패드60매</t>
  </si>
  <si>
    <t>39.5*39.5*124</t>
  </si>
  <si>
    <t>ROUND LAB BIRCH JUICE AMPOULE 50ml</t>
  </si>
  <si>
    <t>[수출]라운드랩자작수분앰플50ml</t>
  </si>
  <si>
    <t>410*325*178</t>
  </si>
  <si>
    <t>78*30*78</t>
  </si>
  <si>
    <t>ROUND LAB BIRCH JUICE MOISTURIZING SUN CUSHION 15g</t>
  </si>
  <si>
    <t>[수출]라운드랩자작수분선쿠션15g(구형2)</t>
  </si>
  <si>
    <t>315*250*115</t>
  </si>
  <si>
    <t>49*22.5*93.5</t>
  </si>
  <si>
    <t>ROUND LAB BIRCH JUICE MOISTURIZING SUN STICK 19g</t>
  </si>
  <si>
    <t>[수출]라운드랩자작수분선스틱19g</t>
  </si>
  <si>
    <t>ROUND LAB BIRCH JUICE MILD-UP SUNSCREEN 50ml</t>
  </si>
  <si>
    <t>[수출]라운드랩자작무기자차선크림50ml</t>
  </si>
  <si>
    <t>ROUND LAB BIRCH JUICE MOISTURIZING TONE-UP SUNSCREEN 50ml</t>
  </si>
  <si>
    <t>[수출]라운드랩자작수분톤업선크림50ml</t>
  </si>
  <si>
    <t>서울화장품</t>
  </si>
  <si>
    <t>57.4*45.5*171</t>
  </si>
  <si>
    <t>ROUND LAB BIRCH JUICE MOISTURIZING SOOTHING GEL 150ml</t>
  </si>
  <si>
    <t>[수출]라운드랩자작수분수딩젤150ml</t>
  </si>
  <si>
    <t>ROUND LAB BIRCH JUICE MOISTURIZING MASK SHEET 25ml (10ea)</t>
  </si>
  <si>
    <t>[수출]라운드랩자작수분마스크25ml-10매</t>
  </si>
  <si>
    <t>ROUND LAB BIRCH JUICE MOISTURIZING SUNSCREEN 50ml</t>
  </si>
  <si>
    <t>[수출]라운드랩자작수분선크림50ml</t>
  </si>
  <si>
    <t>465*375*160</t>
  </si>
  <si>
    <t>90*90*70</t>
  </si>
  <si>
    <t>ROUND LAB BIRCH JUICE MOISTURIZING PAD 80ea</t>
  </si>
  <si>
    <t>[수출]라운드랩자작수분패드80매</t>
  </si>
  <si>
    <t>ROUND LAB BIRCH JUICE MOISTURIZING SERUM 50ml</t>
  </si>
  <si>
    <t>[수출]라운드랩자작수분세럼50ml</t>
  </si>
  <si>
    <t>398*175*175</t>
  </si>
  <si>
    <t>ROUND LAB BIRCH JUICE MOISTURIZING WASH OFF PACK 80ml</t>
  </si>
  <si>
    <t>[수출]라운드랩자작수분워시오프팩80ml</t>
  </si>
  <si>
    <t>ROUND LAB BIRCH JUICE MOISTURIZING CLEANSER 150ml</t>
  </si>
  <si>
    <t>[수출]라운드랩자작수분클렌저150ml</t>
  </si>
  <si>
    <t>ROUND LAB BIRCH JUICE MOISTURIZING CREAM 80ml</t>
  </si>
  <si>
    <t>[수출]라운드랩자작수분크림80ml</t>
  </si>
  <si>
    <t>ROUND LAB BIRCH JUICE MOISTURIZING TONER 300ml</t>
  </si>
  <si>
    <t>[수출]라운드랩자작수분토너300ml</t>
  </si>
  <si>
    <t>3307.90-9000</t>
  </si>
  <si>
    <t>씨앤텍㈜</t>
  </si>
  <si>
    <t>340*288*300</t>
  </si>
  <si>
    <t>110*86*49</t>
  </si>
  <si>
    <t>ROUND LAB 1025 DOKDO CLEANSING TISSUE 30ea</t>
  </si>
  <si>
    <t>[수출]라운드랩독도클렌징티슈-30매</t>
  </si>
  <si>
    <t>ROUND LAB 1025 DOKDO TRIAL KIT (Cleanser 30ml + Toner 20ml + Ampule 10ml + Cream 20ml)</t>
  </si>
  <si>
    <t>[수출]라운드랩독도트라이얼키트(독도클렌저30+독도토너20+독도앰플10+독도크림20)</t>
  </si>
  <si>
    <t>560*345*154</t>
  </si>
  <si>
    <t>108*54*134</t>
  </si>
  <si>
    <t>ROUND LAB 1025 DOKDO TONER LOTION SPECIAL SET (Toner 200ml + Lotion 200ml)</t>
  </si>
  <si>
    <t>[수출]라운드랩독도토너200ml+독도로션200ml기획</t>
  </si>
  <si>
    <t>405*340*190</t>
  </si>
  <si>
    <t>64*64*170</t>
  </si>
  <si>
    <t>ROUND LAB 1025 DOKDO CLEANSING WATER 400ml</t>
  </si>
  <si>
    <t>[수출]라운드랩독도클렌징워터400ml</t>
  </si>
  <si>
    <t>ROUND LAB 1025 DOKDO CLEANSING GEL 150ml</t>
  </si>
  <si>
    <t>[수출]라운드랩독도클렌징젤150ml</t>
  </si>
  <si>
    <t>390*300*147</t>
  </si>
  <si>
    <t>56*36.5*127</t>
  </si>
  <si>
    <t>ROUND LAB 1025 DOKDO SUNSCREEN 50ml</t>
  </si>
  <si>
    <t>[수출]라운드랩독도선크림50ml</t>
  </si>
  <si>
    <t>335*335*203</t>
  </si>
  <si>
    <t>63*31*183</t>
  </si>
  <si>
    <t>ROUND LAB 1025 DOKDO PEELING GEL 120ml</t>
  </si>
  <si>
    <t>[수출]라운드랩독도필링젤120ml</t>
  </si>
  <si>
    <t>525*360*158</t>
  </si>
  <si>
    <t>34*25*137.5</t>
  </si>
  <si>
    <t>ROUND LAB 1025 DOKDO EYE CREAM 30ml</t>
  </si>
  <si>
    <t>[수출]라운드랩독도아이크림30ml</t>
  </si>
  <si>
    <t>430*345*155</t>
  </si>
  <si>
    <t>80*80*65</t>
  </si>
  <si>
    <t>ROUND LAB 1025 DOKDO PAD 70ea</t>
  </si>
  <si>
    <t>[수출]라운드랩독도패드70매</t>
  </si>
  <si>
    <t>320*270*195</t>
  </si>
  <si>
    <t>50*50*172.5</t>
  </si>
  <si>
    <t>ROUND LAB 1025 DOKDO BUBBLE FOAM 150ml</t>
  </si>
  <si>
    <t>[수출]라운드랩독도버블폼150ml</t>
  </si>
  <si>
    <t>310*260*210</t>
  </si>
  <si>
    <t>48*48*188</t>
  </si>
  <si>
    <t>ROUND LAB 1025 DOKDO CLEANSING MILK 200ml</t>
  </si>
  <si>
    <t>[수출]라운드랩독도클렌징밀크200ml</t>
  </si>
  <si>
    <t>360*292*167</t>
  </si>
  <si>
    <t>68*68*72</t>
  </si>
  <si>
    <t>ROUND LAB 1025 DOKDO CLEANSING BALM 50ml</t>
  </si>
  <si>
    <t>[병행]라운드랩독도클렌징밤50ml</t>
  </si>
  <si>
    <t>430*265*155</t>
  </si>
  <si>
    <t>82*82*65</t>
  </si>
  <si>
    <t>ROUND LAB 1025 DOKDO CLEANSING BALM 100ml</t>
  </si>
  <si>
    <t>[수출]라운드랩독도클렌징밤100ml</t>
  </si>
  <si>
    <t>340*212*136</t>
  </si>
  <si>
    <t>64*64*58</t>
  </si>
  <si>
    <t>ROUND LAB 1025 DOKDO LIGHT CREAM 80ml</t>
  </si>
  <si>
    <t>[수출]라운드랩독도라이트크림80ml</t>
  </si>
  <si>
    <t>380*310*228</t>
  </si>
  <si>
    <t>ROUND LAB 1025 DOKDO HYDRATING WATER GEL MASK SHEET 30ml (10ea)</t>
  </si>
  <si>
    <t>[수출]라운드랩독도워터겔마스크30ml-10매</t>
  </si>
  <si>
    <t>266*225*200</t>
  </si>
  <si>
    <t>41*41*180</t>
  </si>
  <si>
    <t>ROUND LAB 1025 DOKDO MUD PACK 100ml (Tube Type)</t>
  </si>
  <si>
    <t>[수출]라운드랩독도머드팩100ml-튜브형</t>
  </si>
  <si>
    <t>450*235*215</t>
  </si>
  <si>
    <t>42.5*42.5*96</t>
  </si>
  <si>
    <t>ROUND LAB 1025 DOKDO AMPULE 45g</t>
  </si>
  <si>
    <t>[수출]라운드랩독도앰플45g</t>
  </si>
  <si>
    <t>430*295*185</t>
  </si>
  <si>
    <t>54*40*162</t>
  </si>
  <si>
    <t>ROUND LAB 1025 DOKDO SLEEPING PACK 100ml</t>
  </si>
  <si>
    <t>[수출]라운드랩독도수면팩100ml</t>
  </si>
  <si>
    <t>350*295*188</t>
  </si>
  <si>
    <t>55*55*168</t>
  </si>
  <si>
    <t>ROUND LAB 1025 DOKDO CLEANSING OIL 200ml</t>
  </si>
  <si>
    <t>[수출]라운드랩독도클렌징오일200ml</t>
  </si>
  <si>
    <t>417*270*195</t>
  </si>
  <si>
    <t>66*50*172</t>
  </si>
  <si>
    <t>ROUND LAB 1025 DOKDO CLEANSER 150ml</t>
  </si>
  <si>
    <t>[수출]라운드랩독도클렌저150ml</t>
  </si>
  <si>
    <t>355*310*280</t>
  </si>
  <si>
    <t>ROUND LAB 1025 DOKDO CREAM 80ml</t>
  </si>
  <si>
    <t>[수출]라운드랩독도크림80ml</t>
  </si>
  <si>
    <t>344*290*154</t>
  </si>
  <si>
    <t>54*54*134</t>
  </si>
  <si>
    <t>ROUND LAB 1025 DOKDO LOTION 200ml</t>
  </si>
  <si>
    <t>[수출]라운드랩독도로션200ml</t>
  </si>
  <si>
    <t>410*345*225</t>
  </si>
  <si>
    <t>64*64*205</t>
  </si>
  <si>
    <t>ROUND LAB 1025 DOKDO TONER 500ml</t>
  </si>
  <si>
    <t>[수출]라운드랩독도토너500ml</t>
  </si>
  <si>
    <t>ROUND LAB 1025 DOKDO TONER 200ml</t>
  </si>
  <si>
    <t>[수출]라운드랩독도토너200ml</t>
  </si>
  <si>
    <t>535*365*135</t>
  </si>
  <si>
    <t>42*42*114</t>
  </si>
  <si>
    <t>ROUND LAB 1025 DOKDO TONER 100ml</t>
  </si>
  <si>
    <t>[수출]라운드랩독도토너100ml</t>
  </si>
  <si>
    <t>MOQ</t>
  </si>
  <si>
    <t>BARCODE</t>
  </si>
  <si>
    <t>HSCODE</t>
  </si>
  <si>
    <t>제조사</t>
  </si>
  <si>
    <t>영문명</t>
  </si>
  <si>
    <t>ERP 코드 명칭</t>
  </si>
  <si>
    <t>코드</t>
  </si>
  <si>
    <t>ROUND LAB VITA NIACINAMIDE GLOW CAPSULE CREAM 50ml</t>
    <phoneticPr fontId="8" type="noConversion"/>
  </si>
  <si>
    <t>62*62*54.5</t>
    <phoneticPr fontId="8" type="noConversion"/>
  </si>
  <si>
    <t>520*330*133</t>
    <phoneticPr fontId="8" type="noConversion"/>
  </si>
  <si>
    <t>씨아이티</t>
    <phoneticPr fontId="8" type="noConversion"/>
  </si>
  <si>
    <t>3304.99-9000</t>
    <phoneticPr fontId="8" type="noConversion"/>
  </si>
  <si>
    <t>[수출]라운드랩독도머드팩100ml-용기형</t>
  </si>
  <si>
    <t>ROUND LAB 1025 DOKDO MUD PACK 100ml (Jar Type)</t>
  </si>
  <si>
    <t>420*260*153</t>
  </si>
  <si>
    <t>[수출]라운드랩독도온더고키트(+독도토너50+독도로션50+독도클렌저40)</t>
  </si>
  <si>
    <t>ROUND LAB 1025 DOKDO ON THE GO KIT (Cleanser 40ml + Toner 50ml + Lotion 50ml)</t>
  </si>
  <si>
    <t>144*168*38</t>
  </si>
  <si>
    <t>598*356*175</t>
  </si>
  <si>
    <t>코스맥스+코스온</t>
  </si>
  <si>
    <t>[수출]라운드랩독도수분앰플30ml(구형)</t>
  </si>
  <si>
    <t>ROUND LAB 1025 DOKDO MOISTURIZING AMPULE 30ml</t>
  </si>
  <si>
    <t>37.5*37.5*99</t>
  </si>
  <si>
    <t>245*208*120</t>
  </si>
  <si>
    <t>[수출]라운드랩독도톤업앰플30ml(구형)</t>
  </si>
  <si>
    <t>[병행]라운드랩자작나무수분인텐시브크림50ml</t>
  </si>
  <si>
    <t>ROUND LAB BIRCH JUICE MOISTURIZING INTENSIVE CREAM 50ml</t>
  </si>
  <si>
    <t>70*70*74</t>
  </si>
  <si>
    <t>440*370*170</t>
  </si>
  <si>
    <t>[병행]라운드랩자작나무수분필링클렌징오일200ml</t>
  </si>
  <si>
    <t>ROUND LAB BIRCH JUICE MOISTURIZING PEELING CLEANSING OIL 200ml</t>
  </si>
  <si>
    <t>[병행]라운드랩자작수분더블겔마스크23ml-10매</t>
  </si>
  <si>
    <t>ROUND LAB BIRCH JUICE MOISTURIZING DOUBLE GEL MASK 23ml (10ea)</t>
  </si>
  <si>
    <t>111.5*48*172</t>
  </si>
  <si>
    <t>505*355*192</t>
  </si>
  <si>
    <t>[수출]라운드랩자작나무수분아이밤10g</t>
  </si>
  <si>
    <t>ROUND LAB BIRCH JUICE MOISTURIZING EYE BALM 10g</t>
  </si>
  <si>
    <t>27*27*102.5</t>
  </si>
  <si>
    <t>295*240*124</t>
  </si>
  <si>
    <t>[병행]라운드랩약콩큐엘에이베리어크림80ml</t>
  </si>
  <si>
    <t>ROUND LAB SOYBEAN QLA BARRIER CREAM 80ml</t>
  </si>
  <si>
    <t>45.5*45.5*150</t>
  </si>
  <si>
    <t>387*248*170</t>
  </si>
  <si>
    <t>[수출]라운드랩소나무시카두피앰플15ml</t>
  </si>
  <si>
    <t>ROUND LAB PINE CALMING CICA SCALP AMPOULE 15ml</t>
  </si>
  <si>
    <t>48*26*164</t>
  </si>
  <si>
    <t>407*290*183</t>
  </si>
  <si>
    <t>코스모코스</t>
  </si>
  <si>
    <t>[수출]라운드랩소나무시카샴푸400ml</t>
  </si>
  <si>
    <t>ROUND LAB PINE CALMING CICA SHAMPOO 400ML</t>
  </si>
  <si>
    <t>65.5*65.5*187.5</t>
  </si>
  <si>
    <t>417*350*210</t>
  </si>
  <si>
    <t>3305.10.0000</t>
  </si>
  <si>
    <t>[수출]라운드랩소나무시카코팩-5매</t>
  </si>
  <si>
    <t>ROUND LAB PINE CALMING CICA NOSE PACK (5ea)</t>
  </si>
  <si>
    <t>84*30*142</t>
  </si>
  <si>
    <t>360*325*182</t>
  </si>
  <si>
    <t>씨엔에프</t>
  </si>
  <si>
    <t>[병행]라운드랩소나무시카두피토닉100ml(2507)</t>
  </si>
  <si>
    <t>ROUND LAB PINE CALMING CICA SCALP TONIC 100ml</t>
  </si>
  <si>
    <t>44*44*150</t>
  </si>
  <si>
    <t>370*237*170</t>
  </si>
  <si>
    <t>[병행]라운드랩소나무시카에어리선스틱19g</t>
  </si>
  <si>
    <t>ROUND LAB PINE CALMING CICA AIRY SUN STICK 19g</t>
  </si>
  <si>
    <t>19*22.5*93.5</t>
  </si>
  <si>
    <t>265*250*115</t>
  </si>
  <si>
    <t>[병행]라운드랩소나무시카무기자차선크림40ml</t>
  </si>
  <si>
    <t>ROUND LAB PINE CALMING CICA MILD-UP SUNSCREEN 40ml</t>
  </si>
  <si>
    <t>375*235*155</t>
  </si>
  <si>
    <t>[병행]라운드랩소나무시카프라이머선크림40ml</t>
  </si>
  <si>
    <t>ROUND LAB PINE CALMING CICA PRIMER SUNSCREEN 40ml</t>
  </si>
  <si>
    <t>39*30*142</t>
  </si>
  <si>
    <t>[병행]라운드랩소나무시카딥포어클레이팩클렌저150ml(2507)</t>
  </si>
  <si>
    <t>ROUND LAB PINE CICA DEEP PORE CLAY MASK CLEANSER 150ml</t>
  </si>
  <si>
    <t>62.5*51*160</t>
  </si>
  <si>
    <t>[병행]라운드랩비타나이아신글로우캡슐크림50ml</t>
    <phoneticPr fontId="8" type="noConversion"/>
  </si>
  <si>
    <t>[병행]라운드랩동백딥콜라겐피디알엔밀키토너150ml</t>
  </si>
  <si>
    <t>ROUNDLAB CAMELLIA DEEP COLLAGEN PDRN MILKY TONER 150ml</t>
  </si>
  <si>
    <t>46.5*46.5*154</t>
  </si>
  <si>
    <t>490*253*175</t>
  </si>
  <si>
    <t>라운드랩동백딥콜라겐브이리프팅겔마스크10g-1매입(구형)</t>
  </si>
  <si>
    <t>ROUND LAB CAMELLIA DEEP COLLAGEN V LIFTING GEL MASK 10g (1ea)</t>
  </si>
  <si>
    <t>14.9*18*2</t>
  </si>
  <si>
    <t>445*310*210</t>
  </si>
  <si>
    <t>[병행]라운드랩동백딥콜라겐브이리프팅겔마스크10g-4매입(2507)</t>
  </si>
  <si>
    <t>ROUND LAB CAMELLIA DEEP COLLAGEN V LIFTING GEL MASK 10g (4ea)</t>
  </si>
  <si>
    <t>151*28*181.5</t>
  </si>
  <si>
    <t>445*322*202</t>
  </si>
  <si>
    <t>라운드랩동백딥콜라겐브이리프팅겔마스크10g-14매입(구형)</t>
  </si>
  <si>
    <t>ROUND LAB CAMELLIA DEEP COLLAGEN V LIFTING GEL MASK 10g (14ea)</t>
  </si>
  <si>
    <t>151*84*181.5</t>
  </si>
  <si>
    <t>??</t>
  </si>
  <si>
    <t>440*322*202</t>
  </si>
  <si>
    <t>[수출]라운드랩365안심선크림50ml(구형)</t>
  </si>
  <si>
    <t>ROUND LAB 365 DERMA RELIEF SUN CREAM 50ml</t>
  </si>
  <si>
    <t>52*30*131</t>
  </si>
  <si>
    <t>335*285*290</t>
  </si>
  <si>
    <t>[수출]라운드랩365톤업선크림50ml(구형)</t>
  </si>
  <si>
    <t>ROUND LAB 365 TONE-UP SUN CREAM 50ml</t>
  </si>
  <si>
    <t>1025 DOKDO CLEANSING BALM_50ml (NEW)</t>
    <phoneticPr fontId="8" type="noConversion"/>
  </si>
  <si>
    <t>ROUND LAB BIRCH JUICE MOISTURIZING LIP BALM(+MINI BRUSH)</t>
    <phoneticPr fontId="8" type="noConversion"/>
  </si>
  <si>
    <t>ROUND LAB BIRCH JUICE MOISTURIZING LIP BALM SET(+LIP BRUSH)</t>
    <phoneticPr fontId="8" type="noConversion"/>
  </si>
  <si>
    <t>ROUND LAB BIRCH JUICE MOISTURIZING EYE BALM 10g</t>
    <phoneticPr fontId="8" type="noConversion"/>
  </si>
  <si>
    <t>ROUND LAB BIRCH JUICE MOISTURIZING INTENSIVE CREAM 50ml</t>
    <phoneticPr fontId="8" type="noConversion"/>
  </si>
  <si>
    <t>ROUND LAB BIRCH JUICE MOISTURIZING PEELING CLEANSING OIL 200ml</t>
    <phoneticPr fontId="8" type="noConversion"/>
  </si>
  <si>
    <t>SOYBEAN PANTHENOL CLEANSER_150ml</t>
    <phoneticPr fontId="8" type="noConversion"/>
  </si>
  <si>
    <t>SOYBEAN PANTHENOL CLEANSING OIL_200ml</t>
    <phoneticPr fontId="8" type="noConversion"/>
  </si>
  <si>
    <t>SOYBEAN QLA BARRIER CREAM 80ml</t>
    <phoneticPr fontId="8" type="noConversion"/>
  </si>
  <si>
    <t>PINE CALMING CICA AMPOULE_30ml</t>
  </si>
  <si>
    <t>PINE CICA DEEP PORE CLAY MASK CLEANSER_150ml</t>
    <phoneticPr fontId="8" type="noConversion"/>
  </si>
  <si>
    <t>PINE CALMING CICA CREAM PLUS_60ml</t>
    <phoneticPr fontId="8" type="noConversion"/>
  </si>
  <si>
    <t>PINE CALMING CICA SUNSCREEN 40ml</t>
    <phoneticPr fontId="8" type="noConversion"/>
  </si>
  <si>
    <t>PINE CALMING CICA MILD UP SUNSCREEN 40ml</t>
    <phoneticPr fontId="8" type="noConversion"/>
  </si>
  <si>
    <t>PINE CALMING CICA AIRY SUN STICK 19g</t>
    <phoneticPr fontId="8" type="noConversion"/>
  </si>
  <si>
    <t>PINE CALMING CICA SCALP AMPOULE 15ml</t>
    <phoneticPr fontId="8" type="noConversion"/>
  </si>
  <si>
    <t>PINE CALMING CICA SHAMPOO 400ml</t>
    <phoneticPr fontId="8" type="noConversion"/>
  </si>
  <si>
    <t>PINE CALMING CICA SCALP TONIC 100ml</t>
    <phoneticPr fontId="8" type="noConversion"/>
  </si>
  <si>
    <t>PINE CALMING CICA NOSE PACK (5ea)</t>
    <phoneticPr fontId="8" type="noConversion"/>
  </si>
  <si>
    <t>PINE CICA DEEP PORE CLEANSING OIL 200ml</t>
    <phoneticPr fontId="8" type="noConversion"/>
  </si>
  <si>
    <t>[OTC] PINE CALMING CICA ACNE MICRO SPOT PATCH</t>
    <phoneticPr fontId="8" type="noConversion"/>
  </si>
  <si>
    <t>VITA NIACINAMIDE DARK SPOT SERUM 30ml</t>
    <phoneticPr fontId="8" type="noConversion"/>
  </si>
  <si>
    <t>VITA NIACINAMIDE DARK SPOT CREAM 50ml</t>
    <phoneticPr fontId="8" type="noConversion"/>
  </si>
  <si>
    <t>VITA NIACINAMIDE DARK SPOT SERUM MASK 20ml (10ea)</t>
    <phoneticPr fontId="8" type="noConversion"/>
  </si>
  <si>
    <t>VITA NIACINAMIDE GLOW CAPSULE CREAM 50ml</t>
    <phoneticPr fontId="8" type="noConversion"/>
  </si>
  <si>
    <t>BABY MILD TOP TO TOE WASH 300ml</t>
    <phoneticPr fontId="8" type="noConversion"/>
  </si>
  <si>
    <t>BABY MILD LOTION 300ml</t>
    <phoneticPr fontId="8" type="noConversion"/>
  </si>
  <si>
    <t>BABY MILD WET WIPES 20ea</t>
    <phoneticPr fontId="8" type="noConversion"/>
  </si>
  <si>
    <t>BABY MILD WET WIPES 70ea</t>
    <phoneticPr fontId="8" type="noConversion"/>
  </si>
  <si>
    <t>BABY MILD SUNSCREEN_60ml</t>
    <phoneticPr fontId="8" type="noConversion"/>
  </si>
  <si>
    <t>BABY MILD SOOTHING GEL_150ml</t>
    <phoneticPr fontId="8" type="noConversion"/>
  </si>
  <si>
    <t>BABY MILD SUN STICK 21g</t>
    <phoneticPr fontId="8" type="noConversion"/>
  </si>
  <si>
    <t>BABY MILD SUN CUSHION 16g</t>
    <phoneticPr fontId="8" type="noConversion"/>
  </si>
  <si>
    <t>BABY MILD CREAM 200ml</t>
    <phoneticPr fontId="8" type="noConversion"/>
  </si>
  <si>
    <t>CAMELLIA DEEP COLLAGEN FIRMING GEL MASK_34g (4ea)</t>
    <phoneticPr fontId="8" type="noConversion"/>
  </si>
  <si>
    <t>CAMELLIA DEEP COLLAGEN FIRMING AMPOULE_30ml</t>
    <phoneticPr fontId="8" type="noConversion"/>
  </si>
  <si>
    <t>CAMELLIA DEEP COLLAGEN FIRMING CREAM_50ml</t>
    <phoneticPr fontId="8" type="noConversion"/>
  </si>
  <si>
    <t>CAMELLIA DEEP COLLAGEN FIRMING SUN SERUM_50ml</t>
    <phoneticPr fontId="8" type="noConversion"/>
  </si>
  <si>
    <t>CAMELLIA DEEP COLLAGEN JELLY MASK CLEANSER 150ml</t>
    <phoneticPr fontId="8" type="noConversion"/>
  </si>
  <si>
    <t>CAMELLIA DEEP COLLAGEN V LIFTING GEL MASK 10g(4ea)</t>
    <phoneticPr fontId="8" type="noConversion"/>
  </si>
  <si>
    <t>CAMELLIA DEEP COLLAGEN EYE CREAM 30ml</t>
    <phoneticPr fontId="8" type="noConversion"/>
  </si>
  <si>
    <t>CAMELLIA DEEP COLLAGEN MILKY PDRN TONER 150ml</t>
    <phoneticPr fontId="8" type="noConversion"/>
  </si>
  <si>
    <t>FOR MEN PINE CALMING CICA CREAM_75ml</t>
    <phoneticPr fontId="8" type="noConversion"/>
  </si>
  <si>
    <t>STICK POUCH KIT</t>
    <phoneticPr fontId="8" type="noConversion"/>
  </si>
  <si>
    <t>[병행]라운드랩소나무시카딥포어클렌징오일200ml</t>
    <phoneticPr fontId="8" type="noConversion"/>
  </si>
  <si>
    <t>1025 DOKDO TONER_200ml</t>
    <phoneticPr fontId="10" type="noConversion"/>
  </si>
  <si>
    <t>[수출]라운드랩독도수면팩100ml</t>
    <phoneticPr fontId="8" type="noConversion"/>
  </si>
  <si>
    <t>[수출]라운드랩독도앰플45g</t>
    <phoneticPr fontId="10" type="noConversion"/>
  </si>
  <si>
    <t>[수출]라운드랩독도머드팩100ml-튜브형</t>
    <phoneticPr fontId="8" type="noConversion"/>
  </si>
  <si>
    <t>[병행]라운드랩독도클렌징밤50ml(돌려서 쓰는 형태)</t>
    <phoneticPr fontId="8" type="noConversion"/>
  </si>
  <si>
    <t>[수출]라운드랩독도버블폼150ml</t>
    <phoneticPr fontId="10" type="noConversion"/>
  </si>
  <si>
    <t>[수출]라운드랩독도트라이얼키트(독도클렌저30+독도토너20+독도앰플10+독도크림20)</t>
    <phoneticPr fontId="8" type="noConversion"/>
  </si>
  <si>
    <t>라운드랩자작나무수분립밤20g</t>
  </si>
  <si>
    <t>라운드랩자작나무수분립밤20g기획(+립브러쉬)</t>
  </si>
  <si>
    <t>[수출]라운드랩약콩판테놀토너250ml</t>
    <phoneticPr fontId="8" type="noConversion"/>
  </si>
  <si>
    <t>[OTC]라운드랩소나무진정시카아크네마이크로스팟패치9구</t>
    <phoneticPr fontId="8" type="noConversion"/>
  </si>
  <si>
    <t>[병행]라운드랩비타나이아신글로우캡슐크림50ml</t>
  </si>
  <si>
    <t>[병행]라운드랩동백딥콜라겐탄력펩타이드아이크림30ml</t>
    <phoneticPr fontId="8" type="noConversion"/>
  </si>
  <si>
    <t>Line</t>
    <phoneticPr fontId="8" type="noConversion"/>
  </si>
  <si>
    <t>Product Name_En</t>
    <phoneticPr fontId="8" type="noConversion"/>
  </si>
  <si>
    <t>Product Name_Kr</t>
    <phoneticPr fontId="8" type="noConversion"/>
  </si>
  <si>
    <t>Barcode</t>
    <phoneticPr fontId="8" type="noConversion"/>
  </si>
  <si>
    <t>Per
Box</t>
    <phoneticPr fontId="8" type="noConversion"/>
  </si>
  <si>
    <t>MSRP</t>
    <phoneticPr fontId="10" type="noConversion"/>
  </si>
  <si>
    <t>Unit
Price</t>
    <phoneticPr fontId="10" type="noConversion"/>
  </si>
  <si>
    <t>Fill in the
Order Box</t>
    <phoneticPr fontId="10" type="noConversion"/>
  </si>
  <si>
    <t>Pcs</t>
    <phoneticPr fontId="10" type="noConversion"/>
  </si>
  <si>
    <t>Amount</t>
    <phoneticPr fontId="10" type="noConversion"/>
  </si>
  <si>
    <t>1025
DOKDO</t>
    <phoneticPr fontId="8" type="noConversion"/>
  </si>
  <si>
    <t>BIRCH
JUICE</t>
    <phoneticPr fontId="8" type="noConversion"/>
  </si>
  <si>
    <t>MUG
WORT</t>
    <phoneticPr fontId="8" type="noConversion"/>
  </si>
  <si>
    <t>SOYBEAN
PAN
THENOL</t>
    <phoneticPr fontId="8" type="noConversion"/>
  </si>
  <si>
    <t>VITA 
DARK
SPOT</t>
    <phoneticPr fontId="8" type="noConversion"/>
  </si>
  <si>
    <t>FOR
MEN</t>
    <phoneticPr fontId="8" type="noConversion"/>
  </si>
  <si>
    <t>단상자
규격 (mm)</t>
    <phoneticPr fontId="10" type="noConversion"/>
  </si>
  <si>
    <t>무게
(kg)</t>
    <phoneticPr fontId="10" type="noConversion"/>
  </si>
  <si>
    <t>아웃박스
(mm)</t>
    <phoneticPr fontId="10" type="noConversion"/>
  </si>
  <si>
    <t>박스
무게(kg)</t>
    <phoneticPr fontId="10" type="noConversion"/>
  </si>
  <si>
    <r>
      <t>RoundLAb(</t>
    </r>
    <r>
      <rPr>
        <b/>
        <sz val="16"/>
        <rFont val="Calibri"/>
        <family val="3"/>
        <charset val="204"/>
      </rPr>
      <t>минимальный заказ от 30 мил вон,подготовка заказа от 10 дней до 2 недель 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</si>
</sst>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0_ "/>
    <numFmt numFmtId="178" formatCode="#,##0_);[Red]\(#,##0\)"/>
  </numFmts>
  <fonts count="17" x14ac:knownFonts="1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16"/>
      <name val="Calibri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0" borderId="0"/>
    <xf numFmtId="0" fontId="9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6">
    <xf numFmtId="0" fontId="0" fillId="0" borderId="0" xfId="0">
      <alignment vertical="center"/>
    </xf>
    <xf numFmtId="0" fontId="11" fillId="0" borderId="0" xfId="2" applyFont="1" applyAlignment="1" applyProtection="1">
      <alignment horizontal="center" vertical="center" shrinkToFit="1"/>
      <protection locked="0"/>
    </xf>
    <xf numFmtId="0" fontId="12" fillId="0" borderId="0" xfId="2" applyFont="1" applyAlignment="1" applyProtection="1">
      <alignment vertical="center" shrinkToFit="1"/>
      <protection locked="0"/>
    </xf>
    <xf numFmtId="0" fontId="11" fillId="0" borderId="0" xfId="2" applyFont="1" applyAlignment="1" applyProtection="1">
      <alignment vertical="center" shrinkToFit="1"/>
      <protection locked="0"/>
    </xf>
    <xf numFmtId="178" fontId="12" fillId="0" borderId="0" xfId="2" applyNumberFormat="1" applyFont="1" applyAlignment="1" applyProtection="1">
      <alignment horizontal="center" vertical="center" shrinkToFit="1"/>
      <protection locked="0"/>
    </xf>
    <xf numFmtId="0" fontId="12" fillId="0" borderId="1" xfId="2" applyFont="1" applyBorder="1" applyAlignment="1" applyProtection="1">
      <alignment horizontal="center" vertical="center" shrinkToFit="1"/>
      <protection locked="0"/>
    </xf>
    <xf numFmtId="178" fontId="11" fillId="0" borderId="0" xfId="2" applyNumberFormat="1" applyFont="1" applyAlignment="1" applyProtection="1">
      <alignment horizontal="center" vertical="center" shrinkToFit="1"/>
      <protection locked="0"/>
    </xf>
    <xf numFmtId="176" fontId="11" fillId="0" borderId="1" xfId="1" applyNumberFormat="1" applyFont="1" applyFill="1" applyBorder="1" applyAlignment="1" applyProtection="1">
      <alignment horizontal="center" vertical="center" shrinkToFit="1"/>
    </xf>
    <xf numFmtId="178" fontId="12" fillId="0" borderId="1" xfId="1" applyNumberFormat="1" applyFont="1" applyFill="1" applyBorder="1" applyAlignment="1">
      <alignment horizontal="center" vertical="center" shrinkToFit="1"/>
    </xf>
    <xf numFmtId="176" fontId="11" fillId="0" borderId="1" xfId="9" applyNumberFormat="1" applyFont="1" applyFill="1" applyBorder="1" applyAlignment="1" applyProtection="1">
      <alignment horizontal="center" vertical="center" shrinkToFit="1"/>
    </xf>
    <xf numFmtId="176" fontId="11" fillId="0" borderId="1" xfId="3" applyNumberFormat="1" applyFont="1" applyBorder="1" applyAlignment="1">
      <alignment horizontal="center" vertical="center" shrinkToFit="1"/>
    </xf>
    <xf numFmtId="176" fontId="11" fillId="0" borderId="1" xfId="10" applyNumberFormat="1" applyFont="1" applyBorder="1" applyAlignment="1">
      <alignment horizontal="center" vertical="center" shrinkToFit="1"/>
    </xf>
    <xf numFmtId="49" fontId="11" fillId="0" borderId="1" xfId="3" applyNumberFormat="1" applyFont="1" applyBorder="1" applyAlignment="1">
      <alignment horizontal="center" vertical="center" shrinkToFit="1"/>
    </xf>
    <xf numFmtId="41" fontId="12" fillId="0" borderId="0" xfId="2" applyNumberFormat="1" applyFont="1" applyAlignment="1" applyProtection="1">
      <alignment horizontal="center" vertical="center" shrinkToFit="1"/>
      <protection locked="0"/>
    </xf>
    <xf numFmtId="41" fontId="12" fillId="0" borderId="1" xfId="2" applyNumberFormat="1" applyFont="1" applyBorder="1" applyAlignment="1" applyProtection="1">
      <alignment horizontal="right" vertical="center" shrinkToFit="1"/>
      <protection locked="0"/>
    </xf>
    <xf numFmtId="42" fontId="12" fillId="0" borderId="0" xfId="2" applyNumberFormat="1" applyFont="1" applyAlignment="1" applyProtection="1">
      <alignment horizontal="left" vertical="center" shrinkToFit="1"/>
      <protection locked="0"/>
    </xf>
    <xf numFmtId="42" fontId="12" fillId="0" borderId="1" xfId="2" applyNumberFormat="1" applyFont="1" applyBorder="1" applyAlignment="1" applyProtection="1">
      <alignment horizontal="left" vertical="center" shrinkToFit="1"/>
      <protection locked="0"/>
    </xf>
    <xf numFmtId="0" fontId="11" fillId="0" borderId="0" xfId="2" applyFont="1" applyAlignment="1" applyProtection="1">
      <alignment horizontal="left" vertical="center" indent="1" shrinkToFit="1"/>
      <protection locked="0"/>
    </xf>
    <xf numFmtId="0" fontId="11" fillId="0" borderId="1" xfId="2" applyFont="1" applyBorder="1" applyAlignment="1" applyProtection="1">
      <alignment horizontal="left" vertical="center" indent="1" shrinkToFit="1"/>
      <protection locked="0"/>
    </xf>
    <xf numFmtId="0" fontId="11" fillId="0" borderId="1" xfId="2" applyFont="1" applyBorder="1" applyAlignment="1">
      <alignment horizontal="center" vertical="center" shrinkToFit="1"/>
    </xf>
    <xf numFmtId="178" fontId="11" fillId="0" borderId="1" xfId="2" applyNumberFormat="1" applyFont="1" applyBorder="1" applyAlignment="1">
      <alignment horizontal="center" vertical="center" shrinkToFit="1"/>
    </xf>
    <xf numFmtId="0" fontId="14" fillId="0" borderId="0" xfId="6" applyFont="1" applyAlignment="1">
      <alignment vertical="center" shrinkToFit="1"/>
    </xf>
    <xf numFmtId="0" fontId="13" fillId="0" borderId="5" xfId="6" applyFont="1" applyBorder="1" applyAlignment="1">
      <alignment horizontal="center" vertical="center" shrinkToFit="1"/>
    </xf>
    <xf numFmtId="0" fontId="13" fillId="0" borderId="6" xfId="6" applyFont="1" applyBorder="1" applyAlignment="1">
      <alignment vertical="center" shrinkToFit="1"/>
    </xf>
    <xf numFmtId="0" fontId="13" fillId="0" borderId="6" xfId="6" applyFont="1" applyBorder="1" applyAlignment="1">
      <alignment horizontal="center" vertical="center" shrinkToFit="1"/>
    </xf>
    <xf numFmtId="177" fontId="13" fillId="0" borderId="6" xfId="6" applyNumberFormat="1" applyFont="1" applyBorder="1" applyAlignment="1">
      <alignment horizontal="center" vertical="center" shrinkToFit="1"/>
    </xf>
    <xf numFmtId="0" fontId="13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 shrinkToFit="1"/>
    </xf>
    <xf numFmtId="0" fontId="13" fillId="0" borderId="9" xfId="6" applyFont="1" applyBorder="1" applyAlignment="1">
      <alignment vertical="center" shrinkToFit="1"/>
    </xf>
    <xf numFmtId="0" fontId="13" fillId="0" borderId="9" xfId="6" applyFont="1" applyBorder="1" applyAlignment="1">
      <alignment horizontal="center" vertical="center" shrinkToFit="1"/>
    </xf>
    <xf numFmtId="177" fontId="13" fillId="0" borderId="9" xfId="6" applyNumberFormat="1" applyFont="1" applyBorder="1" applyAlignment="1">
      <alignment horizontal="center" vertical="center" shrinkToFit="1"/>
    </xf>
    <xf numFmtId="177" fontId="13" fillId="0" borderId="0" xfId="6" applyNumberFormat="1" applyFont="1" applyAlignment="1">
      <alignment vertical="center" shrinkToFit="1"/>
    </xf>
    <xf numFmtId="0" fontId="13" fillId="0" borderId="7" xfId="6" applyFont="1" applyBorder="1" applyAlignment="1">
      <alignment horizontal="center" vertical="center" shrinkToFit="1"/>
    </xf>
    <xf numFmtId="0" fontId="13" fillId="0" borderId="10" xfId="6" applyFont="1" applyBorder="1" applyAlignment="1">
      <alignment horizontal="center" vertical="center" shrinkToFit="1"/>
    </xf>
    <xf numFmtId="0" fontId="14" fillId="2" borderId="2" xfId="6" applyFont="1" applyFill="1" applyBorder="1" applyAlignment="1">
      <alignment horizontal="center" vertical="center" shrinkToFit="1"/>
    </xf>
    <xf numFmtId="0" fontId="14" fillId="2" borderId="3" xfId="6" applyFont="1" applyFill="1" applyBorder="1" applyAlignment="1">
      <alignment horizontal="center" vertical="center" shrinkToFit="1"/>
    </xf>
    <xf numFmtId="0" fontId="14" fillId="2" borderId="3" xfId="6" applyFont="1" applyFill="1" applyBorder="1" applyAlignment="1">
      <alignment horizontal="center" vertical="center" wrapText="1" shrinkToFit="1"/>
    </xf>
    <xf numFmtId="177" fontId="14" fillId="2" borderId="3" xfId="6" applyNumberFormat="1" applyFont="1" applyFill="1" applyBorder="1" applyAlignment="1">
      <alignment horizontal="center" vertical="center" shrinkToFit="1"/>
    </xf>
    <xf numFmtId="0" fontId="14" fillId="2" borderId="4" xfId="6" applyFont="1" applyFill="1" applyBorder="1" applyAlignment="1">
      <alignment horizontal="center" vertical="center" shrinkToFit="1"/>
    </xf>
    <xf numFmtId="0" fontId="12" fillId="0" borderId="1" xfId="2" applyFont="1" applyBorder="1" applyAlignment="1" applyProtection="1">
      <alignment horizontal="center" vertical="center" wrapText="1" shrinkToFit="1"/>
      <protection locked="0"/>
    </xf>
    <xf numFmtId="0" fontId="12" fillId="0" borderId="1" xfId="2" applyFont="1" applyBorder="1" applyAlignment="1" applyProtection="1">
      <alignment horizontal="center" vertical="center" shrinkToFit="1"/>
      <protection locked="0"/>
    </xf>
    <xf numFmtId="0" fontId="12" fillId="3" borderId="0" xfId="2" applyFont="1" applyFill="1" applyAlignment="1" applyProtection="1">
      <alignment horizontal="center" vertical="center" shrinkToFit="1"/>
      <protection locked="0"/>
    </xf>
    <xf numFmtId="42" fontId="11" fillId="0" borderId="0" xfId="2" applyNumberFormat="1" applyFont="1" applyAlignment="1" applyProtection="1">
      <alignment vertical="center" shrinkToFit="1"/>
      <protection locked="0"/>
    </xf>
    <xf numFmtId="6" fontId="11" fillId="4" borderId="1" xfId="1" applyNumberFormat="1" applyFont="1" applyFill="1" applyBorder="1" applyAlignment="1">
      <alignment horizontal="left" vertical="center" shrinkToFit="1"/>
    </xf>
    <xf numFmtId="0" fontId="12" fillId="5" borderId="1" xfId="2" applyFont="1" applyFill="1" applyBorder="1" applyAlignment="1" applyProtection="1">
      <alignment horizontal="center" vertical="center" shrinkToFit="1"/>
      <protection locked="0"/>
    </xf>
    <xf numFmtId="0" fontId="12" fillId="5" borderId="1" xfId="2" applyFont="1" applyFill="1" applyBorder="1" applyAlignment="1" applyProtection="1">
      <alignment horizontal="center" vertical="center" wrapText="1" shrinkToFit="1"/>
      <protection locked="0"/>
    </xf>
    <xf numFmtId="178" fontId="12" fillId="5" borderId="1" xfId="2" applyNumberFormat="1" applyFont="1" applyFill="1" applyBorder="1" applyAlignment="1" applyProtection="1">
      <alignment horizontal="center" vertical="center" shrinkToFit="1"/>
      <protection locked="0"/>
    </xf>
    <xf numFmtId="42" fontId="12" fillId="5" borderId="1" xfId="2" applyNumberFormat="1" applyFont="1" applyFill="1" applyBorder="1" applyAlignment="1" applyProtection="1">
      <alignment horizontal="center" vertical="center" wrapText="1" shrinkToFit="1"/>
      <protection locked="0"/>
    </xf>
    <xf numFmtId="178" fontId="12" fillId="5" borderId="1" xfId="2" applyNumberFormat="1" applyFont="1" applyFill="1" applyBorder="1" applyAlignment="1" applyProtection="1">
      <alignment horizontal="center" vertical="center" wrapText="1" shrinkToFit="1"/>
      <protection locked="0"/>
    </xf>
    <xf numFmtId="41" fontId="12" fillId="5" borderId="1" xfId="2" applyNumberFormat="1" applyFont="1" applyFill="1" applyBorder="1" applyAlignment="1" applyProtection="1">
      <alignment horizontal="center" vertical="center" shrinkToFit="1"/>
      <protection locked="0"/>
    </xf>
    <xf numFmtId="42" fontId="12" fillId="5" borderId="1" xfId="2" applyNumberFormat="1" applyFont="1" applyFill="1" applyBorder="1" applyAlignment="1" applyProtection="1">
      <alignment horizontal="center" vertical="center" shrinkToFit="1"/>
      <protection locked="0"/>
    </xf>
    <xf numFmtId="0" fontId="15" fillId="0" borderId="0" xfId="2" applyFont="1" applyAlignment="1" applyProtection="1">
      <alignment horizontal="left" vertical="center" indent="1" shrinkToFit="1"/>
      <protection locked="0"/>
    </xf>
    <xf numFmtId="0" fontId="11" fillId="3" borderId="1" xfId="2" applyFont="1" applyFill="1" applyBorder="1" applyAlignment="1" applyProtection="1">
      <alignment horizontal="left" vertical="center" indent="1" shrinkToFit="1"/>
      <protection locked="0"/>
    </xf>
    <xf numFmtId="176" fontId="11" fillId="3" borderId="1" xfId="1" applyNumberFormat="1" applyFont="1" applyFill="1" applyBorder="1" applyAlignment="1" applyProtection="1">
      <alignment horizontal="center" vertical="center" shrinkToFit="1"/>
    </xf>
    <xf numFmtId="0" fontId="11" fillId="3" borderId="1" xfId="2" applyFont="1" applyFill="1" applyBorder="1" applyAlignment="1">
      <alignment horizontal="center" vertical="center" shrinkToFit="1"/>
    </xf>
    <xf numFmtId="178" fontId="11" fillId="3" borderId="1" xfId="2" applyNumberFormat="1" applyFont="1" applyFill="1" applyBorder="1" applyAlignment="1">
      <alignment horizontal="center" vertical="center" shrinkToFit="1"/>
    </xf>
  </cellXfs>
  <cellStyles count="11">
    <cellStyle name="쉼표 [0]" xfId="1" builtinId="6"/>
    <cellStyle name="쉼표 [0] 6" xfId="7" xr:uid="{0071DF41-2A45-424C-9086-03B22BF1A61F}"/>
    <cellStyle name="쉼표 [0] 6 2" xfId="9" xr:uid="{07371B64-01F0-43C5-A809-C43D7AFF5792}"/>
    <cellStyle name="표준" xfId="0" builtinId="0"/>
    <cellStyle name="표준 2" xfId="2" xr:uid="{D45CF0C7-1A45-4B38-BCC6-550D0B7AAEAB}"/>
    <cellStyle name="표준 3" xfId="3" xr:uid="{0D2DCB3D-DDCD-417A-92DF-CFDA3DCB34E1}"/>
    <cellStyle name="표준 4" xfId="4" xr:uid="{D46FFE6A-5B75-4E39-A2E2-BF4E5E61D273}"/>
    <cellStyle name="표준 4 2" xfId="5" xr:uid="{E3E7D0BC-C97D-4F03-9B3C-537440D59D70}"/>
    <cellStyle name="표준 4 3" xfId="6" xr:uid="{638EB555-0912-47FA-97A6-ED086F14B3D9}"/>
    <cellStyle name="표준 5" xfId="8" xr:uid="{55A14526-C2FA-4273-BF4C-B6C4B23A9042}"/>
    <cellStyle name="표준 5 2" xfId="10" xr:uid="{A184138A-CAE7-4723-A8BD-E41921C1B0F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B23A-FB14-4D7E-9925-6CC52F87894D}">
  <sheetPr>
    <tabColor rgb="FFFF0000"/>
  </sheetPr>
  <dimension ref="A1:K116"/>
  <sheetViews>
    <sheetView showGridLines="0" tabSelected="1" zoomScaleNormal="100" zoomScaleSheetLayoutView="75" workbookViewId="0">
      <pane ySplit="2" topLeftCell="A3" activePane="bottomLeft" state="frozen"/>
      <selection pane="bottomLeft" activeCell="C21" sqref="C21"/>
    </sheetView>
  </sheetViews>
  <sheetFormatPr defaultColWidth="7.875" defaultRowHeight="13.5" x14ac:dyDescent="0.3"/>
  <cols>
    <col min="1" max="1" width="9.625" style="2" customWidth="1"/>
    <col min="2" max="3" width="60.625" style="17" customWidth="1"/>
    <col min="4" max="4" width="11.625" style="3" customWidth="1"/>
    <col min="5" max="5" width="4.625" style="1" customWidth="1"/>
    <col min="6" max="6" width="7.625" style="6" customWidth="1"/>
    <col min="7" max="7" width="9.625" style="15" customWidth="1"/>
    <col min="8" max="8" width="11.625" style="4" customWidth="1"/>
    <col min="9" max="9" width="8.625" style="13" customWidth="1"/>
    <col min="10" max="10" width="12.625" style="15" customWidth="1"/>
    <col min="11" max="16384" width="7.875" style="3"/>
  </cols>
  <sheetData>
    <row r="1" spans="1:11" ht="54.75" customHeight="1" x14ac:dyDescent="0.3">
      <c r="B1" s="51" t="s">
        <v>599</v>
      </c>
      <c r="C1" s="41"/>
      <c r="H1" s="4">
        <f>SUM(H3:H120)</f>
        <v>0</v>
      </c>
      <c r="I1" s="13">
        <f t="shared" ref="I1:J1" si="0">SUM(I3:I120)</f>
        <v>0</v>
      </c>
      <c r="J1" s="15">
        <f t="shared" si="0"/>
        <v>0</v>
      </c>
    </row>
    <row r="2" spans="1:11" ht="27" x14ac:dyDescent="0.3">
      <c r="A2" s="44" t="s">
        <v>579</v>
      </c>
      <c r="B2" s="44" t="s">
        <v>580</v>
      </c>
      <c r="C2" s="44" t="s">
        <v>581</v>
      </c>
      <c r="D2" s="44" t="s">
        <v>582</v>
      </c>
      <c r="E2" s="45" t="s">
        <v>583</v>
      </c>
      <c r="F2" s="46" t="s">
        <v>584</v>
      </c>
      <c r="G2" s="47" t="s">
        <v>585</v>
      </c>
      <c r="H2" s="48" t="s">
        <v>586</v>
      </c>
      <c r="I2" s="49" t="s">
        <v>587</v>
      </c>
      <c r="J2" s="50" t="s">
        <v>588</v>
      </c>
    </row>
    <row r="3" spans="1:11" x14ac:dyDescent="0.3">
      <c r="A3" s="39" t="s">
        <v>589</v>
      </c>
      <c r="B3" s="18" t="s">
        <v>0</v>
      </c>
      <c r="C3" s="18" t="s">
        <v>421</v>
      </c>
      <c r="D3" s="7">
        <v>8809657115387</v>
      </c>
      <c r="E3" s="19">
        <v>96</v>
      </c>
      <c r="F3" s="20">
        <v>10000</v>
      </c>
      <c r="G3" s="43">
        <v>4463</v>
      </c>
      <c r="H3" s="8"/>
      <c r="I3" s="14">
        <f>E3*H3</f>
        <v>0</v>
      </c>
      <c r="J3" s="16">
        <f>G3*I3</f>
        <v>0</v>
      </c>
      <c r="K3" s="42"/>
    </row>
    <row r="4" spans="1:11" x14ac:dyDescent="0.3">
      <c r="A4" s="40"/>
      <c r="B4" s="18" t="s">
        <v>566</v>
      </c>
      <c r="C4" s="18" t="s">
        <v>417</v>
      </c>
      <c r="D4" s="7">
        <v>8809657114731</v>
      </c>
      <c r="E4" s="19">
        <v>30</v>
      </c>
      <c r="F4" s="20">
        <v>15000</v>
      </c>
      <c r="G4" s="43">
        <v>7123</v>
      </c>
      <c r="H4" s="8"/>
      <c r="I4" s="14">
        <f>E4*H4</f>
        <v>0</v>
      </c>
      <c r="J4" s="16">
        <f t="shared" ref="J4:J67" si="1">G4*I4</f>
        <v>0</v>
      </c>
      <c r="K4" s="42"/>
    </row>
    <row r="5" spans="1:11" x14ac:dyDescent="0.3">
      <c r="A5" s="40"/>
      <c r="B5" s="18" t="s">
        <v>1</v>
      </c>
      <c r="C5" s="18" t="s">
        <v>415</v>
      </c>
      <c r="D5" s="7">
        <v>8809657114748</v>
      </c>
      <c r="E5" s="19">
        <v>30</v>
      </c>
      <c r="F5" s="20">
        <v>30000</v>
      </c>
      <c r="G5" s="43">
        <v>13738</v>
      </c>
      <c r="H5" s="8"/>
      <c r="I5" s="14">
        <f>E5*H5</f>
        <v>0</v>
      </c>
      <c r="J5" s="16">
        <f t="shared" si="1"/>
        <v>0</v>
      </c>
      <c r="K5" s="42"/>
    </row>
    <row r="6" spans="1:11" x14ac:dyDescent="0.3">
      <c r="A6" s="40"/>
      <c r="B6" s="18" t="s">
        <v>2</v>
      </c>
      <c r="C6" s="18" t="s">
        <v>411</v>
      </c>
      <c r="D6" s="7">
        <v>8809657114779</v>
      </c>
      <c r="E6" s="19">
        <v>30</v>
      </c>
      <c r="F6" s="20">
        <v>20000</v>
      </c>
      <c r="G6" s="43">
        <v>8989</v>
      </c>
      <c r="H6" s="8"/>
      <c r="I6" s="14">
        <f>E6*H6</f>
        <v>0</v>
      </c>
      <c r="J6" s="16">
        <f t="shared" si="1"/>
        <v>0</v>
      </c>
      <c r="K6" s="42"/>
    </row>
    <row r="7" spans="1:11" x14ac:dyDescent="0.3">
      <c r="A7" s="40"/>
      <c r="B7" s="18" t="s">
        <v>3</v>
      </c>
      <c r="C7" s="18" t="s">
        <v>407</v>
      </c>
      <c r="D7" s="7">
        <v>8809738600245</v>
      </c>
      <c r="E7" s="19">
        <v>80</v>
      </c>
      <c r="F7" s="20">
        <v>32000</v>
      </c>
      <c r="G7" s="43">
        <v>11906</v>
      </c>
      <c r="H7" s="8"/>
      <c r="I7" s="14">
        <f>E7*H7</f>
        <v>0</v>
      </c>
      <c r="J7" s="16">
        <f t="shared" si="1"/>
        <v>0</v>
      </c>
      <c r="K7" s="42"/>
    </row>
    <row r="8" spans="1:11" x14ac:dyDescent="0.3">
      <c r="A8" s="40"/>
      <c r="B8" s="18" t="s">
        <v>4</v>
      </c>
      <c r="C8" s="18" t="s">
        <v>404</v>
      </c>
      <c r="D8" s="7">
        <v>8809738608364</v>
      </c>
      <c r="E8" s="19">
        <v>30</v>
      </c>
      <c r="F8" s="20">
        <v>13000</v>
      </c>
      <c r="G8" s="43">
        <v>5857</v>
      </c>
      <c r="H8" s="8"/>
      <c r="I8" s="14">
        <f>E8*H8</f>
        <v>0</v>
      </c>
      <c r="J8" s="16">
        <f t="shared" si="1"/>
        <v>0</v>
      </c>
      <c r="K8" s="42"/>
    </row>
    <row r="9" spans="1:11" x14ac:dyDescent="0.3">
      <c r="A9" s="40"/>
      <c r="B9" s="18" t="s">
        <v>5</v>
      </c>
      <c r="C9" s="18" t="s">
        <v>400</v>
      </c>
      <c r="D9" s="7">
        <v>8809738605677</v>
      </c>
      <c r="E9" s="19">
        <v>30</v>
      </c>
      <c r="F9" s="20">
        <v>23000</v>
      </c>
      <c r="G9" s="43">
        <v>11069</v>
      </c>
      <c r="H9" s="8"/>
      <c r="I9" s="14">
        <f>E9*H9</f>
        <v>0</v>
      </c>
      <c r="J9" s="16">
        <f t="shared" si="1"/>
        <v>0</v>
      </c>
      <c r="K9" s="42"/>
    </row>
    <row r="10" spans="1:11" x14ac:dyDescent="0.3">
      <c r="A10" s="40"/>
      <c r="B10" s="18" t="s">
        <v>6</v>
      </c>
      <c r="C10" s="18" t="s">
        <v>567</v>
      </c>
      <c r="D10" s="7">
        <v>8809657115639</v>
      </c>
      <c r="E10" s="19">
        <v>50</v>
      </c>
      <c r="F10" s="20">
        <v>21000</v>
      </c>
      <c r="G10" s="43">
        <v>9661</v>
      </c>
      <c r="H10" s="8"/>
      <c r="I10" s="14">
        <f>E10*H10</f>
        <v>0</v>
      </c>
      <c r="J10" s="16">
        <f t="shared" si="1"/>
        <v>0</v>
      </c>
      <c r="K10" s="42"/>
    </row>
    <row r="11" spans="1:11" x14ac:dyDescent="0.3">
      <c r="A11" s="40"/>
      <c r="B11" s="18" t="s">
        <v>7</v>
      </c>
      <c r="C11" s="18" t="s">
        <v>568</v>
      </c>
      <c r="D11" s="7">
        <v>8809657115479</v>
      </c>
      <c r="E11" s="19">
        <v>100</v>
      </c>
      <c r="F11" s="20">
        <v>28000</v>
      </c>
      <c r="G11" s="43">
        <v>9705</v>
      </c>
      <c r="H11" s="8"/>
      <c r="I11" s="14">
        <f>E11*H11</f>
        <v>0</v>
      </c>
      <c r="J11" s="16">
        <f t="shared" si="1"/>
        <v>0</v>
      </c>
      <c r="K11" s="42"/>
    </row>
    <row r="12" spans="1:11" x14ac:dyDescent="0.3">
      <c r="A12" s="40"/>
      <c r="B12" s="18" t="s">
        <v>8</v>
      </c>
      <c r="C12" s="18" t="s">
        <v>569</v>
      </c>
      <c r="D12" s="7">
        <v>8809738604755</v>
      </c>
      <c r="E12" s="19">
        <v>30</v>
      </c>
      <c r="F12" s="20">
        <v>17000</v>
      </c>
      <c r="G12" s="43">
        <v>7226</v>
      </c>
      <c r="H12" s="8"/>
      <c r="I12" s="14">
        <f>E12*H12</f>
        <v>0</v>
      </c>
      <c r="J12" s="16">
        <f t="shared" si="1"/>
        <v>0</v>
      </c>
      <c r="K12" s="42"/>
    </row>
    <row r="13" spans="1:11" x14ac:dyDescent="0.3">
      <c r="A13" s="40"/>
      <c r="B13" s="18" t="s">
        <v>9</v>
      </c>
      <c r="C13" s="18" t="s">
        <v>384</v>
      </c>
      <c r="D13" s="7">
        <v>8809743540710</v>
      </c>
      <c r="E13" s="19">
        <v>20</v>
      </c>
      <c r="F13" s="20">
        <v>40000</v>
      </c>
      <c r="G13" s="43">
        <v>10176</v>
      </c>
      <c r="H13" s="8"/>
      <c r="I13" s="14">
        <f>E13*H13</f>
        <v>0</v>
      </c>
      <c r="J13" s="16">
        <f t="shared" si="1"/>
        <v>0</v>
      </c>
      <c r="K13" s="42"/>
    </row>
    <row r="14" spans="1:11" x14ac:dyDescent="0.3">
      <c r="A14" s="40"/>
      <c r="B14" s="18" t="s">
        <v>10</v>
      </c>
      <c r="C14" s="18" t="s">
        <v>381</v>
      </c>
      <c r="D14" s="7">
        <v>8809738591154</v>
      </c>
      <c r="E14" s="19">
        <v>30</v>
      </c>
      <c r="F14" s="20">
        <v>32000</v>
      </c>
      <c r="G14" s="43">
        <v>12957</v>
      </c>
      <c r="H14" s="8"/>
      <c r="I14" s="14">
        <f>E14*H14</f>
        <v>0</v>
      </c>
      <c r="J14" s="16">
        <f t="shared" si="1"/>
        <v>0</v>
      </c>
      <c r="K14" s="42"/>
    </row>
    <row r="15" spans="1:11" x14ac:dyDescent="0.3">
      <c r="A15" s="40"/>
      <c r="B15" s="18" t="s">
        <v>521</v>
      </c>
      <c r="C15" s="18" t="s">
        <v>570</v>
      </c>
      <c r="D15" s="7">
        <v>8809962542755</v>
      </c>
      <c r="E15" s="19">
        <v>40</v>
      </c>
      <c r="F15" s="20">
        <v>28000</v>
      </c>
      <c r="G15" s="43">
        <v>11931</v>
      </c>
      <c r="H15" s="8"/>
      <c r="I15" s="14">
        <f>E15*H15</f>
        <v>0</v>
      </c>
      <c r="J15" s="16">
        <f t="shared" si="1"/>
        <v>0</v>
      </c>
      <c r="K15" s="42"/>
    </row>
    <row r="16" spans="1:11" x14ac:dyDescent="0.3">
      <c r="A16" s="40"/>
      <c r="B16" s="18" t="s">
        <v>11</v>
      </c>
      <c r="C16" s="18" t="s">
        <v>369</v>
      </c>
      <c r="D16" s="7">
        <v>8809743542684</v>
      </c>
      <c r="E16" s="19">
        <v>30</v>
      </c>
      <c r="F16" s="20">
        <v>24000</v>
      </c>
      <c r="G16" s="43">
        <v>11575</v>
      </c>
      <c r="H16" s="8"/>
      <c r="I16" s="14">
        <f>E16*H16</f>
        <v>0</v>
      </c>
      <c r="J16" s="16">
        <f t="shared" si="1"/>
        <v>0</v>
      </c>
      <c r="K16" s="42"/>
    </row>
    <row r="17" spans="1:11" x14ac:dyDescent="0.3">
      <c r="A17" s="40"/>
      <c r="B17" s="18" t="s">
        <v>12</v>
      </c>
      <c r="C17" s="18" t="s">
        <v>571</v>
      </c>
      <c r="D17" s="7">
        <v>8809738599044</v>
      </c>
      <c r="E17" s="19">
        <v>30</v>
      </c>
      <c r="F17" s="20">
        <v>15000</v>
      </c>
      <c r="G17" s="43">
        <v>6837</v>
      </c>
      <c r="H17" s="8"/>
      <c r="I17" s="14">
        <f>E17*H17</f>
        <v>0</v>
      </c>
      <c r="J17" s="16">
        <f t="shared" si="1"/>
        <v>0</v>
      </c>
      <c r="K17" s="42"/>
    </row>
    <row r="18" spans="1:11" x14ac:dyDescent="0.3">
      <c r="A18" s="40"/>
      <c r="B18" s="18" t="s">
        <v>13</v>
      </c>
      <c r="C18" s="18" t="s">
        <v>361</v>
      </c>
      <c r="D18" s="7">
        <v>8809657129247</v>
      </c>
      <c r="E18" s="19">
        <v>40</v>
      </c>
      <c r="F18" s="20">
        <v>24000</v>
      </c>
      <c r="G18" s="43">
        <v>11575</v>
      </c>
      <c r="H18" s="8"/>
      <c r="I18" s="14">
        <f>E18*H18</f>
        <v>0</v>
      </c>
      <c r="J18" s="16">
        <f t="shared" si="1"/>
        <v>0</v>
      </c>
      <c r="K18" s="42"/>
    </row>
    <row r="19" spans="1:11" x14ac:dyDescent="0.3">
      <c r="A19" s="40"/>
      <c r="B19" s="18" t="s">
        <v>14</v>
      </c>
      <c r="C19" s="18" t="s">
        <v>357</v>
      </c>
      <c r="D19" s="7">
        <v>8809657114632</v>
      </c>
      <c r="E19" s="19">
        <v>200</v>
      </c>
      <c r="F19" s="20">
        <v>35000</v>
      </c>
      <c r="G19" s="43">
        <v>9720</v>
      </c>
      <c r="H19" s="8"/>
      <c r="I19" s="14">
        <f>E19*H19</f>
        <v>0</v>
      </c>
      <c r="J19" s="16">
        <f t="shared" si="1"/>
        <v>0</v>
      </c>
      <c r="K19" s="42"/>
    </row>
    <row r="20" spans="1:11" x14ac:dyDescent="0.3">
      <c r="A20" s="40"/>
      <c r="B20" s="18" t="s">
        <v>15</v>
      </c>
      <c r="C20" s="18" t="s">
        <v>353</v>
      </c>
      <c r="D20" s="7">
        <v>8809783321966</v>
      </c>
      <c r="E20" s="19">
        <v>50</v>
      </c>
      <c r="F20" s="20">
        <v>15000</v>
      </c>
      <c r="G20" s="43">
        <v>6837</v>
      </c>
      <c r="H20" s="8"/>
      <c r="I20" s="14">
        <f>E20*H20</f>
        <v>0</v>
      </c>
      <c r="J20" s="16">
        <f t="shared" si="1"/>
        <v>0</v>
      </c>
      <c r="K20" s="42"/>
    </row>
    <row r="21" spans="1:11" x14ac:dyDescent="0.3">
      <c r="A21" s="40"/>
      <c r="B21" s="18" t="s">
        <v>16</v>
      </c>
      <c r="C21" s="18" t="s">
        <v>349</v>
      </c>
      <c r="D21" s="7">
        <v>8809782557298</v>
      </c>
      <c r="E21" s="19">
        <v>50</v>
      </c>
      <c r="F21" s="20">
        <v>25000</v>
      </c>
      <c r="G21" s="43">
        <v>11660</v>
      </c>
      <c r="H21" s="8"/>
      <c r="I21" s="14">
        <f>E21*H21</f>
        <v>0</v>
      </c>
      <c r="J21" s="16">
        <f t="shared" si="1"/>
        <v>0</v>
      </c>
      <c r="K21" s="42"/>
    </row>
    <row r="22" spans="1:11" x14ac:dyDescent="0.3">
      <c r="A22" s="40"/>
      <c r="B22" s="18" t="s">
        <v>17</v>
      </c>
      <c r="C22" s="18" t="s">
        <v>345</v>
      </c>
      <c r="D22" s="7">
        <v>8809875901120</v>
      </c>
      <c r="E22" s="19">
        <v>30</v>
      </c>
      <c r="F22" s="20">
        <v>18000</v>
      </c>
      <c r="G22" s="43">
        <v>6945</v>
      </c>
      <c r="H22" s="8"/>
      <c r="I22" s="14">
        <f>E22*H22</f>
        <v>0</v>
      </c>
      <c r="J22" s="16">
        <f t="shared" si="1"/>
        <v>0</v>
      </c>
      <c r="K22" s="42"/>
    </row>
    <row r="23" spans="1:11" x14ac:dyDescent="0.3">
      <c r="A23" s="40"/>
      <c r="B23" s="18" t="s">
        <v>18</v>
      </c>
      <c r="C23" s="18" t="s">
        <v>343</v>
      </c>
      <c r="D23" s="7">
        <v>8809738607343</v>
      </c>
      <c r="E23" s="19">
        <v>30</v>
      </c>
      <c r="F23" s="20">
        <v>18000</v>
      </c>
      <c r="G23" s="43">
        <v>6010</v>
      </c>
      <c r="H23" s="8"/>
      <c r="I23" s="14">
        <f>E23*H23</f>
        <v>0</v>
      </c>
      <c r="J23" s="16">
        <f t="shared" si="1"/>
        <v>0</v>
      </c>
      <c r="K23" s="42"/>
    </row>
    <row r="24" spans="1:11" x14ac:dyDescent="0.3">
      <c r="A24" s="40"/>
      <c r="B24" s="18" t="s">
        <v>19</v>
      </c>
      <c r="C24" s="18" t="s">
        <v>339</v>
      </c>
      <c r="D24" s="7">
        <v>8809657114243</v>
      </c>
      <c r="E24" s="19">
        <v>30</v>
      </c>
      <c r="F24" s="20">
        <v>35000</v>
      </c>
      <c r="G24" s="43">
        <v>14655</v>
      </c>
      <c r="H24" s="8"/>
      <c r="I24" s="14">
        <f>E24*H24</f>
        <v>0</v>
      </c>
      <c r="J24" s="16">
        <f t="shared" si="1"/>
        <v>0</v>
      </c>
      <c r="K24" s="42"/>
    </row>
    <row r="25" spans="1:11" x14ac:dyDescent="0.3">
      <c r="A25" s="40"/>
      <c r="B25" s="18" t="s">
        <v>20</v>
      </c>
      <c r="C25" s="18" t="s">
        <v>572</v>
      </c>
      <c r="D25" s="7">
        <v>8809962540270</v>
      </c>
      <c r="E25" s="19">
        <v>20</v>
      </c>
      <c r="F25" s="20">
        <v>25000</v>
      </c>
      <c r="G25" s="43">
        <v>7288</v>
      </c>
      <c r="H25" s="8"/>
      <c r="I25" s="14">
        <f>E25*H25</f>
        <v>0</v>
      </c>
      <c r="J25" s="16">
        <f t="shared" si="1"/>
        <v>0</v>
      </c>
      <c r="K25" s="42"/>
    </row>
    <row r="26" spans="1:11" x14ac:dyDescent="0.3">
      <c r="A26" s="40"/>
      <c r="B26" s="18" t="s">
        <v>21</v>
      </c>
      <c r="C26" s="18" t="s">
        <v>333</v>
      </c>
      <c r="D26" s="7">
        <v>8809962541253</v>
      </c>
      <c r="E26" s="19">
        <v>60</v>
      </c>
      <c r="F26" s="20">
        <v>5000</v>
      </c>
      <c r="G26" s="43">
        <v>2555</v>
      </c>
      <c r="H26" s="8"/>
      <c r="I26" s="14">
        <f>E26*H26</f>
        <v>0</v>
      </c>
      <c r="J26" s="16">
        <f t="shared" si="1"/>
        <v>0</v>
      </c>
      <c r="K26" s="42"/>
    </row>
    <row r="27" spans="1:11" x14ac:dyDescent="0.3">
      <c r="A27" s="39" t="s">
        <v>590</v>
      </c>
      <c r="B27" s="18" t="s">
        <v>22</v>
      </c>
      <c r="C27" s="18" t="s">
        <v>327</v>
      </c>
      <c r="D27" s="7">
        <v>8809738600214</v>
      </c>
      <c r="E27" s="19">
        <v>40</v>
      </c>
      <c r="F27" s="20">
        <v>24000</v>
      </c>
      <c r="G27" s="43">
        <v>8751</v>
      </c>
      <c r="H27" s="8"/>
      <c r="I27" s="14">
        <f>E27*H27</f>
        <v>0</v>
      </c>
      <c r="J27" s="16">
        <f t="shared" si="1"/>
        <v>0</v>
      </c>
      <c r="K27" s="42"/>
    </row>
    <row r="28" spans="1:11" x14ac:dyDescent="0.3">
      <c r="A28" s="40"/>
      <c r="B28" s="18" t="s">
        <v>23</v>
      </c>
      <c r="C28" s="18" t="s">
        <v>325</v>
      </c>
      <c r="D28" s="7">
        <v>8809738600221</v>
      </c>
      <c r="E28" s="19">
        <v>80</v>
      </c>
      <c r="F28" s="20">
        <v>32000</v>
      </c>
      <c r="G28" s="43">
        <v>11702</v>
      </c>
      <c r="H28" s="8"/>
      <c r="I28" s="14">
        <f>E28*H28</f>
        <v>0</v>
      </c>
      <c r="J28" s="16">
        <f t="shared" si="1"/>
        <v>0</v>
      </c>
      <c r="K28" s="42"/>
    </row>
    <row r="29" spans="1:11" x14ac:dyDescent="0.3">
      <c r="A29" s="40"/>
      <c r="B29" s="18" t="s">
        <v>24</v>
      </c>
      <c r="C29" s="18" t="s">
        <v>323</v>
      </c>
      <c r="D29" s="7">
        <v>8809738600238</v>
      </c>
      <c r="E29" s="19">
        <v>30</v>
      </c>
      <c r="F29" s="20">
        <v>15000</v>
      </c>
      <c r="G29" s="43">
        <v>5963</v>
      </c>
      <c r="H29" s="8"/>
      <c r="I29" s="14">
        <f>E29*H29</f>
        <v>0</v>
      </c>
      <c r="J29" s="16">
        <f t="shared" si="1"/>
        <v>0</v>
      </c>
      <c r="K29" s="42"/>
    </row>
    <row r="30" spans="1:11" x14ac:dyDescent="0.3">
      <c r="A30" s="40"/>
      <c r="B30" s="18" t="s">
        <v>25</v>
      </c>
      <c r="C30" s="18" t="s">
        <v>321</v>
      </c>
      <c r="D30" s="7">
        <v>8809738604762</v>
      </c>
      <c r="E30" s="19">
        <v>30</v>
      </c>
      <c r="F30" s="20">
        <v>23000</v>
      </c>
      <c r="G30" s="43">
        <v>8509</v>
      </c>
      <c r="H30" s="8"/>
      <c r="I30" s="14">
        <f>E30*H30</f>
        <v>0</v>
      </c>
      <c r="J30" s="16">
        <f t="shared" si="1"/>
        <v>0</v>
      </c>
      <c r="K30" s="42"/>
    </row>
    <row r="31" spans="1:11" x14ac:dyDescent="0.3">
      <c r="A31" s="40"/>
      <c r="B31" s="18" t="s">
        <v>26</v>
      </c>
      <c r="C31" s="18" t="s">
        <v>318</v>
      </c>
      <c r="D31" s="7">
        <v>8809782553009</v>
      </c>
      <c r="E31" s="19">
        <v>70</v>
      </c>
      <c r="F31" s="20">
        <v>28000</v>
      </c>
      <c r="G31" s="43">
        <v>10121</v>
      </c>
      <c r="H31" s="8"/>
      <c r="I31" s="14">
        <f>E31*H31</f>
        <v>0</v>
      </c>
      <c r="J31" s="16">
        <f t="shared" si="1"/>
        <v>0</v>
      </c>
      <c r="K31" s="42"/>
    </row>
    <row r="32" spans="1:11" x14ac:dyDescent="0.3">
      <c r="A32" s="40"/>
      <c r="B32" s="18" t="s">
        <v>27</v>
      </c>
      <c r="C32" s="18" t="s">
        <v>316</v>
      </c>
      <c r="D32" s="7">
        <v>8809614958712</v>
      </c>
      <c r="E32" s="19">
        <v>40</v>
      </c>
      <c r="F32" s="20">
        <v>25000</v>
      </c>
      <c r="G32" s="43">
        <v>10070</v>
      </c>
      <c r="H32" s="8"/>
      <c r="I32" s="14">
        <f>E32*H32</f>
        <v>0</v>
      </c>
      <c r="J32" s="16">
        <f t="shared" si="1"/>
        <v>0</v>
      </c>
      <c r="K32" s="42"/>
    </row>
    <row r="33" spans="1:11" x14ac:dyDescent="0.3">
      <c r="A33" s="40"/>
      <c r="B33" s="18" t="s">
        <v>28</v>
      </c>
      <c r="C33" s="18" t="s">
        <v>312</v>
      </c>
      <c r="D33" s="7">
        <v>8809782551814</v>
      </c>
      <c r="E33" s="19">
        <v>60</v>
      </c>
      <c r="F33" s="20">
        <v>25000</v>
      </c>
      <c r="G33" s="43">
        <v>8878</v>
      </c>
      <c r="H33" s="8"/>
      <c r="I33" s="14">
        <f>E33*H33</f>
        <v>0</v>
      </c>
      <c r="J33" s="16">
        <f t="shared" si="1"/>
        <v>0</v>
      </c>
      <c r="K33" s="42"/>
    </row>
    <row r="34" spans="1:11" x14ac:dyDescent="0.3">
      <c r="A34" s="40"/>
      <c r="B34" s="18" t="s">
        <v>29</v>
      </c>
      <c r="C34" s="18" t="s">
        <v>310</v>
      </c>
      <c r="D34" s="7">
        <v>8809624723157</v>
      </c>
      <c r="E34" s="19">
        <v>40</v>
      </c>
      <c r="F34" s="20">
        <v>30000</v>
      </c>
      <c r="G34" s="43">
        <v>8968</v>
      </c>
      <c r="H34" s="8"/>
      <c r="I34" s="14">
        <f>E34*H34</f>
        <v>0</v>
      </c>
      <c r="J34" s="16">
        <f t="shared" si="1"/>
        <v>0</v>
      </c>
      <c r="K34" s="42"/>
    </row>
    <row r="35" spans="1:11" x14ac:dyDescent="0.3">
      <c r="A35" s="40"/>
      <c r="B35" s="18" t="s">
        <v>30</v>
      </c>
      <c r="C35" s="18" t="s">
        <v>308</v>
      </c>
      <c r="D35" s="7">
        <v>8809638307701</v>
      </c>
      <c r="E35" s="19">
        <v>40</v>
      </c>
      <c r="F35" s="20">
        <v>12000</v>
      </c>
      <c r="G35" s="43">
        <v>4910</v>
      </c>
      <c r="H35" s="8"/>
      <c r="I35" s="14">
        <f>E35*H35</f>
        <v>0</v>
      </c>
      <c r="J35" s="16">
        <f t="shared" si="1"/>
        <v>0</v>
      </c>
      <c r="K35" s="42"/>
    </row>
    <row r="36" spans="1:11" x14ac:dyDescent="0.3">
      <c r="A36" s="40"/>
      <c r="B36" s="18" t="s">
        <v>31</v>
      </c>
      <c r="C36" s="18" t="s">
        <v>304</v>
      </c>
      <c r="D36" s="7">
        <v>8809864769977</v>
      </c>
      <c r="E36" s="19">
        <v>60</v>
      </c>
      <c r="F36" s="20">
        <v>25000</v>
      </c>
      <c r="G36" s="43">
        <v>8878</v>
      </c>
      <c r="H36" s="8"/>
      <c r="I36" s="14">
        <f>E36*H36</f>
        <v>0</v>
      </c>
      <c r="J36" s="16">
        <f t="shared" si="1"/>
        <v>0</v>
      </c>
      <c r="K36" s="42"/>
    </row>
    <row r="37" spans="1:11" x14ac:dyDescent="0.3">
      <c r="A37" s="40"/>
      <c r="B37" s="52" t="s">
        <v>32</v>
      </c>
      <c r="C37" s="52" t="s">
        <v>302</v>
      </c>
      <c r="D37" s="53">
        <v>8809782558523</v>
      </c>
      <c r="E37" s="54">
        <v>60</v>
      </c>
      <c r="F37" s="55">
        <v>25000</v>
      </c>
      <c r="G37" s="43">
        <v>8878</v>
      </c>
      <c r="H37" s="8"/>
      <c r="I37" s="14">
        <f>E37*H37</f>
        <v>0</v>
      </c>
      <c r="J37" s="16">
        <f t="shared" si="1"/>
        <v>0</v>
      </c>
      <c r="K37" s="42"/>
    </row>
    <row r="38" spans="1:11" x14ac:dyDescent="0.3">
      <c r="A38" s="40"/>
      <c r="B38" s="18" t="s">
        <v>33</v>
      </c>
      <c r="C38" s="18" t="s">
        <v>300</v>
      </c>
      <c r="D38" s="7">
        <v>8809875904459</v>
      </c>
      <c r="E38" s="19">
        <v>60</v>
      </c>
      <c r="F38" s="20">
        <v>24000</v>
      </c>
      <c r="G38" s="43">
        <v>8370</v>
      </c>
      <c r="H38" s="8"/>
      <c r="I38" s="14">
        <f>E38*H38</f>
        <v>0</v>
      </c>
      <c r="J38" s="16">
        <f t="shared" si="1"/>
        <v>0</v>
      </c>
      <c r="K38" s="42"/>
    </row>
    <row r="39" spans="1:11" x14ac:dyDescent="0.3">
      <c r="A39" s="40"/>
      <c r="B39" s="18" t="s">
        <v>34</v>
      </c>
      <c r="C39" s="18" t="s">
        <v>296</v>
      </c>
      <c r="D39" s="7">
        <v>8809782556628</v>
      </c>
      <c r="E39" s="19">
        <v>100</v>
      </c>
      <c r="F39" s="20">
        <v>24000</v>
      </c>
      <c r="G39" s="43">
        <v>8879</v>
      </c>
      <c r="H39" s="8"/>
      <c r="I39" s="14">
        <f>E39*H39</f>
        <v>0</v>
      </c>
      <c r="J39" s="16">
        <f t="shared" si="1"/>
        <v>0</v>
      </c>
      <c r="K39" s="42"/>
    </row>
    <row r="40" spans="1:11" x14ac:dyDescent="0.3">
      <c r="A40" s="40"/>
      <c r="B40" s="18" t="s">
        <v>35</v>
      </c>
      <c r="C40" s="18" t="s">
        <v>292</v>
      </c>
      <c r="D40" s="7">
        <v>8809864759480</v>
      </c>
      <c r="E40" s="19">
        <v>60</v>
      </c>
      <c r="F40" s="20">
        <v>28000</v>
      </c>
      <c r="G40" s="43">
        <v>8696</v>
      </c>
      <c r="H40" s="8"/>
      <c r="I40" s="14">
        <f>E40*H40</f>
        <v>0</v>
      </c>
      <c r="J40" s="16">
        <f t="shared" si="1"/>
        <v>0</v>
      </c>
      <c r="K40" s="42"/>
    </row>
    <row r="41" spans="1:11" x14ac:dyDescent="0.3">
      <c r="A41" s="40"/>
      <c r="B41" s="18" t="s">
        <v>36</v>
      </c>
      <c r="C41" s="18" t="s">
        <v>289</v>
      </c>
      <c r="D41" s="7">
        <v>8809614958057</v>
      </c>
      <c r="E41" s="19">
        <v>40</v>
      </c>
      <c r="F41" s="20">
        <v>22000</v>
      </c>
      <c r="G41" s="43">
        <v>8255</v>
      </c>
      <c r="H41" s="8"/>
      <c r="I41" s="14">
        <f>E41*H41</f>
        <v>0</v>
      </c>
      <c r="J41" s="16">
        <f t="shared" si="1"/>
        <v>0</v>
      </c>
      <c r="K41" s="42"/>
    </row>
    <row r="42" spans="1:11" x14ac:dyDescent="0.3">
      <c r="A42" s="40"/>
      <c r="B42" s="18" t="s">
        <v>37</v>
      </c>
      <c r="C42" s="18" t="s">
        <v>285</v>
      </c>
      <c r="D42" s="7">
        <v>8809962540713</v>
      </c>
      <c r="E42" s="19">
        <v>80</v>
      </c>
      <c r="F42" s="20">
        <v>8000</v>
      </c>
      <c r="G42" s="43">
        <v>2171</v>
      </c>
      <c r="H42" s="8"/>
      <c r="I42" s="14">
        <f>E42*H42</f>
        <v>0</v>
      </c>
      <c r="J42" s="16">
        <f t="shared" si="1"/>
        <v>0</v>
      </c>
      <c r="K42" s="42"/>
    </row>
    <row r="43" spans="1:11" x14ac:dyDescent="0.3">
      <c r="A43" s="40"/>
      <c r="B43" s="18" t="s">
        <v>38</v>
      </c>
      <c r="C43" s="18" t="s">
        <v>281</v>
      </c>
      <c r="D43" s="7">
        <v>8809962540287</v>
      </c>
      <c r="E43" s="19">
        <v>20</v>
      </c>
      <c r="F43" s="20">
        <v>25000</v>
      </c>
      <c r="G43" s="43">
        <v>7367</v>
      </c>
      <c r="H43" s="8"/>
      <c r="I43" s="14">
        <f>E43*H43</f>
        <v>0</v>
      </c>
      <c r="J43" s="16">
        <f t="shared" si="1"/>
        <v>0</v>
      </c>
      <c r="K43" s="42"/>
    </row>
    <row r="44" spans="1:11" x14ac:dyDescent="0.3">
      <c r="A44" s="40"/>
      <c r="B44" s="18" t="s">
        <v>39</v>
      </c>
      <c r="C44" s="18" t="s">
        <v>453</v>
      </c>
      <c r="D44" s="7">
        <v>8809962542397</v>
      </c>
      <c r="E44" s="19">
        <v>30</v>
      </c>
      <c r="F44" s="20">
        <v>30000</v>
      </c>
      <c r="G44" s="43">
        <v>8968</v>
      </c>
      <c r="H44" s="8"/>
      <c r="I44" s="14">
        <f>E44*H44</f>
        <v>0</v>
      </c>
      <c r="J44" s="16">
        <f t="shared" si="1"/>
        <v>0</v>
      </c>
      <c r="K44" s="42"/>
    </row>
    <row r="45" spans="1:11" x14ac:dyDescent="0.3">
      <c r="A45" s="40"/>
      <c r="B45" s="18" t="s">
        <v>522</v>
      </c>
      <c r="C45" s="18" t="s">
        <v>573</v>
      </c>
      <c r="D45" s="7">
        <v>8809962542489</v>
      </c>
      <c r="E45" s="19">
        <v>40</v>
      </c>
      <c r="F45" s="20">
        <v>21000</v>
      </c>
      <c r="G45" s="43">
        <v>8348</v>
      </c>
      <c r="H45" s="8"/>
      <c r="I45" s="14">
        <f>E45*H45</f>
        <v>0</v>
      </c>
      <c r="J45" s="16">
        <f t="shared" si="1"/>
        <v>0</v>
      </c>
      <c r="K45" s="42"/>
    </row>
    <row r="46" spans="1:11" x14ac:dyDescent="0.3">
      <c r="A46" s="40"/>
      <c r="B46" s="18" t="s">
        <v>523</v>
      </c>
      <c r="C46" s="18" t="s">
        <v>574</v>
      </c>
      <c r="D46" s="7">
        <v>8809962542496</v>
      </c>
      <c r="E46" s="19">
        <v>50</v>
      </c>
      <c r="F46" s="20">
        <v>23000</v>
      </c>
      <c r="G46" s="43">
        <v>9435</v>
      </c>
      <c r="H46" s="8"/>
      <c r="I46" s="14">
        <f>E46*H46</f>
        <v>0</v>
      </c>
      <c r="J46" s="16">
        <f t="shared" si="1"/>
        <v>0</v>
      </c>
      <c r="K46" s="42"/>
    </row>
    <row r="47" spans="1:11" x14ac:dyDescent="0.3">
      <c r="A47" s="40"/>
      <c r="B47" s="18" t="s">
        <v>524</v>
      </c>
      <c r="C47" s="18" t="s">
        <v>457</v>
      </c>
      <c r="D47" s="7">
        <v>8809962542441</v>
      </c>
      <c r="E47" s="19">
        <v>80</v>
      </c>
      <c r="F47" s="20">
        <v>30000</v>
      </c>
      <c r="G47" s="43">
        <v>8745</v>
      </c>
      <c r="H47" s="8"/>
      <c r="I47" s="14">
        <f>E47*H47</f>
        <v>0</v>
      </c>
      <c r="J47" s="16">
        <f t="shared" si="1"/>
        <v>0</v>
      </c>
      <c r="K47" s="42"/>
    </row>
    <row r="48" spans="1:11" x14ac:dyDescent="0.3">
      <c r="A48" s="40"/>
      <c r="B48" s="18" t="s">
        <v>525</v>
      </c>
      <c r="C48" s="18" t="s">
        <v>447</v>
      </c>
      <c r="D48" s="7">
        <v>8809962543127</v>
      </c>
      <c r="E48" s="19">
        <v>60</v>
      </c>
      <c r="F48" s="20">
        <v>34000</v>
      </c>
      <c r="G48" s="43">
        <v>11965</v>
      </c>
      <c r="H48" s="8"/>
      <c r="I48" s="14">
        <f>E48*H48</f>
        <v>0</v>
      </c>
      <c r="J48" s="16">
        <f t="shared" si="1"/>
        <v>0</v>
      </c>
      <c r="K48" s="42"/>
    </row>
    <row r="49" spans="1:11" x14ac:dyDescent="0.3">
      <c r="A49" s="40"/>
      <c r="B49" s="18" t="s">
        <v>526</v>
      </c>
      <c r="C49" s="18" t="s">
        <v>451</v>
      </c>
      <c r="D49" s="7">
        <v>8809962542885</v>
      </c>
      <c r="E49" s="19">
        <v>40</v>
      </c>
      <c r="F49" s="20">
        <v>25000</v>
      </c>
      <c r="G49" s="43">
        <v>11369</v>
      </c>
      <c r="H49" s="8"/>
      <c r="I49" s="14">
        <f>E49*H49</f>
        <v>0</v>
      </c>
      <c r="J49" s="16">
        <f t="shared" si="1"/>
        <v>0</v>
      </c>
      <c r="K49" s="42"/>
    </row>
    <row r="50" spans="1:11" x14ac:dyDescent="0.3">
      <c r="A50" s="39" t="s">
        <v>591</v>
      </c>
      <c r="B50" s="18" t="s">
        <v>40</v>
      </c>
      <c r="C50" s="18" t="s">
        <v>267</v>
      </c>
      <c r="D50" s="7">
        <v>8809738605714</v>
      </c>
      <c r="E50" s="19">
        <v>40</v>
      </c>
      <c r="F50" s="20">
        <v>24000</v>
      </c>
      <c r="G50" s="43">
        <v>8751</v>
      </c>
      <c r="H50" s="8"/>
      <c r="I50" s="14">
        <f>E50*H50</f>
        <v>0</v>
      </c>
      <c r="J50" s="16">
        <f t="shared" si="1"/>
        <v>0</v>
      </c>
      <c r="K50" s="42"/>
    </row>
    <row r="51" spans="1:11" x14ac:dyDescent="0.3">
      <c r="A51" s="40"/>
      <c r="B51" s="18" t="s">
        <v>41</v>
      </c>
      <c r="C51" s="18" t="s">
        <v>265</v>
      </c>
      <c r="D51" s="7">
        <v>8809738605721</v>
      </c>
      <c r="E51" s="19">
        <v>80</v>
      </c>
      <c r="F51" s="20">
        <v>32000</v>
      </c>
      <c r="G51" s="43">
        <v>11702</v>
      </c>
      <c r="H51" s="8"/>
      <c r="I51" s="14">
        <f>E51*H51</f>
        <v>0</v>
      </c>
      <c r="J51" s="16">
        <f t="shared" si="1"/>
        <v>0</v>
      </c>
      <c r="K51" s="42"/>
    </row>
    <row r="52" spans="1:11" x14ac:dyDescent="0.3">
      <c r="A52" s="40"/>
      <c r="B52" s="18" t="s">
        <v>42</v>
      </c>
      <c r="C52" s="18" t="s">
        <v>263</v>
      </c>
      <c r="D52" s="7">
        <v>8809738593080</v>
      </c>
      <c r="E52" s="19">
        <v>30</v>
      </c>
      <c r="F52" s="20">
        <v>15000</v>
      </c>
      <c r="G52" s="43">
        <v>5963</v>
      </c>
      <c r="H52" s="8"/>
      <c r="I52" s="14">
        <f>E52*H52</f>
        <v>0</v>
      </c>
      <c r="J52" s="16">
        <f t="shared" si="1"/>
        <v>0</v>
      </c>
      <c r="K52" s="42"/>
    </row>
    <row r="53" spans="1:11" x14ac:dyDescent="0.3">
      <c r="A53" s="40"/>
      <c r="B53" s="18" t="s">
        <v>43</v>
      </c>
      <c r="C53" s="18" t="s">
        <v>261</v>
      </c>
      <c r="D53" s="7">
        <v>8809738593103</v>
      </c>
      <c r="E53" s="19">
        <v>70</v>
      </c>
      <c r="F53" s="20">
        <v>28000</v>
      </c>
      <c r="G53" s="43">
        <v>9587</v>
      </c>
      <c r="H53" s="8"/>
      <c r="I53" s="14">
        <f>E53*H53</f>
        <v>0</v>
      </c>
      <c r="J53" s="16">
        <f t="shared" si="1"/>
        <v>0</v>
      </c>
      <c r="K53" s="42"/>
    </row>
    <row r="54" spans="1:11" x14ac:dyDescent="0.3">
      <c r="A54" s="40"/>
      <c r="B54" s="18" t="s">
        <v>44</v>
      </c>
      <c r="C54" s="18" t="s">
        <v>259</v>
      </c>
      <c r="D54" s="7">
        <v>8809743544176</v>
      </c>
      <c r="E54" s="19">
        <v>40</v>
      </c>
      <c r="F54" s="20">
        <v>12000</v>
      </c>
      <c r="G54" s="43">
        <v>5024</v>
      </c>
      <c r="H54" s="8"/>
      <c r="I54" s="14">
        <f>E54*H54</f>
        <v>0</v>
      </c>
      <c r="J54" s="16">
        <f t="shared" si="1"/>
        <v>0</v>
      </c>
      <c r="K54" s="42"/>
    </row>
    <row r="55" spans="1:11" x14ac:dyDescent="0.3">
      <c r="A55" s="40"/>
      <c r="B55" s="18" t="s">
        <v>45</v>
      </c>
      <c r="C55" s="18" t="s">
        <v>255</v>
      </c>
      <c r="D55" s="7">
        <v>8809624723140</v>
      </c>
      <c r="E55" s="19">
        <v>40</v>
      </c>
      <c r="F55" s="20">
        <v>30000</v>
      </c>
      <c r="G55" s="43">
        <v>8713</v>
      </c>
      <c r="H55" s="8"/>
      <c r="I55" s="14">
        <f>E55*H55</f>
        <v>0</v>
      </c>
      <c r="J55" s="16">
        <f t="shared" si="1"/>
        <v>0</v>
      </c>
      <c r="K55" s="42"/>
    </row>
    <row r="56" spans="1:11" x14ac:dyDescent="0.3">
      <c r="A56" s="40" t="s">
        <v>46</v>
      </c>
      <c r="B56" s="18" t="s">
        <v>47</v>
      </c>
      <c r="C56" s="18" t="s">
        <v>253</v>
      </c>
      <c r="D56" s="7">
        <v>8809738593240</v>
      </c>
      <c r="E56" s="19">
        <v>70</v>
      </c>
      <c r="F56" s="20">
        <v>28000</v>
      </c>
      <c r="G56" s="43">
        <v>9587</v>
      </c>
      <c r="H56" s="8"/>
      <c r="I56" s="14">
        <f>E56*H56</f>
        <v>0</v>
      </c>
      <c r="J56" s="16">
        <f t="shared" si="1"/>
        <v>0</v>
      </c>
      <c r="K56" s="42"/>
    </row>
    <row r="57" spans="1:11" x14ac:dyDescent="0.3">
      <c r="A57" s="40"/>
      <c r="B57" s="18" t="s">
        <v>48</v>
      </c>
      <c r="C57" s="18" t="s">
        <v>249</v>
      </c>
      <c r="D57" s="7">
        <v>8809624723133</v>
      </c>
      <c r="E57" s="19">
        <v>40</v>
      </c>
      <c r="F57" s="20">
        <v>30000</v>
      </c>
      <c r="G57" s="43">
        <v>8491</v>
      </c>
      <c r="H57" s="8"/>
      <c r="I57" s="14">
        <f>E57*H57</f>
        <v>0</v>
      </c>
      <c r="J57" s="16">
        <f t="shared" si="1"/>
        <v>0</v>
      </c>
      <c r="K57" s="42"/>
    </row>
    <row r="58" spans="1:11" x14ac:dyDescent="0.3">
      <c r="A58" s="40"/>
      <c r="B58" s="18" t="s">
        <v>49</v>
      </c>
      <c r="C58" s="18" t="s">
        <v>247</v>
      </c>
      <c r="D58" s="7">
        <v>8809624726370</v>
      </c>
      <c r="E58" s="19">
        <v>40</v>
      </c>
      <c r="F58" s="20">
        <v>24000</v>
      </c>
      <c r="G58" s="43">
        <v>8395</v>
      </c>
      <c r="H58" s="8"/>
      <c r="I58" s="14">
        <f>E58*H58</f>
        <v>0</v>
      </c>
      <c r="J58" s="16">
        <f t="shared" si="1"/>
        <v>0</v>
      </c>
      <c r="K58" s="42"/>
    </row>
    <row r="59" spans="1:11" x14ac:dyDescent="0.3">
      <c r="A59" s="40"/>
      <c r="B59" s="18" t="s">
        <v>50</v>
      </c>
      <c r="C59" s="18" t="s">
        <v>243</v>
      </c>
      <c r="D59" s="7">
        <v>8809624726417</v>
      </c>
      <c r="E59" s="19">
        <v>80</v>
      </c>
      <c r="F59" s="20">
        <v>32000</v>
      </c>
      <c r="G59" s="43">
        <v>11024</v>
      </c>
      <c r="H59" s="8"/>
      <c r="I59" s="14">
        <f>E59*H59</f>
        <v>0</v>
      </c>
      <c r="J59" s="16">
        <f t="shared" si="1"/>
        <v>0</v>
      </c>
      <c r="K59" s="42"/>
    </row>
    <row r="60" spans="1:11" x14ac:dyDescent="0.3">
      <c r="A60" s="40"/>
      <c r="B60" s="18" t="s">
        <v>51</v>
      </c>
      <c r="C60" s="18" t="s">
        <v>239</v>
      </c>
      <c r="D60" s="7">
        <v>8809783322369</v>
      </c>
      <c r="E60" s="19">
        <v>50</v>
      </c>
      <c r="F60" s="20">
        <v>15000</v>
      </c>
      <c r="G60" s="43">
        <v>5994</v>
      </c>
      <c r="H60" s="8"/>
      <c r="I60" s="14">
        <f>E60*H60</f>
        <v>0</v>
      </c>
      <c r="J60" s="16">
        <f t="shared" si="1"/>
        <v>0</v>
      </c>
      <c r="K60" s="42"/>
    </row>
    <row r="61" spans="1:11" x14ac:dyDescent="0.3">
      <c r="A61" s="40"/>
      <c r="B61" s="18" t="s">
        <v>52</v>
      </c>
      <c r="C61" s="18" t="s">
        <v>236</v>
      </c>
      <c r="D61" s="7">
        <v>8809783322130</v>
      </c>
      <c r="E61" s="19">
        <v>70</v>
      </c>
      <c r="F61" s="20">
        <v>23000</v>
      </c>
      <c r="G61" s="43">
        <v>8899</v>
      </c>
      <c r="H61" s="8"/>
      <c r="I61" s="14">
        <f>E61*H61</f>
        <v>0</v>
      </c>
      <c r="J61" s="16">
        <f t="shared" si="1"/>
        <v>0</v>
      </c>
      <c r="K61" s="42"/>
    </row>
    <row r="62" spans="1:11" ht="15" customHeight="1" x14ac:dyDescent="0.3">
      <c r="A62" s="39" t="s">
        <v>592</v>
      </c>
      <c r="B62" s="18" t="s">
        <v>53</v>
      </c>
      <c r="C62" s="18" t="s">
        <v>575</v>
      </c>
      <c r="D62" s="7" t="s">
        <v>54</v>
      </c>
      <c r="E62" s="19">
        <v>30</v>
      </c>
      <c r="F62" s="20">
        <v>25000</v>
      </c>
      <c r="G62" s="43">
        <v>8533</v>
      </c>
      <c r="H62" s="8"/>
      <c r="I62" s="14">
        <f>E62*H62</f>
        <v>0</v>
      </c>
      <c r="J62" s="16">
        <f t="shared" si="1"/>
        <v>0</v>
      </c>
      <c r="K62" s="42"/>
    </row>
    <row r="63" spans="1:11" ht="15" customHeight="1" x14ac:dyDescent="0.3">
      <c r="A63" s="40"/>
      <c r="B63" s="18" t="s">
        <v>55</v>
      </c>
      <c r="C63" s="18" t="s">
        <v>230</v>
      </c>
      <c r="D63" s="7">
        <v>8809875908075</v>
      </c>
      <c r="E63" s="19">
        <v>60</v>
      </c>
      <c r="F63" s="20">
        <v>30000</v>
      </c>
      <c r="G63" s="43">
        <v>9508</v>
      </c>
      <c r="H63" s="8"/>
      <c r="I63" s="14">
        <f>E63*H63</f>
        <v>0</v>
      </c>
      <c r="J63" s="16">
        <f t="shared" si="1"/>
        <v>0</v>
      </c>
      <c r="K63" s="42"/>
    </row>
    <row r="64" spans="1:11" x14ac:dyDescent="0.3">
      <c r="A64" s="40"/>
      <c r="B64" s="18" t="s">
        <v>56</v>
      </c>
      <c r="C64" s="18" t="s">
        <v>226</v>
      </c>
      <c r="D64" s="7">
        <v>8809875907337</v>
      </c>
      <c r="E64" s="19">
        <v>60</v>
      </c>
      <c r="F64" s="20">
        <v>34000</v>
      </c>
      <c r="G64" s="43">
        <v>10812</v>
      </c>
      <c r="H64" s="8"/>
      <c r="I64" s="14">
        <f>E64*H64</f>
        <v>0</v>
      </c>
      <c r="J64" s="16">
        <f t="shared" si="1"/>
        <v>0</v>
      </c>
      <c r="K64" s="42"/>
    </row>
    <row r="65" spans="1:11" x14ac:dyDescent="0.3">
      <c r="A65" s="40"/>
      <c r="B65" s="18" t="s">
        <v>57</v>
      </c>
      <c r="C65" s="18" t="s">
        <v>222</v>
      </c>
      <c r="D65" s="7">
        <v>8809849803634</v>
      </c>
      <c r="E65" s="19">
        <v>40</v>
      </c>
      <c r="F65" s="20">
        <v>30000</v>
      </c>
      <c r="G65" s="43">
        <v>8491</v>
      </c>
      <c r="H65" s="8"/>
      <c r="I65" s="14">
        <f>E65*H65</f>
        <v>0</v>
      </c>
      <c r="J65" s="16">
        <f t="shared" si="1"/>
        <v>0</v>
      </c>
      <c r="K65" s="42"/>
    </row>
    <row r="66" spans="1:11" x14ac:dyDescent="0.3">
      <c r="A66" s="40"/>
      <c r="B66" s="18" t="s">
        <v>527</v>
      </c>
      <c r="C66" s="18" t="s">
        <v>219</v>
      </c>
      <c r="D66" s="9">
        <v>8809962541963</v>
      </c>
      <c r="E66" s="19">
        <v>30</v>
      </c>
      <c r="F66" s="20">
        <v>17000</v>
      </c>
      <c r="G66" s="43">
        <v>6019</v>
      </c>
      <c r="H66" s="8"/>
      <c r="I66" s="14">
        <f>E66*H66</f>
        <v>0</v>
      </c>
      <c r="J66" s="16">
        <f t="shared" si="1"/>
        <v>0</v>
      </c>
      <c r="K66" s="42"/>
    </row>
    <row r="67" spans="1:11" x14ac:dyDescent="0.3">
      <c r="A67" s="40"/>
      <c r="B67" s="18" t="s">
        <v>528</v>
      </c>
      <c r="C67" s="18" t="s">
        <v>217</v>
      </c>
      <c r="D67" s="9">
        <v>8809962541970</v>
      </c>
      <c r="E67" s="19">
        <v>40</v>
      </c>
      <c r="F67" s="20">
        <v>25000</v>
      </c>
      <c r="G67" s="43">
        <v>11422</v>
      </c>
      <c r="H67" s="8"/>
      <c r="I67" s="14">
        <f>E67*H67</f>
        <v>0</v>
      </c>
      <c r="J67" s="16">
        <f t="shared" si="1"/>
        <v>0</v>
      </c>
      <c r="K67" s="42"/>
    </row>
    <row r="68" spans="1:11" x14ac:dyDescent="0.3">
      <c r="A68" s="40"/>
      <c r="B68" s="18" t="s">
        <v>529</v>
      </c>
      <c r="C68" s="18" t="s">
        <v>461</v>
      </c>
      <c r="D68" s="9">
        <v>8809962543622</v>
      </c>
      <c r="E68" s="19">
        <v>40</v>
      </c>
      <c r="F68" s="20">
        <v>36000</v>
      </c>
      <c r="G68" s="43">
        <v>10952</v>
      </c>
      <c r="H68" s="8"/>
      <c r="I68" s="14">
        <f>E68*H68</f>
        <v>0</v>
      </c>
      <c r="J68" s="16">
        <f t="shared" ref="J68:J116" si="2">G68*I68</f>
        <v>0</v>
      </c>
      <c r="K68" s="42"/>
    </row>
    <row r="69" spans="1:11" ht="15" customHeight="1" x14ac:dyDescent="0.3">
      <c r="A69" s="39" t="s">
        <v>58</v>
      </c>
      <c r="B69" s="18" t="s">
        <v>59</v>
      </c>
      <c r="C69" s="18" t="s">
        <v>213</v>
      </c>
      <c r="D69" s="10">
        <v>8809783325674</v>
      </c>
      <c r="E69" s="19">
        <v>60</v>
      </c>
      <c r="F69" s="20">
        <v>28000</v>
      </c>
      <c r="G69" s="43">
        <v>9587</v>
      </c>
      <c r="H69" s="8"/>
      <c r="I69" s="14">
        <f>E69*H69</f>
        <v>0</v>
      </c>
      <c r="J69" s="16">
        <f t="shared" si="2"/>
        <v>0</v>
      </c>
      <c r="K69" s="42"/>
    </row>
    <row r="70" spans="1:11" x14ac:dyDescent="0.3">
      <c r="A70" s="40"/>
      <c r="B70" s="18" t="s">
        <v>530</v>
      </c>
      <c r="C70" s="18" t="s">
        <v>211</v>
      </c>
      <c r="D70" s="10">
        <v>8809783325667</v>
      </c>
      <c r="E70" s="19">
        <v>60</v>
      </c>
      <c r="F70" s="20">
        <v>24000</v>
      </c>
      <c r="G70" s="43">
        <v>8293</v>
      </c>
      <c r="H70" s="8"/>
      <c r="I70" s="14">
        <f>E70*H70</f>
        <v>0</v>
      </c>
      <c r="J70" s="16">
        <f t="shared" si="2"/>
        <v>0</v>
      </c>
      <c r="K70" s="42"/>
    </row>
    <row r="71" spans="1:11" x14ac:dyDescent="0.3">
      <c r="A71" s="40"/>
      <c r="B71" s="18" t="s">
        <v>60</v>
      </c>
      <c r="C71" s="18" t="s">
        <v>209</v>
      </c>
      <c r="D71" s="10">
        <v>8809750462708</v>
      </c>
      <c r="E71" s="19">
        <v>30</v>
      </c>
      <c r="F71" s="20">
        <v>25000</v>
      </c>
      <c r="G71" s="43">
        <v>9275</v>
      </c>
      <c r="H71" s="8"/>
      <c r="I71" s="14">
        <f>E71*H71</f>
        <v>0</v>
      </c>
      <c r="J71" s="16">
        <f t="shared" si="2"/>
        <v>0</v>
      </c>
      <c r="K71" s="42"/>
    </row>
    <row r="72" spans="1:11" x14ac:dyDescent="0.3">
      <c r="A72" s="40"/>
      <c r="B72" s="18" t="s">
        <v>61</v>
      </c>
      <c r="C72" s="18" t="s">
        <v>204</v>
      </c>
      <c r="D72" s="10">
        <v>8809783325728</v>
      </c>
      <c r="E72" s="19">
        <v>40</v>
      </c>
      <c r="F72" s="20">
        <v>30000</v>
      </c>
      <c r="G72" s="43">
        <v>8491</v>
      </c>
      <c r="H72" s="8"/>
      <c r="I72" s="14">
        <f>E72*H72</f>
        <v>0</v>
      </c>
      <c r="J72" s="16">
        <f t="shared" si="2"/>
        <v>0</v>
      </c>
      <c r="K72" s="42"/>
    </row>
    <row r="73" spans="1:11" x14ac:dyDescent="0.3">
      <c r="A73" s="40"/>
      <c r="B73" s="18" t="s">
        <v>62</v>
      </c>
      <c r="C73" s="18" t="s">
        <v>202</v>
      </c>
      <c r="D73" s="10">
        <v>8809783326718</v>
      </c>
      <c r="E73" s="19">
        <v>30</v>
      </c>
      <c r="F73" s="20">
        <v>23000</v>
      </c>
      <c r="G73" s="43">
        <v>8387</v>
      </c>
      <c r="H73" s="8"/>
      <c r="I73" s="14">
        <f>E73*H73</f>
        <v>0</v>
      </c>
      <c r="J73" s="16">
        <f t="shared" si="2"/>
        <v>0</v>
      </c>
      <c r="K73" s="42"/>
    </row>
    <row r="74" spans="1:11" x14ac:dyDescent="0.3">
      <c r="A74" s="40"/>
      <c r="B74" s="18" t="s">
        <v>63</v>
      </c>
      <c r="C74" s="18" t="s">
        <v>200</v>
      </c>
      <c r="D74" s="10">
        <v>8809783326725</v>
      </c>
      <c r="E74" s="19">
        <v>30</v>
      </c>
      <c r="F74" s="20">
        <v>25000</v>
      </c>
      <c r="G74" s="43">
        <v>9037</v>
      </c>
      <c r="H74" s="8"/>
      <c r="I74" s="14">
        <f>E74*H74</f>
        <v>0</v>
      </c>
      <c r="J74" s="16">
        <f t="shared" si="2"/>
        <v>0</v>
      </c>
      <c r="K74" s="42"/>
    </row>
    <row r="75" spans="1:11" x14ac:dyDescent="0.3">
      <c r="A75" s="40"/>
      <c r="B75" s="18" t="s">
        <v>64</v>
      </c>
      <c r="C75" s="18" t="s">
        <v>196</v>
      </c>
      <c r="D75" s="10">
        <v>8809864754126</v>
      </c>
      <c r="E75" s="19">
        <v>30</v>
      </c>
      <c r="F75" s="20">
        <v>17000</v>
      </c>
      <c r="G75" s="43">
        <v>6019</v>
      </c>
      <c r="H75" s="8"/>
      <c r="I75" s="14">
        <f>E75*H75</f>
        <v>0</v>
      </c>
      <c r="J75" s="16">
        <f t="shared" si="2"/>
        <v>0</v>
      </c>
      <c r="K75" s="42"/>
    </row>
    <row r="76" spans="1:11" x14ac:dyDescent="0.3">
      <c r="A76" s="40"/>
      <c r="B76" s="18" t="s">
        <v>531</v>
      </c>
      <c r="C76" s="18" t="s">
        <v>494</v>
      </c>
      <c r="D76" s="10">
        <v>8809962542793</v>
      </c>
      <c r="E76" s="19">
        <v>50</v>
      </c>
      <c r="F76" s="20">
        <v>24000</v>
      </c>
      <c r="G76" s="43">
        <v>7708</v>
      </c>
      <c r="H76" s="8"/>
      <c r="I76" s="14">
        <f>E76*H76</f>
        <v>0</v>
      </c>
      <c r="J76" s="16">
        <f t="shared" si="2"/>
        <v>0</v>
      </c>
      <c r="K76" s="42"/>
    </row>
    <row r="77" spans="1:11" x14ac:dyDescent="0.3">
      <c r="A77" s="40"/>
      <c r="B77" s="18" t="s">
        <v>65</v>
      </c>
      <c r="C77" s="18" t="s">
        <v>192</v>
      </c>
      <c r="D77" s="10">
        <v>8809849802408</v>
      </c>
      <c r="E77" s="19">
        <v>40</v>
      </c>
      <c r="F77" s="20">
        <v>21000</v>
      </c>
      <c r="G77" s="43">
        <v>6633</v>
      </c>
      <c r="H77" s="8"/>
      <c r="I77" s="14">
        <f>E77*H77</f>
        <v>0</v>
      </c>
      <c r="J77" s="16">
        <f t="shared" si="2"/>
        <v>0</v>
      </c>
      <c r="K77" s="42"/>
    </row>
    <row r="78" spans="1:11" x14ac:dyDescent="0.3">
      <c r="A78" s="40"/>
      <c r="B78" s="18" t="s">
        <v>66</v>
      </c>
      <c r="C78" s="18" t="s">
        <v>188</v>
      </c>
      <c r="D78" s="10">
        <v>8809962540294</v>
      </c>
      <c r="E78" s="19">
        <v>20</v>
      </c>
      <c r="F78" s="20">
        <v>25000</v>
      </c>
      <c r="G78" s="43">
        <v>7288</v>
      </c>
      <c r="H78" s="8"/>
      <c r="I78" s="14">
        <f>E78*H78</f>
        <v>0</v>
      </c>
      <c r="J78" s="16">
        <f t="shared" si="2"/>
        <v>0</v>
      </c>
      <c r="K78" s="42"/>
    </row>
    <row r="79" spans="1:11" x14ac:dyDescent="0.3">
      <c r="A79" s="40"/>
      <c r="B79" s="18" t="s">
        <v>532</v>
      </c>
      <c r="C79" s="18" t="s">
        <v>184</v>
      </c>
      <c r="D79" s="11">
        <v>8809962542137</v>
      </c>
      <c r="E79" s="19">
        <v>60</v>
      </c>
      <c r="F79" s="20">
        <v>34000</v>
      </c>
      <c r="G79" s="43">
        <v>10668</v>
      </c>
      <c r="H79" s="8"/>
      <c r="I79" s="14">
        <f>E79*H79</f>
        <v>0</v>
      </c>
      <c r="J79" s="16">
        <f t="shared" si="2"/>
        <v>0</v>
      </c>
      <c r="K79" s="42"/>
    </row>
    <row r="80" spans="1:11" x14ac:dyDescent="0.3">
      <c r="A80" s="40"/>
      <c r="B80" s="18" t="s">
        <v>533</v>
      </c>
      <c r="C80" s="18" t="s">
        <v>180</v>
      </c>
      <c r="D80" s="11">
        <v>8809962542403</v>
      </c>
      <c r="E80" s="19">
        <v>50</v>
      </c>
      <c r="F80" s="20">
        <v>24000</v>
      </c>
      <c r="G80" s="43">
        <v>8879</v>
      </c>
      <c r="H80" s="8"/>
      <c r="I80" s="14">
        <f>E80*H80</f>
        <v>0</v>
      </c>
      <c r="J80" s="16">
        <f t="shared" si="2"/>
        <v>0</v>
      </c>
      <c r="K80" s="42"/>
    </row>
    <row r="81" spans="1:11" x14ac:dyDescent="0.3">
      <c r="A81" s="40"/>
      <c r="B81" s="18" t="s">
        <v>534</v>
      </c>
      <c r="C81" s="18" t="s">
        <v>488</v>
      </c>
      <c r="D81" s="11">
        <v>8809962543103</v>
      </c>
      <c r="E81" s="19">
        <v>50</v>
      </c>
      <c r="F81" s="20">
        <v>24000</v>
      </c>
      <c r="G81" s="43">
        <v>8879</v>
      </c>
      <c r="H81" s="8"/>
      <c r="I81" s="14">
        <f>E81*H81</f>
        <v>0</v>
      </c>
      <c r="J81" s="16">
        <f t="shared" si="2"/>
        <v>0</v>
      </c>
      <c r="K81" s="42"/>
    </row>
    <row r="82" spans="1:11" x14ac:dyDescent="0.3">
      <c r="A82" s="40"/>
      <c r="B82" s="18" t="s">
        <v>535</v>
      </c>
      <c r="C82" s="18" t="s">
        <v>484</v>
      </c>
      <c r="D82" s="11">
        <v>8809962543097</v>
      </c>
      <c r="E82" s="19">
        <v>50</v>
      </c>
      <c r="F82" s="20">
        <v>24000</v>
      </c>
      <c r="G82" s="43">
        <v>8293</v>
      </c>
      <c r="H82" s="8"/>
      <c r="I82" s="14">
        <f>E82*H82</f>
        <v>0</v>
      </c>
      <c r="J82" s="16">
        <f t="shared" si="2"/>
        <v>0</v>
      </c>
      <c r="K82" s="42"/>
    </row>
    <row r="83" spans="1:11" x14ac:dyDescent="0.3">
      <c r="A83" s="40"/>
      <c r="B83" s="18" t="s">
        <v>536</v>
      </c>
      <c r="C83" s="18" t="s">
        <v>465</v>
      </c>
      <c r="D83" s="11">
        <v>8809962541475</v>
      </c>
      <c r="E83" s="19">
        <v>80</v>
      </c>
      <c r="F83" s="20">
        <v>23000</v>
      </c>
      <c r="G83" s="43">
        <v>8265</v>
      </c>
      <c r="H83" s="8"/>
      <c r="I83" s="14">
        <f>E83*H83</f>
        <v>0</v>
      </c>
      <c r="J83" s="16">
        <f t="shared" si="2"/>
        <v>0</v>
      </c>
      <c r="K83" s="42"/>
    </row>
    <row r="84" spans="1:11" x14ac:dyDescent="0.3">
      <c r="A84" s="40"/>
      <c r="B84" s="18" t="s">
        <v>537</v>
      </c>
      <c r="C84" s="18" t="s">
        <v>470</v>
      </c>
      <c r="D84" s="11">
        <v>8809962541345</v>
      </c>
      <c r="E84" s="19">
        <v>30</v>
      </c>
      <c r="F84" s="20">
        <v>24000</v>
      </c>
      <c r="G84" s="43">
        <v>8293</v>
      </c>
      <c r="H84" s="8"/>
      <c r="I84" s="14">
        <f>E84*H84</f>
        <v>0</v>
      </c>
      <c r="J84" s="16">
        <f t="shared" si="2"/>
        <v>0</v>
      </c>
      <c r="K84" s="42"/>
    </row>
    <row r="85" spans="1:11" x14ac:dyDescent="0.3">
      <c r="A85" s="40"/>
      <c r="B85" s="18" t="s">
        <v>538</v>
      </c>
      <c r="C85" s="18" t="s">
        <v>480</v>
      </c>
      <c r="D85" s="11">
        <v>8809962541352</v>
      </c>
      <c r="E85" s="19">
        <v>40</v>
      </c>
      <c r="F85" s="20">
        <v>21000</v>
      </c>
      <c r="G85" s="43">
        <v>5654</v>
      </c>
      <c r="H85" s="8"/>
      <c r="I85" s="14">
        <f>E85*H85</f>
        <v>0</v>
      </c>
      <c r="J85" s="16">
        <f t="shared" si="2"/>
        <v>0</v>
      </c>
      <c r="K85" s="42"/>
    </row>
    <row r="86" spans="1:11" x14ac:dyDescent="0.3">
      <c r="A86" s="40"/>
      <c r="B86" s="18" t="s">
        <v>539</v>
      </c>
      <c r="C86" s="18" t="s">
        <v>475</v>
      </c>
      <c r="D86" s="11">
        <v>8809849803979</v>
      </c>
      <c r="E86" s="19">
        <v>40</v>
      </c>
      <c r="F86" s="20">
        <v>18500</v>
      </c>
      <c r="G86" s="43">
        <v>4667</v>
      </c>
      <c r="H86" s="8"/>
      <c r="I86" s="14">
        <f>E86*H86</f>
        <v>0</v>
      </c>
      <c r="J86" s="16">
        <f t="shared" si="2"/>
        <v>0</v>
      </c>
      <c r="K86" s="42"/>
    </row>
    <row r="87" spans="1:11" x14ac:dyDescent="0.3">
      <c r="A87" s="40"/>
      <c r="B87" s="18" t="s">
        <v>540</v>
      </c>
      <c r="C87" s="18" t="s">
        <v>565</v>
      </c>
      <c r="D87" s="11">
        <v>8809962542892</v>
      </c>
      <c r="E87" s="19">
        <v>40</v>
      </c>
      <c r="F87" s="20">
        <v>27000</v>
      </c>
      <c r="G87" s="43">
        <v>11391</v>
      </c>
      <c r="H87" s="8"/>
      <c r="I87" s="14">
        <f>E87*H87</f>
        <v>0</v>
      </c>
      <c r="J87" s="16">
        <f t="shared" si="2"/>
        <v>0</v>
      </c>
      <c r="K87" s="42"/>
    </row>
    <row r="88" spans="1:11" x14ac:dyDescent="0.3">
      <c r="A88" s="40"/>
      <c r="B88" s="18" t="s">
        <v>541</v>
      </c>
      <c r="C88" s="18" t="s">
        <v>576</v>
      </c>
      <c r="D88" s="11">
        <v>8809962543356</v>
      </c>
      <c r="E88" s="19">
        <v>100</v>
      </c>
      <c r="F88" s="20">
        <v>16000</v>
      </c>
      <c r="G88" s="43">
        <v>6326</v>
      </c>
      <c r="H88" s="8"/>
      <c r="I88" s="14">
        <f>E88*H88</f>
        <v>0</v>
      </c>
      <c r="J88" s="16">
        <f t="shared" si="2"/>
        <v>0</v>
      </c>
      <c r="K88" s="42"/>
    </row>
    <row r="89" spans="1:11" ht="15" customHeight="1" x14ac:dyDescent="0.3">
      <c r="A89" s="39" t="s">
        <v>593</v>
      </c>
      <c r="B89" s="18" t="s">
        <v>542</v>
      </c>
      <c r="C89" s="18" t="s">
        <v>176</v>
      </c>
      <c r="D89" s="10">
        <v>8809962540652</v>
      </c>
      <c r="E89" s="19">
        <v>60</v>
      </c>
      <c r="F89" s="20">
        <v>28000</v>
      </c>
      <c r="G89" s="43">
        <v>8518</v>
      </c>
      <c r="H89" s="8"/>
      <c r="I89" s="14">
        <f>E89*H89</f>
        <v>0</v>
      </c>
      <c r="J89" s="16">
        <f t="shared" si="2"/>
        <v>0</v>
      </c>
      <c r="K89" s="42"/>
    </row>
    <row r="90" spans="1:11" x14ac:dyDescent="0.3">
      <c r="A90" s="40"/>
      <c r="B90" s="18" t="s">
        <v>543</v>
      </c>
      <c r="C90" s="18" t="s">
        <v>173</v>
      </c>
      <c r="D90" s="10">
        <v>8809962540690</v>
      </c>
      <c r="E90" s="19">
        <v>60</v>
      </c>
      <c r="F90" s="20">
        <v>30000</v>
      </c>
      <c r="G90" s="43">
        <v>9127</v>
      </c>
      <c r="H90" s="8"/>
      <c r="I90" s="14">
        <f>E90*H90</f>
        <v>0</v>
      </c>
      <c r="J90" s="16">
        <f t="shared" si="2"/>
        <v>0</v>
      </c>
      <c r="K90" s="42"/>
    </row>
    <row r="91" spans="1:11" x14ac:dyDescent="0.3">
      <c r="A91" s="40"/>
      <c r="B91" s="18" t="s">
        <v>544</v>
      </c>
      <c r="C91" s="18" t="s">
        <v>169</v>
      </c>
      <c r="D91" s="10">
        <v>8809962540775</v>
      </c>
      <c r="E91" s="19">
        <v>40</v>
      </c>
      <c r="F91" s="20">
        <v>40000</v>
      </c>
      <c r="G91" s="43">
        <v>8650</v>
      </c>
      <c r="H91" s="8"/>
      <c r="I91" s="14">
        <f>E91*H91</f>
        <v>0</v>
      </c>
      <c r="J91" s="16">
        <f t="shared" si="2"/>
        <v>0</v>
      </c>
      <c r="K91" s="42"/>
    </row>
    <row r="92" spans="1:11" x14ac:dyDescent="0.3">
      <c r="A92" s="40"/>
      <c r="B92" s="18" t="s">
        <v>545</v>
      </c>
      <c r="C92" s="18" t="s">
        <v>577</v>
      </c>
      <c r="D92" s="10">
        <v>8809962542946</v>
      </c>
      <c r="E92" s="19">
        <v>80</v>
      </c>
      <c r="F92" s="20">
        <v>38000</v>
      </c>
      <c r="G92" s="43">
        <v>10876</v>
      </c>
      <c r="H92" s="8"/>
      <c r="I92" s="14">
        <f>E92*H92</f>
        <v>0</v>
      </c>
      <c r="J92" s="16">
        <f t="shared" si="2"/>
        <v>0</v>
      </c>
      <c r="K92" s="42"/>
    </row>
    <row r="93" spans="1:11" x14ac:dyDescent="0.3">
      <c r="A93" s="40" t="s">
        <v>67</v>
      </c>
      <c r="B93" s="18" t="s">
        <v>546</v>
      </c>
      <c r="C93" s="18" t="s">
        <v>164</v>
      </c>
      <c r="D93" s="10">
        <v>8809962540584</v>
      </c>
      <c r="E93" s="19">
        <v>30</v>
      </c>
      <c r="F93" s="20">
        <v>25000</v>
      </c>
      <c r="G93" s="43">
        <v>7553</v>
      </c>
      <c r="H93" s="8"/>
      <c r="I93" s="14">
        <f>E93*H93</f>
        <v>0</v>
      </c>
      <c r="J93" s="16">
        <f t="shared" si="2"/>
        <v>0</v>
      </c>
      <c r="K93" s="42"/>
    </row>
    <row r="94" spans="1:11" x14ac:dyDescent="0.3">
      <c r="A94" s="40"/>
      <c r="B94" s="18" t="s">
        <v>547</v>
      </c>
      <c r="C94" s="18" t="s">
        <v>161</v>
      </c>
      <c r="D94" s="10">
        <v>8809962540591</v>
      </c>
      <c r="E94" s="19">
        <v>30</v>
      </c>
      <c r="F94" s="20">
        <v>35000</v>
      </c>
      <c r="G94" s="43">
        <v>9980</v>
      </c>
      <c r="H94" s="8"/>
      <c r="I94" s="14">
        <f>E94*H94</f>
        <v>0</v>
      </c>
      <c r="J94" s="16">
        <f t="shared" si="2"/>
        <v>0</v>
      </c>
      <c r="K94" s="42"/>
    </row>
    <row r="95" spans="1:11" x14ac:dyDescent="0.3">
      <c r="A95" s="40"/>
      <c r="B95" s="18" t="s">
        <v>548</v>
      </c>
      <c r="C95" s="18" t="s">
        <v>158</v>
      </c>
      <c r="D95" s="10">
        <v>8809962540539</v>
      </c>
      <c r="E95" s="19">
        <v>12</v>
      </c>
      <c r="F95" s="20">
        <v>1800</v>
      </c>
      <c r="G95" s="43">
        <v>1030</v>
      </c>
      <c r="H95" s="8"/>
      <c r="I95" s="14">
        <f>E95*H95</f>
        <v>0</v>
      </c>
      <c r="J95" s="16">
        <f t="shared" si="2"/>
        <v>0</v>
      </c>
      <c r="K95" s="42"/>
    </row>
    <row r="96" spans="1:11" x14ac:dyDescent="0.3">
      <c r="A96" s="40"/>
      <c r="B96" s="18" t="s">
        <v>549</v>
      </c>
      <c r="C96" s="18" t="s">
        <v>155</v>
      </c>
      <c r="D96" s="10">
        <v>8809962540546</v>
      </c>
      <c r="E96" s="19">
        <v>10</v>
      </c>
      <c r="F96" s="20">
        <v>3200</v>
      </c>
      <c r="G96" s="43">
        <v>2408</v>
      </c>
      <c r="H96" s="8"/>
      <c r="I96" s="14">
        <f>E96*H96</f>
        <v>0</v>
      </c>
      <c r="J96" s="16">
        <f t="shared" si="2"/>
        <v>0</v>
      </c>
      <c r="K96" s="42"/>
    </row>
    <row r="97" spans="1:11" x14ac:dyDescent="0.3">
      <c r="A97" s="40"/>
      <c r="B97" s="18" t="s">
        <v>550</v>
      </c>
      <c r="C97" s="18" t="s">
        <v>150</v>
      </c>
      <c r="D97" s="12" t="s">
        <v>72</v>
      </c>
      <c r="E97" s="19">
        <v>40</v>
      </c>
      <c r="F97" s="20">
        <v>26000</v>
      </c>
      <c r="G97" s="43">
        <v>9150</v>
      </c>
      <c r="H97" s="8"/>
      <c r="I97" s="14">
        <f>E97*H97</f>
        <v>0</v>
      </c>
      <c r="J97" s="16">
        <f t="shared" si="2"/>
        <v>0</v>
      </c>
      <c r="K97" s="42"/>
    </row>
    <row r="98" spans="1:11" x14ac:dyDescent="0.3">
      <c r="A98" s="40"/>
      <c r="B98" s="18" t="s">
        <v>551</v>
      </c>
      <c r="C98" s="18" t="s">
        <v>146</v>
      </c>
      <c r="D98" s="12" t="s">
        <v>73</v>
      </c>
      <c r="E98" s="19">
        <v>40</v>
      </c>
      <c r="F98" s="20">
        <v>18000</v>
      </c>
      <c r="G98" s="43">
        <v>4904</v>
      </c>
      <c r="H98" s="8"/>
      <c r="I98" s="14">
        <f>E98*H98</f>
        <v>0</v>
      </c>
      <c r="J98" s="16">
        <f t="shared" si="2"/>
        <v>0</v>
      </c>
      <c r="K98" s="42"/>
    </row>
    <row r="99" spans="1:11" x14ac:dyDescent="0.3">
      <c r="A99" s="40"/>
      <c r="B99" s="18" t="s">
        <v>552</v>
      </c>
      <c r="C99" s="18" t="s">
        <v>134</v>
      </c>
      <c r="D99" s="10">
        <v>8809962541048</v>
      </c>
      <c r="E99" s="19">
        <v>50</v>
      </c>
      <c r="F99" s="20">
        <v>26000</v>
      </c>
      <c r="G99" s="43">
        <v>7799</v>
      </c>
      <c r="H99" s="8"/>
      <c r="I99" s="14">
        <f>E99*H99</f>
        <v>0</v>
      </c>
      <c r="J99" s="16">
        <f t="shared" si="2"/>
        <v>0</v>
      </c>
      <c r="K99" s="42"/>
    </row>
    <row r="100" spans="1:11" x14ac:dyDescent="0.3">
      <c r="A100" s="40"/>
      <c r="B100" s="18" t="s">
        <v>553</v>
      </c>
      <c r="C100" s="18" t="s">
        <v>142</v>
      </c>
      <c r="D100" s="10">
        <v>8809962541031</v>
      </c>
      <c r="E100" s="19">
        <v>100</v>
      </c>
      <c r="F100" s="20">
        <v>28000</v>
      </c>
      <c r="G100" s="43">
        <v>7984</v>
      </c>
      <c r="H100" s="8"/>
      <c r="I100" s="14">
        <f>E100*H100</f>
        <v>0</v>
      </c>
      <c r="J100" s="16">
        <f t="shared" si="2"/>
        <v>0</v>
      </c>
      <c r="K100" s="42"/>
    </row>
    <row r="101" spans="1:11" x14ac:dyDescent="0.3">
      <c r="A101" s="40"/>
      <c r="B101" s="18" t="s">
        <v>554</v>
      </c>
      <c r="C101" s="18" t="s">
        <v>138</v>
      </c>
      <c r="D101" s="10">
        <v>8809962541284</v>
      </c>
      <c r="E101" s="19">
        <v>40</v>
      </c>
      <c r="F101" s="20">
        <v>32000</v>
      </c>
      <c r="G101" s="43">
        <v>10074</v>
      </c>
      <c r="H101" s="8"/>
      <c r="I101" s="14">
        <f>E101*H101</f>
        <v>0</v>
      </c>
      <c r="J101" s="16">
        <f t="shared" si="2"/>
        <v>0</v>
      </c>
      <c r="K101" s="42"/>
    </row>
    <row r="102" spans="1:11" ht="15" customHeight="1" x14ac:dyDescent="0.3">
      <c r="A102" s="39" t="s">
        <v>74</v>
      </c>
      <c r="B102" s="18" t="s">
        <v>555</v>
      </c>
      <c r="C102" s="18" t="s">
        <v>129</v>
      </c>
      <c r="D102" s="10">
        <v>8809962541383</v>
      </c>
      <c r="E102" s="19">
        <v>30</v>
      </c>
      <c r="F102" s="20">
        <v>24000</v>
      </c>
      <c r="G102" s="43">
        <v>7912</v>
      </c>
      <c r="H102" s="8"/>
      <c r="I102" s="14">
        <f>E102*H102</f>
        <v>0</v>
      </c>
      <c r="J102" s="16">
        <f t="shared" si="2"/>
        <v>0</v>
      </c>
      <c r="K102" s="42"/>
    </row>
    <row r="103" spans="1:11" x14ac:dyDescent="0.3">
      <c r="A103" s="40"/>
      <c r="B103" s="18" t="s">
        <v>556</v>
      </c>
      <c r="C103" s="18" t="s">
        <v>124</v>
      </c>
      <c r="D103" s="10">
        <v>8809962541857</v>
      </c>
      <c r="E103" s="19">
        <v>60</v>
      </c>
      <c r="F103" s="20">
        <v>35000</v>
      </c>
      <c r="G103" s="43">
        <v>10574</v>
      </c>
      <c r="H103" s="8"/>
      <c r="I103" s="14">
        <f>E103*H103</f>
        <v>0</v>
      </c>
      <c r="J103" s="16">
        <f t="shared" si="2"/>
        <v>0</v>
      </c>
      <c r="K103" s="42"/>
    </row>
    <row r="104" spans="1:11" x14ac:dyDescent="0.3">
      <c r="A104" s="40"/>
      <c r="B104" s="18" t="s">
        <v>557</v>
      </c>
      <c r="C104" s="18" t="s">
        <v>120</v>
      </c>
      <c r="D104" s="10">
        <v>8809962541840</v>
      </c>
      <c r="E104" s="19">
        <v>80</v>
      </c>
      <c r="F104" s="20">
        <v>38000</v>
      </c>
      <c r="G104" s="43">
        <v>11480</v>
      </c>
      <c r="H104" s="8"/>
      <c r="I104" s="14">
        <f>E104*H104</f>
        <v>0</v>
      </c>
      <c r="J104" s="16">
        <f t="shared" si="2"/>
        <v>0</v>
      </c>
      <c r="K104" s="42"/>
    </row>
    <row r="105" spans="1:11" x14ac:dyDescent="0.3">
      <c r="A105" s="40"/>
      <c r="B105" s="18" t="s">
        <v>558</v>
      </c>
      <c r="C105" s="18" t="s">
        <v>116</v>
      </c>
      <c r="D105" s="10">
        <v>8809962542212</v>
      </c>
      <c r="E105" s="19">
        <v>50</v>
      </c>
      <c r="F105" s="20">
        <v>28000</v>
      </c>
      <c r="G105" s="43">
        <v>9943</v>
      </c>
      <c r="H105" s="8"/>
      <c r="I105" s="14">
        <f>E105*H105</f>
        <v>0</v>
      </c>
      <c r="J105" s="16">
        <f t="shared" si="2"/>
        <v>0</v>
      </c>
      <c r="K105" s="42"/>
    </row>
    <row r="106" spans="1:11" x14ac:dyDescent="0.3">
      <c r="A106" s="40"/>
      <c r="B106" s="18" t="s">
        <v>559</v>
      </c>
      <c r="C106" s="18" t="s">
        <v>113</v>
      </c>
      <c r="D106" s="10">
        <v>8809962542861</v>
      </c>
      <c r="E106" s="19">
        <v>50</v>
      </c>
      <c r="F106" s="20">
        <v>24000</v>
      </c>
      <c r="G106" s="43">
        <v>7581</v>
      </c>
      <c r="H106" s="8"/>
      <c r="I106" s="14">
        <f>E106*H106</f>
        <v>0</v>
      </c>
      <c r="J106" s="16">
        <f t="shared" si="2"/>
        <v>0</v>
      </c>
      <c r="K106" s="42"/>
    </row>
    <row r="107" spans="1:11" x14ac:dyDescent="0.3">
      <c r="A107" s="40"/>
      <c r="B107" s="18" t="s">
        <v>560</v>
      </c>
      <c r="C107" s="18" t="s">
        <v>506</v>
      </c>
      <c r="D107" s="10">
        <v>8809962542366</v>
      </c>
      <c r="E107" s="19">
        <v>30</v>
      </c>
      <c r="F107" s="20">
        <v>30657</v>
      </c>
      <c r="G107" s="43">
        <v>8872</v>
      </c>
      <c r="H107" s="8"/>
      <c r="I107" s="14">
        <f>E107*H107</f>
        <v>0</v>
      </c>
      <c r="J107" s="16">
        <f t="shared" si="2"/>
        <v>0</v>
      </c>
      <c r="K107" s="42"/>
    </row>
    <row r="108" spans="1:11" x14ac:dyDescent="0.3">
      <c r="A108" s="40"/>
      <c r="B108" s="18" t="s">
        <v>561</v>
      </c>
      <c r="C108" s="18" t="s">
        <v>578</v>
      </c>
      <c r="D108" s="10">
        <v>8809962544162</v>
      </c>
      <c r="E108" s="19">
        <v>100</v>
      </c>
      <c r="F108" s="20">
        <v>30000</v>
      </c>
      <c r="G108" s="43">
        <v>9635</v>
      </c>
      <c r="H108" s="8"/>
      <c r="I108" s="14">
        <f>E108*H108</f>
        <v>0</v>
      </c>
      <c r="J108" s="16">
        <f t="shared" si="2"/>
        <v>0</v>
      </c>
      <c r="K108" s="42"/>
    </row>
    <row r="109" spans="1:11" x14ac:dyDescent="0.3">
      <c r="A109" s="40"/>
      <c r="B109" s="18" t="s">
        <v>562</v>
      </c>
      <c r="C109" s="18" t="s">
        <v>498</v>
      </c>
      <c r="D109" s="10">
        <v>8809962543547</v>
      </c>
      <c r="E109" s="19">
        <v>50</v>
      </c>
      <c r="F109" s="20">
        <v>28000</v>
      </c>
      <c r="G109" s="43">
        <v>9527</v>
      </c>
      <c r="H109" s="8"/>
      <c r="I109" s="14">
        <f>E109*H109</f>
        <v>0</v>
      </c>
      <c r="J109" s="16">
        <f t="shared" si="2"/>
        <v>0</v>
      </c>
      <c r="K109" s="42"/>
    </row>
    <row r="110" spans="1:11" ht="15" customHeight="1" x14ac:dyDescent="0.3">
      <c r="A110" s="39" t="s">
        <v>594</v>
      </c>
      <c r="B110" s="18" t="s">
        <v>76</v>
      </c>
      <c r="C110" s="18" t="s">
        <v>107</v>
      </c>
      <c r="D110" s="10">
        <v>8809962541222</v>
      </c>
      <c r="E110" s="19">
        <v>50</v>
      </c>
      <c r="F110" s="20">
        <v>24000</v>
      </c>
      <c r="G110" s="43">
        <v>7988</v>
      </c>
      <c r="H110" s="8"/>
      <c r="I110" s="14">
        <f>E110*H110</f>
        <v>0</v>
      </c>
      <c r="J110" s="16">
        <f t="shared" si="2"/>
        <v>0</v>
      </c>
      <c r="K110" s="42"/>
    </row>
    <row r="111" spans="1:11" x14ac:dyDescent="0.3">
      <c r="A111" s="40"/>
      <c r="B111" s="18" t="s">
        <v>77</v>
      </c>
      <c r="C111" s="18" t="s">
        <v>105</v>
      </c>
      <c r="D111" s="10">
        <v>8809962541239</v>
      </c>
      <c r="E111" s="19">
        <v>50</v>
      </c>
      <c r="F111" s="20">
        <v>24000</v>
      </c>
      <c r="G111" s="43">
        <v>7988</v>
      </c>
      <c r="H111" s="8"/>
      <c r="I111" s="14">
        <f>E111*H111</f>
        <v>0</v>
      </c>
      <c r="J111" s="16">
        <f t="shared" si="2"/>
        <v>0</v>
      </c>
      <c r="K111" s="42"/>
    </row>
    <row r="112" spans="1:11" x14ac:dyDescent="0.3">
      <c r="A112" s="40"/>
      <c r="B112" s="18" t="s">
        <v>78</v>
      </c>
      <c r="C112" s="18" t="s">
        <v>102</v>
      </c>
      <c r="D112" s="10">
        <v>8809962541246</v>
      </c>
      <c r="E112" s="19">
        <v>50</v>
      </c>
      <c r="F112" s="20">
        <v>26000</v>
      </c>
      <c r="G112" s="43">
        <v>8323</v>
      </c>
      <c r="H112" s="8"/>
      <c r="I112" s="14">
        <f>E112*H112</f>
        <v>0</v>
      </c>
      <c r="J112" s="16">
        <f t="shared" si="2"/>
        <v>0</v>
      </c>
      <c r="K112" s="42"/>
    </row>
    <row r="113" spans="1:11" x14ac:dyDescent="0.3">
      <c r="A113" s="40"/>
      <c r="B113" s="18" t="s">
        <v>79</v>
      </c>
      <c r="C113" s="18" t="s">
        <v>99</v>
      </c>
      <c r="D113" s="10">
        <v>8809962541635</v>
      </c>
      <c r="E113" s="19">
        <v>50</v>
      </c>
      <c r="F113" s="20">
        <v>25000</v>
      </c>
      <c r="G113" s="43">
        <v>8003</v>
      </c>
      <c r="H113" s="8"/>
      <c r="I113" s="14">
        <f>E113*H113</f>
        <v>0</v>
      </c>
      <c r="J113" s="16">
        <f t="shared" si="2"/>
        <v>0</v>
      </c>
      <c r="K113" s="42"/>
    </row>
    <row r="114" spans="1:11" x14ac:dyDescent="0.3">
      <c r="A114" s="40"/>
      <c r="B114" s="18" t="s">
        <v>80</v>
      </c>
      <c r="C114" s="18" t="s">
        <v>97</v>
      </c>
      <c r="D114" s="10">
        <v>8809962541628</v>
      </c>
      <c r="E114" s="19">
        <v>50</v>
      </c>
      <c r="F114" s="20">
        <v>25000</v>
      </c>
      <c r="G114" s="43">
        <v>8003</v>
      </c>
      <c r="H114" s="8"/>
      <c r="I114" s="14">
        <f>E114*H114</f>
        <v>0</v>
      </c>
      <c r="J114" s="16">
        <f t="shared" si="2"/>
        <v>0</v>
      </c>
      <c r="K114" s="42"/>
    </row>
    <row r="115" spans="1:11" x14ac:dyDescent="0.3">
      <c r="A115" s="40"/>
      <c r="B115" s="18" t="s">
        <v>563</v>
      </c>
      <c r="C115" s="18" t="s">
        <v>93</v>
      </c>
      <c r="D115" s="10">
        <v>8809962541642</v>
      </c>
      <c r="E115" s="19">
        <v>50</v>
      </c>
      <c r="F115" s="20">
        <v>27000</v>
      </c>
      <c r="G115" s="43">
        <v>8357</v>
      </c>
      <c r="H115" s="8"/>
      <c r="I115" s="14">
        <f>E115*H115</f>
        <v>0</v>
      </c>
      <c r="J115" s="16">
        <f t="shared" si="2"/>
        <v>0</v>
      </c>
      <c r="K115" s="42"/>
    </row>
    <row r="116" spans="1:11" x14ac:dyDescent="0.3">
      <c r="A116" s="5" t="s">
        <v>81</v>
      </c>
      <c r="B116" s="18" t="s">
        <v>564</v>
      </c>
      <c r="C116" s="18" t="s">
        <v>88</v>
      </c>
      <c r="D116" s="12" t="s">
        <v>82</v>
      </c>
      <c r="E116" s="19">
        <v>100</v>
      </c>
      <c r="F116" s="20">
        <v>10000</v>
      </c>
      <c r="G116" s="43">
        <v>5014</v>
      </c>
      <c r="H116" s="8"/>
      <c r="I116" s="14">
        <f>E116*H116</f>
        <v>0</v>
      </c>
      <c r="J116" s="16">
        <f t="shared" si="2"/>
        <v>0</v>
      </c>
      <c r="K116" s="42"/>
    </row>
  </sheetData>
  <autoFilter ref="A2:J2" xr:uid="{75CBB23A-FB14-4D7E-9925-6CC52F87894D}"/>
  <mergeCells count="10">
    <mergeCell ref="A89:A92"/>
    <mergeCell ref="A93:A101"/>
    <mergeCell ref="A102:A109"/>
    <mergeCell ref="A110:A115"/>
    <mergeCell ref="A3:A26"/>
    <mergeCell ref="A27:A49"/>
    <mergeCell ref="A50:A55"/>
    <mergeCell ref="A56:A61"/>
    <mergeCell ref="A62:A68"/>
    <mergeCell ref="A69:A88"/>
  </mergeCells>
  <phoneticPr fontId="10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87E6-7741-4B3A-BB70-7FCA4970CA9C}">
  <dimension ref="A1:K123"/>
  <sheetViews>
    <sheetView showGridLines="0" zoomScaleNormal="100" workbookViewId="0">
      <pane ySplit="1" topLeftCell="A2" activePane="bottomLeft" state="frozen"/>
      <selection pane="bottomLeft" activeCell="E9" sqref="E9:E10"/>
    </sheetView>
  </sheetViews>
  <sheetFormatPr defaultColWidth="9" defaultRowHeight="12" x14ac:dyDescent="0.3"/>
  <cols>
    <col min="1" max="1" width="2.625" style="26" customWidth="1"/>
    <col min="2" max="2" width="80.625" style="26" customWidth="1"/>
    <col min="3" max="3" width="70.625" style="26" customWidth="1"/>
    <col min="4" max="4" width="10.625" style="26" customWidth="1"/>
    <col min="5" max="5" width="5.625" style="26" customWidth="1"/>
    <col min="6" max="6" width="10.625" style="26" customWidth="1"/>
    <col min="7" max="7" width="7.625" style="26" customWidth="1"/>
    <col min="8" max="9" width="10.625" style="26" customWidth="1"/>
    <col min="10" max="10" width="12.625" style="31" customWidth="1"/>
    <col min="11" max="11" width="4.625" style="26" customWidth="1"/>
    <col min="12" max="16384" width="9" style="26"/>
  </cols>
  <sheetData>
    <row r="1" spans="1:11" s="21" customFormat="1" ht="24" x14ac:dyDescent="0.3">
      <c r="A1" s="34" t="s">
        <v>428</v>
      </c>
      <c r="B1" s="35" t="s">
        <v>427</v>
      </c>
      <c r="C1" s="35" t="s">
        <v>426</v>
      </c>
      <c r="D1" s="36" t="s">
        <v>595</v>
      </c>
      <c r="E1" s="36" t="s">
        <v>596</v>
      </c>
      <c r="F1" s="36" t="s">
        <v>597</v>
      </c>
      <c r="G1" s="36" t="s">
        <v>598</v>
      </c>
      <c r="H1" s="35" t="s">
        <v>425</v>
      </c>
      <c r="I1" s="35" t="s">
        <v>424</v>
      </c>
      <c r="J1" s="37" t="s">
        <v>423</v>
      </c>
      <c r="K1" s="38" t="s">
        <v>422</v>
      </c>
    </row>
    <row r="2" spans="1:11" x14ac:dyDescent="0.3">
      <c r="A2" s="22">
        <v>1</v>
      </c>
      <c r="B2" s="23" t="s">
        <v>421</v>
      </c>
      <c r="C2" s="23" t="s">
        <v>420</v>
      </c>
      <c r="D2" s="24" t="s">
        <v>419</v>
      </c>
      <c r="E2" s="24">
        <v>0.15</v>
      </c>
      <c r="F2" s="24" t="s">
        <v>418</v>
      </c>
      <c r="G2" s="24">
        <v>14.4</v>
      </c>
      <c r="H2" s="24" t="s">
        <v>109</v>
      </c>
      <c r="I2" s="24" t="s">
        <v>83</v>
      </c>
      <c r="J2" s="25">
        <v>8809657115387</v>
      </c>
      <c r="K2" s="32">
        <v>96</v>
      </c>
    </row>
    <row r="3" spans="1:11" x14ac:dyDescent="0.3">
      <c r="A3" s="22">
        <v>2</v>
      </c>
      <c r="B3" s="23" t="s">
        <v>417</v>
      </c>
      <c r="C3" s="23" t="s">
        <v>416</v>
      </c>
      <c r="D3" s="24" t="s">
        <v>409</v>
      </c>
      <c r="E3" s="24">
        <v>0.27200000000000002</v>
      </c>
      <c r="F3" s="24" t="s">
        <v>408</v>
      </c>
      <c r="G3" s="24">
        <v>8.1999999999999993</v>
      </c>
      <c r="H3" s="24" t="s">
        <v>109</v>
      </c>
      <c r="I3" s="24" t="s">
        <v>83</v>
      </c>
      <c r="J3" s="25">
        <v>8809657114731</v>
      </c>
      <c r="K3" s="32">
        <v>30</v>
      </c>
    </row>
    <row r="4" spans="1:11" x14ac:dyDescent="0.3">
      <c r="A4" s="22">
        <v>3</v>
      </c>
      <c r="B4" s="23" t="s">
        <v>415</v>
      </c>
      <c r="C4" s="23" t="s">
        <v>414</v>
      </c>
      <c r="D4" s="24" t="s">
        <v>413</v>
      </c>
      <c r="E4" s="24">
        <v>0.60799999999999998</v>
      </c>
      <c r="F4" s="24" t="s">
        <v>412</v>
      </c>
      <c r="G4" s="24">
        <v>18.2</v>
      </c>
      <c r="H4" s="24" t="s">
        <v>109</v>
      </c>
      <c r="I4" s="24" t="s">
        <v>83</v>
      </c>
      <c r="J4" s="25">
        <v>8809657114748</v>
      </c>
      <c r="K4" s="32">
        <v>30</v>
      </c>
    </row>
    <row r="5" spans="1:11" x14ac:dyDescent="0.3">
      <c r="A5" s="22">
        <v>4</v>
      </c>
      <c r="B5" s="23" t="s">
        <v>411</v>
      </c>
      <c r="C5" s="23" t="s">
        <v>410</v>
      </c>
      <c r="D5" s="24" t="s">
        <v>409</v>
      </c>
      <c r="E5" s="24">
        <v>0.27</v>
      </c>
      <c r="F5" s="24" t="s">
        <v>408</v>
      </c>
      <c r="G5" s="24">
        <v>8.1</v>
      </c>
      <c r="H5" s="24" t="s">
        <v>109</v>
      </c>
      <c r="I5" s="24" t="s">
        <v>83</v>
      </c>
      <c r="J5" s="25">
        <v>8809657114779</v>
      </c>
      <c r="K5" s="32">
        <v>30</v>
      </c>
    </row>
    <row r="6" spans="1:11" x14ac:dyDescent="0.3">
      <c r="A6" s="22">
        <v>5</v>
      </c>
      <c r="B6" s="23" t="s">
        <v>407</v>
      </c>
      <c r="C6" s="23" t="s">
        <v>406</v>
      </c>
      <c r="D6" s="24" t="s">
        <v>379</v>
      </c>
      <c r="E6" s="24">
        <v>0.184</v>
      </c>
      <c r="F6" s="24" t="s">
        <v>405</v>
      </c>
      <c r="G6" s="24">
        <v>14.7</v>
      </c>
      <c r="H6" s="24" t="s">
        <v>109</v>
      </c>
      <c r="I6" s="24" t="s">
        <v>83</v>
      </c>
      <c r="J6" s="25">
        <v>8809738600245</v>
      </c>
      <c r="K6" s="32">
        <v>80</v>
      </c>
    </row>
    <row r="7" spans="1:11" x14ac:dyDescent="0.3">
      <c r="A7" s="22">
        <v>6</v>
      </c>
      <c r="B7" s="23" t="s">
        <v>404</v>
      </c>
      <c r="C7" s="23" t="s">
        <v>403</v>
      </c>
      <c r="D7" s="24" t="s">
        <v>402</v>
      </c>
      <c r="E7" s="24">
        <v>0.22</v>
      </c>
      <c r="F7" s="24" t="s">
        <v>401</v>
      </c>
      <c r="G7" s="24">
        <v>6.6</v>
      </c>
      <c r="H7" s="24" t="s">
        <v>109</v>
      </c>
      <c r="I7" s="24" t="s">
        <v>108</v>
      </c>
      <c r="J7" s="25">
        <v>8809738608364</v>
      </c>
      <c r="K7" s="32">
        <v>30</v>
      </c>
    </row>
    <row r="8" spans="1:11" x14ac:dyDescent="0.3">
      <c r="A8" s="22">
        <v>7</v>
      </c>
      <c r="B8" s="23" t="s">
        <v>400</v>
      </c>
      <c r="C8" s="23" t="s">
        <v>399</v>
      </c>
      <c r="D8" s="24" t="s">
        <v>398</v>
      </c>
      <c r="E8" s="24">
        <v>0.252</v>
      </c>
      <c r="F8" s="24" t="s">
        <v>397</v>
      </c>
      <c r="G8" s="24">
        <v>7.6</v>
      </c>
      <c r="H8" s="24" t="s">
        <v>109</v>
      </c>
      <c r="I8" s="24" t="s">
        <v>83</v>
      </c>
      <c r="J8" s="25">
        <v>8809738605677</v>
      </c>
      <c r="K8" s="32">
        <v>30</v>
      </c>
    </row>
    <row r="9" spans="1:11" x14ac:dyDescent="0.3">
      <c r="A9" s="22">
        <v>8</v>
      </c>
      <c r="B9" s="23" t="s">
        <v>396</v>
      </c>
      <c r="C9" s="23" t="s">
        <v>395</v>
      </c>
      <c r="D9" s="24" t="s">
        <v>394</v>
      </c>
      <c r="E9" s="24">
        <v>0.14599999999999999</v>
      </c>
      <c r="F9" s="24" t="s">
        <v>393</v>
      </c>
      <c r="G9" s="24">
        <v>7.3</v>
      </c>
      <c r="H9" s="24" t="s">
        <v>109</v>
      </c>
      <c r="I9" s="24" t="s">
        <v>83</v>
      </c>
      <c r="J9" s="25">
        <v>8809657115639</v>
      </c>
      <c r="K9" s="32">
        <v>50</v>
      </c>
    </row>
    <row r="10" spans="1:11" x14ac:dyDescent="0.3">
      <c r="A10" s="22">
        <v>9</v>
      </c>
      <c r="B10" s="23" t="s">
        <v>392</v>
      </c>
      <c r="C10" s="23" t="s">
        <v>391</v>
      </c>
      <c r="D10" s="24" t="s">
        <v>390</v>
      </c>
      <c r="E10" s="24">
        <v>0.152</v>
      </c>
      <c r="F10" s="24" t="s">
        <v>389</v>
      </c>
      <c r="G10" s="24">
        <v>15.2</v>
      </c>
      <c r="H10" s="24" t="s">
        <v>109</v>
      </c>
      <c r="I10" s="24" t="s">
        <v>83</v>
      </c>
      <c r="J10" s="25">
        <v>8809657115479</v>
      </c>
      <c r="K10" s="32">
        <v>100</v>
      </c>
    </row>
    <row r="11" spans="1:11" x14ac:dyDescent="0.3">
      <c r="A11" s="22">
        <v>10</v>
      </c>
      <c r="B11" s="23" t="s">
        <v>388</v>
      </c>
      <c r="C11" s="23" t="s">
        <v>387</v>
      </c>
      <c r="D11" s="24" t="s">
        <v>386</v>
      </c>
      <c r="E11" s="24">
        <v>0.14599999999999999</v>
      </c>
      <c r="F11" s="24" t="s">
        <v>385</v>
      </c>
      <c r="G11" s="24">
        <v>4.4000000000000004</v>
      </c>
      <c r="H11" s="24" t="s">
        <v>109</v>
      </c>
      <c r="I11" s="24" t="s">
        <v>83</v>
      </c>
      <c r="J11" s="25">
        <v>8809738604755</v>
      </c>
      <c r="K11" s="32">
        <v>30</v>
      </c>
    </row>
    <row r="12" spans="1:11" x14ac:dyDescent="0.3">
      <c r="A12" s="22">
        <v>11</v>
      </c>
      <c r="B12" s="23" t="s">
        <v>384</v>
      </c>
      <c r="C12" s="23" t="s">
        <v>383</v>
      </c>
      <c r="D12" s="24" t="s">
        <v>220</v>
      </c>
      <c r="E12" s="24">
        <v>0.61</v>
      </c>
      <c r="F12" s="24" t="s">
        <v>382</v>
      </c>
      <c r="G12" s="24">
        <v>12.2</v>
      </c>
      <c r="H12" s="24" t="s">
        <v>103</v>
      </c>
      <c r="I12" s="24" t="s">
        <v>125</v>
      </c>
      <c r="J12" s="25">
        <v>8809743540710</v>
      </c>
      <c r="K12" s="32">
        <v>20</v>
      </c>
    </row>
    <row r="13" spans="1:11" x14ac:dyDescent="0.3">
      <c r="A13" s="22">
        <v>13</v>
      </c>
      <c r="B13" s="23" t="s">
        <v>381</v>
      </c>
      <c r="C13" s="23" t="s">
        <v>380</v>
      </c>
      <c r="D13" s="24" t="s">
        <v>379</v>
      </c>
      <c r="E13" s="24">
        <v>0.18</v>
      </c>
      <c r="F13" s="24" t="s">
        <v>378</v>
      </c>
      <c r="G13" s="24">
        <v>5.4</v>
      </c>
      <c r="H13" s="24" t="s">
        <v>109</v>
      </c>
      <c r="I13" s="24" t="s">
        <v>83</v>
      </c>
      <c r="J13" s="25">
        <v>8809738591154</v>
      </c>
      <c r="K13" s="32">
        <v>30</v>
      </c>
    </row>
    <row r="14" spans="1:11" x14ac:dyDescent="0.3">
      <c r="A14" s="22">
        <v>14</v>
      </c>
      <c r="B14" s="23" t="s">
        <v>377</v>
      </c>
      <c r="C14" s="23" t="s">
        <v>376</v>
      </c>
      <c r="D14" s="24" t="s">
        <v>375</v>
      </c>
      <c r="E14" s="24">
        <v>0.16600000000000001</v>
      </c>
      <c r="F14" s="24" t="s">
        <v>374</v>
      </c>
      <c r="G14" s="24">
        <v>5</v>
      </c>
      <c r="H14" s="24" t="s">
        <v>130</v>
      </c>
      <c r="I14" s="24" t="s">
        <v>83</v>
      </c>
      <c r="J14" s="25">
        <v>8809782555911</v>
      </c>
      <c r="K14" s="32">
        <v>30</v>
      </c>
    </row>
    <row r="15" spans="1:11" x14ac:dyDescent="0.3">
      <c r="A15" s="22">
        <v>15</v>
      </c>
      <c r="B15" s="23" t="s">
        <v>373</v>
      </c>
      <c r="C15" s="23" t="s">
        <v>372</v>
      </c>
      <c r="D15" s="24" t="s">
        <v>371</v>
      </c>
      <c r="E15" s="24">
        <v>0.16900000000000001</v>
      </c>
      <c r="F15" s="24" t="s">
        <v>370</v>
      </c>
      <c r="G15" s="24">
        <v>3</v>
      </c>
      <c r="H15" s="24" t="s">
        <v>109</v>
      </c>
      <c r="I15" s="24" t="s">
        <v>83</v>
      </c>
      <c r="J15" s="25">
        <v>8809962542755</v>
      </c>
      <c r="K15" s="32">
        <v>40</v>
      </c>
    </row>
    <row r="16" spans="1:11" x14ac:dyDescent="0.3">
      <c r="A16" s="22">
        <v>16</v>
      </c>
      <c r="B16" s="23" t="s">
        <v>369</v>
      </c>
      <c r="C16" s="23" t="s">
        <v>368</v>
      </c>
      <c r="D16" s="24" t="s">
        <v>367</v>
      </c>
      <c r="E16" s="24">
        <v>0.25700000000000001</v>
      </c>
      <c r="F16" s="24" t="s">
        <v>366</v>
      </c>
      <c r="G16" s="24">
        <v>7.7</v>
      </c>
      <c r="H16" s="24" t="s">
        <v>103</v>
      </c>
      <c r="I16" s="24" t="s">
        <v>83</v>
      </c>
      <c r="J16" s="25">
        <v>8809743542684</v>
      </c>
      <c r="K16" s="32">
        <v>30</v>
      </c>
    </row>
    <row r="17" spans="1:11" x14ac:dyDescent="0.3">
      <c r="A17" s="22">
        <v>17</v>
      </c>
      <c r="B17" s="23" t="s">
        <v>365</v>
      </c>
      <c r="C17" s="23" t="s">
        <v>364</v>
      </c>
      <c r="D17" s="24" t="s">
        <v>363</v>
      </c>
      <c r="E17" s="24">
        <v>0.24</v>
      </c>
      <c r="F17" s="24" t="s">
        <v>362</v>
      </c>
      <c r="G17" s="24">
        <v>7.2</v>
      </c>
      <c r="H17" s="24" t="s">
        <v>109</v>
      </c>
      <c r="I17" s="24" t="s">
        <v>108</v>
      </c>
      <c r="J17" s="25">
        <v>8809738599044</v>
      </c>
      <c r="K17" s="32">
        <v>30</v>
      </c>
    </row>
    <row r="18" spans="1:11" x14ac:dyDescent="0.3">
      <c r="A18" s="22">
        <v>18</v>
      </c>
      <c r="B18" s="23" t="s">
        <v>361</v>
      </c>
      <c r="C18" s="23" t="s">
        <v>360</v>
      </c>
      <c r="D18" s="24" t="s">
        <v>359</v>
      </c>
      <c r="E18" s="24">
        <v>0.23499999999999999</v>
      </c>
      <c r="F18" s="24" t="s">
        <v>358</v>
      </c>
      <c r="G18" s="24">
        <v>9.4</v>
      </c>
      <c r="H18" s="24" t="s">
        <v>109</v>
      </c>
      <c r="I18" s="24" t="s">
        <v>125</v>
      </c>
      <c r="J18" s="25">
        <v>8809657129247</v>
      </c>
      <c r="K18" s="32">
        <v>40</v>
      </c>
    </row>
    <row r="19" spans="1:11" x14ac:dyDescent="0.3">
      <c r="A19" s="22">
        <v>19</v>
      </c>
      <c r="B19" s="23" t="s">
        <v>357</v>
      </c>
      <c r="C19" s="23" t="s">
        <v>356</v>
      </c>
      <c r="D19" s="24" t="s">
        <v>355</v>
      </c>
      <c r="E19" s="24">
        <v>0.05</v>
      </c>
      <c r="F19" s="24" t="s">
        <v>354</v>
      </c>
      <c r="G19" s="24">
        <v>10</v>
      </c>
      <c r="H19" s="24" t="s">
        <v>109</v>
      </c>
      <c r="I19" s="24" t="s">
        <v>83</v>
      </c>
      <c r="J19" s="25">
        <v>8809657114632</v>
      </c>
      <c r="K19" s="32">
        <v>200</v>
      </c>
    </row>
    <row r="20" spans="1:11" x14ac:dyDescent="0.3">
      <c r="A20" s="22">
        <v>20</v>
      </c>
      <c r="B20" s="23" t="s">
        <v>353</v>
      </c>
      <c r="C20" s="23" t="s">
        <v>352</v>
      </c>
      <c r="D20" s="24" t="s">
        <v>351</v>
      </c>
      <c r="E20" s="24">
        <v>0.17499999999999999</v>
      </c>
      <c r="F20" s="24" t="s">
        <v>350</v>
      </c>
      <c r="G20" s="24">
        <v>8.8000000000000007</v>
      </c>
      <c r="H20" s="24" t="s">
        <v>89</v>
      </c>
      <c r="I20" s="24" t="s">
        <v>83</v>
      </c>
      <c r="J20" s="25">
        <v>8809783321966</v>
      </c>
      <c r="K20" s="32">
        <v>50</v>
      </c>
    </row>
    <row r="21" spans="1:11" x14ac:dyDescent="0.3">
      <c r="A21" s="22">
        <v>21</v>
      </c>
      <c r="B21" s="23" t="s">
        <v>349</v>
      </c>
      <c r="C21" s="23" t="s">
        <v>348</v>
      </c>
      <c r="D21" s="24" t="s">
        <v>347</v>
      </c>
      <c r="E21" s="24">
        <v>7.6999999999999999E-2</v>
      </c>
      <c r="F21" s="24" t="s">
        <v>346</v>
      </c>
      <c r="G21" s="24">
        <v>3.9</v>
      </c>
      <c r="H21" s="24" t="s">
        <v>130</v>
      </c>
      <c r="I21" s="24" t="s">
        <v>83</v>
      </c>
      <c r="J21" s="25">
        <v>8809782557298</v>
      </c>
      <c r="K21" s="32">
        <v>50</v>
      </c>
    </row>
    <row r="22" spans="1:11" x14ac:dyDescent="0.3">
      <c r="A22" s="22">
        <v>22</v>
      </c>
      <c r="B22" s="23" t="s">
        <v>345</v>
      </c>
      <c r="C22" s="23" t="s">
        <v>344</v>
      </c>
      <c r="D22" s="24" t="s">
        <v>341</v>
      </c>
      <c r="E22" s="24">
        <v>0.21199999999999999</v>
      </c>
      <c r="F22" s="24" t="s">
        <v>340</v>
      </c>
      <c r="G22" s="24">
        <v>14.6</v>
      </c>
      <c r="H22" s="24" t="s">
        <v>130</v>
      </c>
      <c r="I22" s="24" t="s">
        <v>108</v>
      </c>
      <c r="J22" s="25">
        <v>8809875901120</v>
      </c>
      <c r="K22" s="32">
        <v>30</v>
      </c>
    </row>
    <row r="23" spans="1:11" x14ac:dyDescent="0.3">
      <c r="A23" s="22">
        <v>23</v>
      </c>
      <c r="B23" s="23" t="s">
        <v>343</v>
      </c>
      <c r="C23" s="23" t="s">
        <v>342</v>
      </c>
      <c r="D23" s="24" t="s">
        <v>341</v>
      </c>
      <c r="E23" s="24">
        <v>0.48799999999999999</v>
      </c>
      <c r="F23" s="24" t="s">
        <v>340</v>
      </c>
      <c r="G23" s="24">
        <v>14.6</v>
      </c>
      <c r="H23" s="24" t="s">
        <v>109</v>
      </c>
      <c r="I23" s="24" t="s">
        <v>108</v>
      </c>
      <c r="J23" s="25">
        <v>8809738607343</v>
      </c>
      <c r="K23" s="32">
        <v>30</v>
      </c>
    </row>
    <row r="24" spans="1:11" x14ac:dyDescent="0.3">
      <c r="A24" s="22">
        <v>24</v>
      </c>
      <c r="B24" s="23" t="s">
        <v>339</v>
      </c>
      <c r="C24" s="23" t="s">
        <v>338</v>
      </c>
      <c r="D24" s="24" t="s">
        <v>337</v>
      </c>
      <c r="E24" s="24">
        <v>0.53</v>
      </c>
      <c r="F24" s="24" t="s">
        <v>336</v>
      </c>
      <c r="G24" s="24">
        <v>15.9</v>
      </c>
      <c r="H24" s="24" t="s">
        <v>109</v>
      </c>
      <c r="I24" s="24" t="s">
        <v>83</v>
      </c>
      <c r="J24" s="25">
        <v>8809657114243</v>
      </c>
      <c r="K24" s="32">
        <v>30</v>
      </c>
    </row>
    <row r="25" spans="1:11" x14ac:dyDescent="0.3">
      <c r="A25" s="22">
        <v>25</v>
      </c>
      <c r="B25" s="23" t="s">
        <v>335</v>
      </c>
      <c r="C25" s="23" t="s">
        <v>334</v>
      </c>
      <c r="D25" s="24" t="s">
        <v>186</v>
      </c>
      <c r="E25" s="24">
        <v>0.19</v>
      </c>
      <c r="F25" s="24" t="s">
        <v>185</v>
      </c>
      <c r="G25" s="24">
        <v>4</v>
      </c>
      <c r="H25" s="24" t="s">
        <v>109</v>
      </c>
      <c r="I25" s="24" t="s">
        <v>83</v>
      </c>
      <c r="J25" s="25">
        <v>8809962540270</v>
      </c>
      <c r="K25" s="32">
        <v>20</v>
      </c>
    </row>
    <row r="26" spans="1:11" x14ac:dyDescent="0.3">
      <c r="A26" s="22">
        <v>26</v>
      </c>
      <c r="B26" s="23" t="s">
        <v>333</v>
      </c>
      <c r="C26" s="23" t="s">
        <v>332</v>
      </c>
      <c r="D26" s="24" t="s">
        <v>331</v>
      </c>
      <c r="E26" s="24">
        <v>0.26200000000000001</v>
      </c>
      <c r="F26" s="24" t="s">
        <v>330</v>
      </c>
      <c r="G26" s="24">
        <v>15.7</v>
      </c>
      <c r="H26" s="24" t="s">
        <v>329</v>
      </c>
      <c r="I26" s="24" t="s">
        <v>328</v>
      </c>
      <c r="J26" s="25">
        <v>8809962541253</v>
      </c>
      <c r="K26" s="32">
        <v>60</v>
      </c>
    </row>
    <row r="27" spans="1:11" x14ac:dyDescent="0.3">
      <c r="A27" s="22">
        <v>27</v>
      </c>
      <c r="B27" s="23" t="s">
        <v>434</v>
      </c>
      <c r="C27" s="23" t="s">
        <v>435</v>
      </c>
      <c r="D27" s="24" t="s">
        <v>359</v>
      </c>
      <c r="E27" s="24">
        <v>0.17199999999999999</v>
      </c>
      <c r="F27" s="24" t="s">
        <v>436</v>
      </c>
      <c r="G27" s="24">
        <v>5.2</v>
      </c>
      <c r="H27" s="24" t="s">
        <v>89</v>
      </c>
      <c r="I27" s="24" t="s">
        <v>83</v>
      </c>
      <c r="J27" s="25">
        <v>8809783325735</v>
      </c>
      <c r="K27" s="32">
        <v>30</v>
      </c>
    </row>
    <row r="28" spans="1:11" x14ac:dyDescent="0.3">
      <c r="A28" s="22">
        <v>28</v>
      </c>
      <c r="B28" s="23" t="s">
        <v>437</v>
      </c>
      <c r="C28" s="23" t="s">
        <v>438</v>
      </c>
      <c r="D28" s="24" t="s">
        <v>439</v>
      </c>
      <c r="E28" s="24">
        <v>0.28999999999999998</v>
      </c>
      <c r="F28" s="24" t="s">
        <v>440</v>
      </c>
      <c r="G28" s="24">
        <v>8.6999999999999993</v>
      </c>
      <c r="H28" s="24" t="s">
        <v>441</v>
      </c>
      <c r="I28" s="24" t="s">
        <v>83</v>
      </c>
      <c r="J28" s="25">
        <v>8809657118715</v>
      </c>
      <c r="K28" s="32">
        <v>30</v>
      </c>
    </row>
    <row r="29" spans="1:11" x14ac:dyDescent="0.3">
      <c r="A29" s="22">
        <v>29</v>
      </c>
      <c r="B29" s="23" t="s">
        <v>442</v>
      </c>
      <c r="C29" s="23" t="s">
        <v>443</v>
      </c>
      <c r="D29" s="24" t="s">
        <v>444</v>
      </c>
      <c r="E29" s="24"/>
      <c r="F29" s="24" t="s">
        <v>445</v>
      </c>
      <c r="G29" s="24">
        <v>0</v>
      </c>
      <c r="H29" s="24" t="s">
        <v>109</v>
      </c>
      <c r="I29" s="24" t="s">
        <v>83</v>
      </c>
      <c r="J29" s="25">
        <v>8809738609231</v>
      </c>
      <c r="K29" s="32">
        <v>30</v>
      </c>
    </row>
    <row r="30" spans="1:11" x14ac:dyDescent="0.3">
      <c r="A30" s="22">
        <v>30</v>
      </c>
      <c r="B30" s="23" t="s">
        <v>446</v>
      </c>
      <c r="C30" s="23" t="s">
        <v>443</v>
      </c>
      <c r="D30" s="24" t="s">
        <v>444</v>
      </c>
      <c r="E30" s="24"/>
      <c r="F30" s="24" t="s">
        <v>445</v>
      </c>
      <c r="G30" s="24">
        <v>0</v>
      </c>
      <c r="H30" s="24" t="s">
        <v>109</v>
      </c>
      <c r="I30" s="24" t="s">
        <v>83</v>
      </c>
      <c r="J30" s="25">
        <v>8809738609255</v>
      </c>
      <c r="K30" s="32">
        <v>30</v>
      </c>
    </row>
    <row r="31" spans="1:11" x14ac:dyDescent="0.3">
      <c r="A31" s="22">
        <v>31</v>
      </c>
      <c r="B31" s="23" t="s">
        <v>327</v>
      </c>
      <c r="C31" s="23" t="s">
        <v>326</v>
      </c>
      <c r="D31" s="24" t="s">
        <v>245</v>
      </c>
      <c r="E31" s="24">
        <v>0.38500000000000001</v>
      </c>
      <c r="F31" s="24" t="s">
        <v>244</v>
      </c>
      <c r="G31" s="24">
        <v>15.4</v>
      </c>
      <c r="H31" s="24" t="s">
        <v>109</v>
      </c>
      <c r="I31" s="24" t="s">
        <v>83</v>
      </c>
      <c r="J31" s="25">
        <v>8809738600214</v>
      </c>
      <c r="K31" s="32">
        <v>40</v>
      </c>
    </row>
    <row r="32" spans="1:11" x14ac:dyDescent="0.3">
      <c r="A32" s="22">
        <v>32</v>
      </c>
      <c r="B32" s="23" t="s">
        <v>325</v>
      </c>
      <c r="C32" s="23" t="s">
        <v>324</v>
      </c>
      <c r="D32" s="24" t="s">
        <v>241</v>
      </c>
      <c r="E32" s="24">
        <v>0.188</v>
      </c>
      <c r="F32" s="24" t="s">
        <v>240</v>
      </c>
      <c r="G32" s="24">
        <v>6.65</v>
      </c>
      <c r="H32" s="24" t="s">
        <v>109</v>
      </c>
      <c r="I32" s="24" t="s">
        <v>83</v>
      </c>
      <c r="J32" s="25">
        <v>8809738600221</v>
      </c>
      <c r="K32" s="32">
        <v>80</v>
      </c>
    </row>
    <row r="33" spans="1:11" x14ac:dyDescent="0.3">
      <c r="A33" s="22">
        <v>33</v>
      </c>
      <c r="B33" s="23" t="s">
        <v>323</v>
      </c>
      <c r="C33" s="23" t="s">
        <v>322</v>
      </c>
      <c r="D33" s="24" t="s">
        <v>194</v>
      </c>
      <c r="E33" s="24">
        <v>0.22</v>
      </c>
      <c r="F33" s="24" t="s">
        <v>193</v>
      </c>
      <c r="G33" s="24">
        <v>6.6</v>
      </c>
      <c r="H33" s="24" t="s">
        <v>109</v>
      </c>
      <c r="I33" s="24" t="s">
        <v>108</v>
      </c>
      <c r="J33" s="25">
        <v>8809738600238</v>
      </c>
      <c r="K33" s="32">
        <v>30</v>
      </c>
    </row>
    <row r="34" spans="1:11" x14ac:dyDescent="0.3">
      <c r="A34" s="22">
        <v>34</v>
      </c>
      <c r="B34" s="23" t="s">
        <v>321</v>
      </c>
      <c r="C34" s="23" t="s">
        <v>320</v>
      </c>
      <c r="D34" s="24" t="s">
        <v>91</v>
      </c>
      <c r="E34" s="24">
        <v>0.12</v>
      </c>
      <c r="F34" s="24" t="s">
        <v>319</v>
      </c>
      <c r="G34" s="24">
        <v>3.6</v>
      </c>
      <c r="H34" s="24" t="s">
        <v>109</v>
      </c>
      <c r="I34" s="24" t="s">
        <v>83</v>
      </c>
      <c r="J34" s="25">
        <v>8809738604762</v>
      </c>
      <c r="K34" s="32">
        <v>30</v>
      </c>
    </row>
    <row r="35" spans="1:11" x14ac:dyDescent="0.3">
      <c r="A35" s="22">
        <v>35</v>
      </c>
      <c r="B35" s="23" t="s">
        <v>318</v>
      </c>
      <c r="C35" s="23" t="s">
        <v>317</v>
      </c>
      <c r="D35" s="24" t="s">
        <v>251</v>
      </c>
      <c r="E35" s="24">
        <v>0.152</v>
      </c>
      <c r="F35" s="24" t="s">
        <v>250</v>
      </c>
      <c r="G35" s="24">
        <v>10.6</v>
      </c>
      <c r="H35" s="24" t="s">
        <v>130</v>
      </c>
      <c r="I35" s="24" t="s">
        <v>83</v>
      </c>
      <c r="J35" s="25">
        <v>8809782553009</v>
      </c>
      <c r="K35" s="32">
        <v>70</v>
      </c>
    </row>
    <row r="36" spans="1:11" x14ac:dyDescent="0.3">
      <c r="A36" s="22">
        <v>36</v>
      </c>
      <c r="B36" s="23" t="s">
        <v>316</v>
      </c>
      <c r="C36" s="23" t="s">
        <v>315</v>
      </c>
      <c r="D36" s="24" t="s">
        <v>314</v>
      </c>
      <c r="E36" s="24">
        <v>0.28499999999999998</v>
      </c>
      <c r="F36" s="24" t="s">
        <v>313</v>
      </c>
      <c r="G36" s="24">
        <v>11.4</v>
      </c>
      <c r="H36" s="24" t="s">
        <v>165</v>
      </c>
      <c r="I36" s="24" t="s">
        <v>125</v>
      </c>
      <c r="J36" s="25">
        <v>8809614958712</v>
      </c>
      <c r="K36" s="32">
        <v>40</v>
      </c>
    </row>
    <row r="37" spans="1:11" x14ac:dyDescent="0.3">
      <c r="A37" s="22">
        <v>37</v>
      </c>
      <c r="B37" s="23" t="s">
        <v>312</v>
      </c>
      <c r="C37" s="23" t="s">
        <v>311</v>
      </c>
      <c r="D37" s="24" t="s">
        <v>171</v>
      </c>
      <c r="E37" s="24">
        <v>7.6999999999999999E-2</v>
      </c>
      <c r="F37" s="24" t="s">
        <v>170</v>
      </c>
      <c r="G37" s="24">
        <v>4.5999999999999996</v>
      </c>
      <c r="H37" s="24" t="s">
        <v>130</v>
      </c>
      <c r="I37" s="24" t="s">
        <v>83</v>
      </c>
      <c r="J37" s="25">
        <v>8809782551814</v>
      </c>
      <c r="K37" s="32">
        <v>60</v>
      </c>
    </row>
    <row r="38" spans="1:11" x14ac:dyDescent="0.3">
      <c r="A38" s="22">
        <v>38</v>
      </c>
      <c r="B38" s="23" t="s">
        <v>310</v>
      </c>
      <c r="C38" s="23" t="s">
        <v>309</v>
      </c>
      <c r="D38" s="24" t="s">
        <v>167</v>
      </c>
      <c r="E38" s="24">
        <v>0.37</v>
      </c>
      <c r="F38" s="24" t="s">
        <v>166</v>
      </c>
      <c r="G38" s="24">
        <v>14.8</v>
      </c>
      <c r="H38" s="24" t="s">
        <v>109</v>
      </c>
      <c r="I38" s="24" t="s">
        <v>125</v>
      </c>
      <c r="J38" s="25">
        <v>8809624723157</v>
      </c>
      <c r="K38" s="32">
        <v>40</v>
      </c>
    </row>
    <row r="39" spans="1:11" x14ac:dyDescent="0.3">
      <c r="A39" s="22">
        <v>39</v>
      </c>
      <c r="B39" s="23" t="s">
        <v>308</v>
      </c>
      <c r="C39" s="23" t="s">
        <v>307</v>
      </c>
      <c r="D39" s="24" t="s">
        <v>306</v>
      </c>
      <c r="E39" s="24">
        <v>0.188</v>
      </c>
      <c r="F39" s="24" t="s">
        <v>256</v>
      </c>
      <c r="G39" s="24">
        <v>7</v>
      </c>
      <c r="H39" s="24" t="s">
        <v>305</v>
      </c>
      <c r="I39" s="24" t="s">
        <v>83</v>
      </c>
      <c r="J39" s="25">
        <v>8809638307701</v>
      </c>
      <c r="K39" s="32">
        <v>40</v>
      </c>
    </row>
    <row r="40" spans="1:11" x14ac:dyDescent="0.3">
      <c r="A40" s="22">
        <v>40</v>
      </c>
      <c r="B40" s="23" t="s">
        <v>304</v>
      </c>
      <c r="C40" s="23" t="s">
        <v>303</v>
      </c>
      <c r="D40" s="24" t="s">
        <v>171</v>
      </c>
      <c r="E40" s="24">
        <v>7.6999999999999999E-2</v>
      </c>
      <c r="F40" s="24" t="s">
        <v>170</v>
      </c>
      <c r="G40" s="24">
        <v>4.5999999999999996</v>
      </c>
      <c r="H40" s="24">
        <v>30</v>
      </c>
      <c r="I40" s="24" t="s">
        <v>83</v>
      </c>
      <c r="J40" s="25">
        <v>8809864769977</v>
      </c>
      <c r="K40" s="32">
        <v>60</v>
      </c>
    </row>
    <row r="41" spans="1:11" x14ac:dyDescent="0.3">
      <c r="A41" s="22">
        <v>41</v>
      </c>
      <c r="B41" s="23" t="s">
        <v>302</v>
      </c>
      <c r="C41" s="23" t="s">
        <v>301</v>
      </c>
      <c r="D41" s="24" t="s">
        <v>171</v>
      </c>
      <c r="E41" s="24">
        <v>7.6999999999999999E-2</v>
      </c>
      <c r="F41" s="24" t="s">
        <v>170</v>
      </c>
      <c r="G41" s="24">
        <v>4.5999999999999996</v>
      </c>
      <c r="H41" s="24" t="s">
        <v>130</v>
      </c>
      <c r="I41" s="24" t="s">
        <v>83</v>
      </c>
      <c r="J41" s="25">
        <v>8809782558523</v>
      </c>
      <c r="K41" s="32">
        <v>60</v>
      </c>
    </row>
    <row r="42" spans="1:11" x14ac:dyDescent="0.3">
      <c r="A42" s="22">
        <v>42</v>
      </c>
      <c r="B42" s="23" t="s">
        <v>300</v>
      </c>
      <c r="C42" s="23" t="s">
        <v>299</v>
      </c>
      <c r="D42" s="24" t="s">
        <v>298</v>
      </c>
      <c r="E42" s="24">
        <v>6.5000000000000002E-2</v>
      </c>
      <c r="F42" s="24" t="s">
        <v>297</v>
      </c>
      <c r="G42" s="24">
        <v>3.9</v>
      </c>
      <c r="H42" s="24" t="s">
        <v>130</v>
      </c>
      <c r="I42" s="24" t="s">
        <v>83</v>
      </c>
      <c r="J42" s="25">
        <v>8809875904459</v>
      </c>
      <c r="K42" s="32">
        <v>60</v>
      </c>
    </row>
    <row r="43" spans="1:11" x14ac:dyDescent="0.3">
      <c r="A43" s="22">
        <v>43</v>
      </c>
      <c r="B43" s="23" t="s">
        <v>296</v>
      </c>
      <c r="C43" s="23" t="s">
        <v>295</v>
      </c>
      <c r="D43" s="24" t="s">
        <v>294</v>
      </c>
      <c r="E43" s="24">
        <v>8.3000000000000004E-2</v>
      </c>
      <c r="F43" s="24" t="s">
        <v>293</v>
      </c>
      <c r="G43" s="24">
        <v>8.3000000000000007</v>
      </c>
      <c r="H43" s="24" t="s">
        <v>130</v>
      </c>
      <c r="I43" s="24" t="s">
        <v>83</v>
      </c>
      <c r="J43" s="25">
        <v>8809782556628</v>
      </c>
      <c r="K43" s="32">
        <v>100</v>
      </c>
    </row>
    <row r="44" spans="1:11" x14ac:dyDescent="0.3">
      <c r="A44" s="22">
        <v>44</v>
      </c>
      <c r="B44" s="23" t="s">
        <v>292</v>
      </c>
      <c r="C44" s="23" t="s">
        <v>291</v>
      </c>
      <c r="D44" s="24" t="s">
        <v>290</v>
      </c>
      <c r="E44" s="24">
        <v>0.11799999999999999</v>
      </c>
      <c r="F44" s="24" t="s">
        <v>227</v>
      </c>
      <c r="G44" s="24">
        <v>7.1</v>
      </c>
      <c r="H44" s="24" t="s">
        <v>109</v>
      </c>
      <c r="I44" s="24" t="s">
        <v>83</v>
      </c>
      <c r="J44" s="25">
        <v>8809864759480</v>
      </c>
      <c r="K44" s="32">
        <v>60</v>
      </c>
    </row>
    <row r="45" spans="1:11" x14ac:dyDescent="0.3">
      <c r="A45" s="22">
        <v>45</v>
      </c>
      <c r="B45" s="23" t="s">
        <v>289</v>
      </c>
      <c r="C45" s="23" t="s">
        <v>288</v>
      </c>
      <c r="D45" s="24" t="s">
        <v>287</v>
      </c>
      <c r="E45" s="24">
        <v>0.36099999999999999</v>
      </c>
      <c r="F45" s="24" t="s">
        <v>286</v>
      </c>
      <c r="G45" s="24">
        <v>14.4</v>
      </c>
      <c r="H45" s="24" t="s">
        <v>165</v>
      </c>
      <c r="I45" s="24" t="s">
        <v>125</v>
      </c>
      <c r="J45" s="25">
        <v>8809614958057</v>
      </c>
      <c r="K45" s="32">
        <v>40</v>
      </c>
    </row>
    <row r="46" spans="1:11" x14ac:dyDescent="0.3">
      <c r="A46" s="22">
        <v>46</v>
      </c>
      <c r="B46" s="23" t="s">
        <v>285</v>
      </c>
      <c r="C46" s="23" t="s">
        <v>284</v>
      </c>
      <c r="D46" s="24" t="s">
        <v>283</v>
      </c>
      <c r="E46" s="24">
        <v>4.2000000000000003E-2</v>
      </c>
      <c r="F46" s="24" t="s">
        <v>282</v>
      </c>
      <c r="G46" s="24">
        <v>3.8</v>
      </c>
      <c r="H46" s="24" t="s">
        <v>100</v>
      </c>
      <c r="I46" s="24" t="s">
        <v>83</v>
      </c>
      <c r="J46" s="25">
        <v>8809962540713</v>
      </c>
      <c r="K46" s="32">
        <v>80</v>
      </c>
    </row>
    <row r="47" spans="1:11" x14ac:dyDescent="0.3">
      <c r="A47" s="22">
        <v>47</v>
      </c>
      <c r="B47" s="23" t="s">
        <v>281</v>
      </c>
      <c r="C47" s="23" t="s">
        <v>280</v>
      </c>
      <c r="D47" s="24" t="s">
        <v>186</v>
      </c>
      <c r="E47" s="24">
        <v>0.19</v>
      </c>
      <c r="F47" s="24" t="s">
        <v>185</v>
      </c>
      <c r="G47" s="24">
        <v>4</v>
      </c>
      <c r="H47" s="24" t="s">
        <v>109</v>
      </c>
      <c r="I47" s="24" t="s">
        <v>83</v>
      </c>
      <c r="J47" s="25">
        <v>8809962540287</v>
      </c>
      <c r="K47" s="32">
        <v>20</v>
      </c>
    </row>
    <row r="48" spans="1:11" x14ac:dyDescent="0.3">
      <c r="A48" s="22">
        <v>48</v>
      </c>
      <c r="B48" s="23" t="s">
        <v>279</v>
      </c>
      <c r="C48" s="23" t="s">
        <v>278</v>
      </c>
      <c r="D48" s="24" t="s">
        <v>277</v>
      </c>
      <c r="E48" s="24">
        <v>4.2000000000000003E-2</v>
      </c>
      <c r="F48" s="24" t="s">
        <v>276</v>
      </c>
      <c r="G48" s="24">
        <v>3.5</v>
      </c>
      <c r="H48" s="24" t="s">
        <v>130</v>
      </c>
      <c r="I48" s="23"/>
      <c r="J48" s="25">
        <v>8809962542489</v>
      </c>
      <c r="K48" s="32">
        <v>100</v>
      </c>
    </row>
    <row r="49" spans="1:11" x14ac:dyDescent="0.3">
      <c r="A49" s="22">
        <v>49</v>
      </c>
      <c r="B49" s="23" t="s">
        <v>275</v>
      </c>
      <c r="C49" s="23" t="s">
        <v>274</v>
      </c>
      <c r="D49" s="24" t="s">
        <v>273</v>
      </c>
      <c r="E49" s="24">
        <v>6.6000000000000003E-2</v>
      </c>
      <c r="F49" s="24" t="s">
        <v>272</v>
      </c>
      <c r="G49" s="24">
        <v>4</v>
      </c>
      <c r="H49" s="24" t="s">
        <v>130</v>
      </c>
      <c r="I49" s="23"/>
      <c r="J49" s="25">
        <v>8809962542496</v>
      </c>
      <c r="K49" s="32">
        <v>50</v>
      </c>
    </row>
    <row r="50" spans="1:11" x14ac:dyDescent="0.3">
      <c r="A50" s="22">
        <v>50</v>
      </c>
      <c r="B50" s="23" t="s">
        <v>271</v>
      </c>
      <c r="C50" s="23" t="s">
        <v>270</v>
      </c>
      <c r="D50" s="24" t="s">
        <v>269</v>
      </c>
      <c r="E50" s="24">
        <v>0.71299999999999997</v>
      </c>
      <c r="F50" s="24" t="s">
        <v>268</v>
      </c>
      <c r="G50" s="24">
        <v>21.4</v>
      </c>
      <c r="H50" s="24" t="s">
        <v>103</v>
      </c>
      <c r="I50" s="24" t="s">
        <v>83</v>
      </c>
      <c r="J50" s="25">
        <v>8809743543810</v>
      </c>
      <c r="K50" s="32">
        <v>30</v>
      </c>
    </row>
    <row r="51" spans="1:11" x14ac:dyDescent="0.3">
      <c r="A51" s="22">
        <v>51</v>
      </c>
      <c r="B51" s="23" t="s">
        <v>447</v>
      </c>
      <c r="C51" s="23" t="s">
        <v>448</v>
      </c>
      <c r="D51" s="24" t="s">
        <v>449</v>
      </c>
      <c r="E51" s="24">
        <v>0.184</v>
      </c>
      <c r="F51" s="24" t="s">
        <v>450</v>
      </c>
      <c r="G51" s="24">
        <v>0</v>
      </c>
      <c r="H51" s="24" t="s">
        <v>130</v>
      </c>
      <c r="I51" s="24" t="s">
        <v>83</v>
      </c>
      <c r="J51" s="25">
        <v>8809962543127</v>
      </c>
      <c r="K51" s="32">
        <v>60</v>
      </c>
    </row>
    <row r="52" spans="1:11" x14ac:dyDescent="0.3">
      <c r="A52" s="22">
        <v>52</v>
      </c>
      <c r="B52" s="23" t="s">
        <v>451</v>
      </c>
      <c r="C52" s="23" t="s">
        <v>452</v>
      </c>
      <c r="D52" s="24" t="s">
        <v>215</v>
      </c>
      <c r="E52" s="24">
        <v>0.24</v>
      </c>
      <c r="F52" s="24" t="s">
        <v>234</v>
      </c>
      <c r="G52" s="24"/>
      <c r="H52" s="24" t="s">
        <v>130</v>
      </c>
      <c r="I52" s="24"/>
      <c r="J52" s="25">
        <v>8809962542885</v>
      </c>
      <c r="K52" s="32">
        <v>40</v>
      </c>
    </row>
    <row r="53" spans="1:11" x14ac:dyDescent="0.3">
      <c r="A53" s="22">
        <v>53</v>
      </c>
      <c r="B53" s="23" t="s">
        <v>453</v>
      </c>
      <c r="C53" s="23" t="s">
        <v>454</v>
      </c>
      <c r="D53" s="24" t="s">
        <v>455</v>
      </c>
      <c r="E53" s="24">
        <v>0.34</v>
      </c>
      <c r="F53" s="24" t="s">
        <v>456</v>
      </c>
      <c r="G53" s="24"/>
      <c r="H53" s="24" t="s">
        <v>100</v>
      </c>
      <c r="I53" s="24" t="s">
        <v>125</v>
      </c>
      <c r="J53" s="25">
        <v>8809962542397</v>
      </c>
      <c r="K53" s="32">
        <v>30</v>
      </c>
    </row>
    <row r="54" spans="1:11" x14ac:dyDescent="0.3">
      <c r="A54" s="22">
        <v>54</v>
      </c>
      <c r="B54" s="23" t="s">
        <v>457</v>
      </c>
      <c r="C54" s="23" t="s">
        <v>458</v>
      </c>
      <c r="D54" s="24" t="s">
        <v>459</v>
      </c>
      <c r="E54" s="24">
        <v>4.2999999999999997E-2</v>
      </c>
      <c r="F54" s="24" t="s">
        <v>460</v>
      </c>
      <c r="G54" s="24">
        <v>3.2</v>
      </c>
      <c r="H54" s="24" t="s">
        <v>130</v>
      </c>
      <c r="I54" s="24"/>
      <c r="J54" s="25">
        <v>8809962542441</v>
      </c>
      <c r="K54" s="32">
        <v>80</v>
      </c>
    </row>
    <row r="55" spans="1:11" x14ac:dyDescent="0.3">
      <c r="A55" s="22">
        <v>55</v>
      </c>
      <c r="B55" s="23" t="s">
        <v>267</v>
      </c>
      <c r="C55" s="23" t="s">
        <v>266</v>
      </c>
      <c r="D55" s="24" t="s">
        <v>245</v>
      </c>
      <c r="E55" s="24">
        <v>0.38500000000000001</v>
      </c>
      <c r="F55" s="24" t="s">
        <v>244</v>
      </c>
      <c r="G55" s="24">
        <v>15.4</v>
      </c>
      <c r="H55" s="24" t="s">
        <v>109</v>
      </c>
      <c r="I55" s="24" t="s">
        <v>83</v>
      </c>
      <c r="J55" s="25">
        <v>8809738605714</v>
      </c>
      <c r="K55" s="32">
        <v>40</v>
      </c>
    </row>
    <row r="56" spans="1:11" x14ac:dyDescent="0.3">
      <c r="A56" s="22">
        <v>56</v>
      </c>
      <c r="B56" s="23" t="s">
        <v>265</v>
      </c>
      <c r="C56" s="23" t="s">
        <v>264</v>
      </c>
      <c r="D56" s="24" t="s">
        <v>241</v>
      </c>
      <c r="E56" s="24">
        <v>0.188</v>
      </c>
      <c r="F56" s="24" t="s">
        <v>240</v>
      </c>
      <c r="G56" s="24">
        <v>15</v>
      </c>
      <c r="H56" s="24" t="s">
        <v>109</v>
      </c>
      <c r="I56" s="24" t="s">
        <v>83</v>
      </c>
      <c r="J56" s="25">
        <v>8809738605721</v>
      </c>
      <c r="K56" s="32">
        <v>80</v>
      </c>
    </row>
    <row r="57" spans="1:11" x14ac:dyDescent="0.3">
      <c r="A57" s="22">
        <v>57</v>
      </c>
      <c r="B57" s="23" t="s">
        <v>263</v>
      </c>
      <c r="C57" s="23" t="s">
        <v>262</v>
      </c>
      <c r="D57" s="24" t="s">
        <v>194</v>
      </c>
      <c r="E57" s="24">
        <v>0.22</v>
      </c>
      <c r="F57" s="24" t="s">
        <v>193</v>
      </c>
      <c r="G57" s="24">
        <v>6.6</v>
      </c>
      <c r="H57" s="24" t="s">
        <v>109</v>
      </c>
      <c r="I57" s="24" t="s">
        <v>108</v>
      </c>
      <c r="J57" s="25">
        <v>8809738593080</v>
      </c>
      <c r="K57" s="32">
        <v>30</v>
      </c>
    </row>
    <row r="58" spans="1:11" x14ac:dyDescent="0.3">
      <c r="A58" s="22">
        <v>58</v>
      </c>
      <c r="B58" s="23" t="s">
        <v>261</v>
      </c>
      <c r="C58" s="23" t="s">
        <v>260</v>
      </c>
      <c r="D58" s="24" t="s">
        <v>251</v>
      </c>
      <c r="E58" s="24">
        <v>0.152</v>
      </c>
      <c r="F58" s="24" t="s">
        <v>250</v>
      </c>
      <c r="G58" s="24">
        <v>10.6</v>
      </c>
      <c r="H58" s="24" t="s">
        <v>109</v>
      </c>
      <c r="I58" s="24" t="s">
        <v>83</v>
      </c>
      <c r="J58" s="25">
        <v>8809738593103</v>
      </c>
      <c r="K58" s="32">
        <v>70</v>
      </c>
    </row>
    <row r="59" spans="1:11" x14ac:dyDescent="0.3">
      <c r="A59" s="22">
        <v>59</v>
      </c>
      <c r="B59" s="23" t="s">
        <v>259</v>
      </c>
      <c r="C59" s="23" t="s">
        <v>258</v>
      </c>
      <c r="D59" s="24" t="s">
        <v>257</v>
      </c>
      <c r="E59" s="24">
        <v>0.188</v>
      </c>
      <c r="F59" s="24" t="s">
        <v>256</v>
      </c>
      <c r="G59" s="24">
        <v>7</v>
      </c>
      <c r="H59" s="24" t="s">
        <v>100</v>
      </c>
      <c r="I59" s="24" t="s">
        <v>83</v>
      </c>
      <c r="J59" s="25">
        <v>8809743544176</v>
      </c>
      <c r="K59" s="32">
        <v>40</v>
      </c>
    </row>
    <row r="60" spans="1:11" x14ac:dyDescent="0.3">
      <c r="A60" s="22">
        <v>60</v>
      </c>
      <c r="B60" s="23" t="s">
        <v>255</v>
      </c>
      <c r="C60" s="23" t="s">
        <v>254</v>
      </c>
      <c r="D60" s="24" t="s">
        <v>167</v>
      </c>
      <c r="E60" s="24">
        <v>0.37</v>
      </c>
      <c r="F60" s="24" t="s">
        <v>166</v>
      </c>
      <c r="G60" s="24">
        <v>14.8</v>
      </c>
      <c r="H60" s="24" t="s">
        <v>109</v>
      </c>
      <c r="I60" s="24" t="s">
        <v>125</v>
      </c>
      <c r="J60" s="25">
        <v>8809624723140</v>
      </c>
      <c r="K60" s="32">
        <v>40</v>
      </c>
    </row>
    <row r="61" spans="1:11" x14ac:dyDescent="0.3">
      <c r="A61" s="22">
        <v>61</v>
      </c>
      <c r="B61" s="23" t="s">
        <v>253</v>
      </c>
      <c r="C61" s="23" t="s">
        <v>252</v>
      </c>
      <c r="D61" s="24" t="s">
        <v>251</v>
      </c>
      <c r="E61" s="24">
        <v>0.152</v>
      </c>
      <c r="F61" s="24" t="s">
        <v>250</v>
      </c>
      <c r="G61" s="24">
        <v>10.6</v>
      </c>
      <c r="H61" s="24" t="s">
        <v>109</v>
      </c>
      <c r="I61" s="24" t="s">
        <v>83</v>
      </c>
      <c r="J61" s="25">
        <v>8809738593240</v>
      </c>
      <c r="K61" s="32">
        <v>70</v>
      </c>
    </row>
    <row r="62" spans="1:11" x14ac:dyDescent="0.3">
      <c r="A62" s="22">
        <v>62</v>
      </c>
      <c r="B62" s="23" t="s">
        <v>249</v>
      </c>
      <c r="C62" s="23" t="s">
        <v>248</v>
      </c>
      <c r="D62" s="24" t="s">
        <v>167</v>
      </c>
      <c r="E62" s="24">
        <v>0.37</v>
      </c>
      <c r="F62" s="24" t="s">
        <v>166</v>
      </c>
      <c r="G62" s="24">
        <v>14.8</v>
      </c>
      <c r="H62" s="24" t="s">
        <v>109</v>
      </c>
      <c r="I62" s="24" t="s">
        <v>125</v>
      </c>
      <c r="J62" s="25">
        <v>8809624723133</v>
      </c>
      <c r="K62" s="32">
        <v>40</v>
      </c>
    </row>
    <row r="63" spans="1:11" x14ac:dyDescent="0.3">
      <c r="A63" s="22">
        <v>63</v>
      </c>
      <c r="B63" s="23" t="s">
        <v>247</v>
      </c>
      <c r="C63" s="23" t="s">
        <v>246</v>
      </c>
      <c r="D63" s="24" t="s">
        <v>245</v>
      </c>
      <c r="E63" s="24">
        <v>0.38500000000000001</v>
      </c>
      <c r="F63" s="24" t="s">
        <v>244</v>
      </c>
      <c r="G63" s="24">
        <v>15.4</v>
      </c>
      <c r="H63" s="24" t="s">
        <v>109</v>
      </c>
      <c r="I63" s="24" t="s">
        <v>83</v>
      </c>
      <c r="J63" s="25">
        <v>8809624726370</v>
      </c>
      <c r="K63" s="32">
        <v>40</v>
      </c>
    </row>
    <row r="64" spans="1:11" x14ac:dyDescent="0.3">
      <c r="A64" s="22">
        <v>64</v>
      </c>
      <c r="B64" s="23" t="s">
        <v>243</v>
      </c>
      <c r="C64" s="23" t="s">
        <v>242</v>
      </c>
      <c r="D64" s="24" t="s">
        <v>241</v>
      </c>
      <c r="E64" s="24">
        <v>0.188</v>
      </c>
      <c r="F64" s="24" t="s">
        <v>240</v>
      </c>
      <c r="G64" s="24">
        <v>15</v>
      </c>
      <c r="H64" s="24" t="s">
        <v>109</v>
      </c>
      <c r="I64" s="24" t="s">
        <v>83</v>
      </c>
      <c r="J64" s="25">
        <v>8809624726417</v>
      </c>
      <c r="K64" s="32">
        <v>80</v>
      </c>
    </row>
    <row r="65" spans="1:11" x14ac:dyDescent="0.3">
      <c r="A65" s="22">
        <v>65</v>
      </c>
      <c r="B65" s="23" t="s">
        <v>239</v>
      </c>
      <c r="C65" s="23" t="s">
        <v>238</v>
      </c>
      <c r="D65" s="24" t="s">
        <v>194</v>
      </c>
      <c r="E65" s="24">
        <v>0.22</v>
      </c>
      <c r="F65" s="24" t="s">
        <v>237</v>
      </c>
      <c r="G65" s="24">
        <v>11</v>
      </c>
      <c r="H65" s="24" t="s">
        <v>89</v>
      </c>
      <c r="I65" s="24" t="s">
        <v>108</v>
      </c>
      <c r="J65" s="25">
        <v>8809783322369</v>
      </c>
      <c r="K65" s="32">
        <v>50</v>
      </c>
    </row>
    <row r="66" spans="1:11" x14ac:dyDescent="0.3">
      <c r="A66" s="22">
        <v>66</v>
      </c>
      <c r="B66" s="23" t="s">
        <v>236</v>
      </c>
      <c r="C66" s="23" t="s">
        <v>235</v>
      </c>
      <c r="D66" s="24" t="s">
        <v>215</v>
      </c>
      <c r="E66" s="24">
        <v>0.252</v>
      </c>
      <c r="F66" s="24" t="s">
        <v>234</v>
      </c>
      <c r="G66" s="24">
        <v>17.600000000000001</v>
      </c>
      <c r="H66" s="24" t="s">
        <v>89</v>
      </c>
      <c r="I66" s="24" t="s">
        <v>83</v>
      </c>
      <c r="J66" s="25">
        <v>8809783322130</v>
      </c>
      <c r="K66" s="32">
        <v>70</v>
      </c>
    </row>
    <row r="67" spans="1:11" x14ac:dyDescent="0.3">
      <c r="A67" s="22">
        <v>67</v>
      </c>
      <c r="B67" s="23" t="s">
        <v>233</v>
      </c>
      <c r="C67" s="23" t="s">
        <v>232</v>
      </c>
      <c r="D67" s="24" t="s">
        <v>231</v>
      </c>
      <c r="E67" s="24">
        <v>0.31</v>
      </c>
      <c r="F67" s="24" t="s">
        <v>197</v>
      </c>
      <c r="G67" s="24">
        <v>9.3000000000000007</v>
      </c>
      <c r="H67" s="24" t="s">
        <v>130</v>
      </c>
      <c r="I67" s="24" t="s">
        <v>83</v>
      </c>
      <c r="J67" s="25">
        <v>8809962541024</v>
      </c>
      <c r="K67" s="32">
        <v>30</v>
      </c>
    </row>
    <row r="68" spans="1:11" x14ac:dyDescent="0.3">
      <c r="A68" s="22">
        <v>68</v>
      </c>
      <c r="B68" s="23" t="s">
        <v>230</v>
      </c>
      <c r="C68" s="23" t="s">
        <v>229</v>
      </c>
      <c r="D68" s="24" t="s">
        <v>228</v>
      </c>
      <c r="E68" s="24">
        <v>0.11700000000000001</v>
      </c>
      <c r="F68" s="24" t="s">
        <v>227</v>
      </c>
      <c r="G68" s="24">
        <v>7</v>
      </c>
      <c r="H68" s="24" t="s">
        <v>130</v>
      </c>
      <c r="I68" s="24" t="s">
        <v>83</v>
      </c>
      <c r="J68" s="25">
        <v>8809875908075</v>
      </c>
      <c r="K68" s="32">
        <v>60</v>
      </c>
    </row>
    <row r="69" spans="1:11" x14ac:dyDescent="0.3">
      <c r="A69" s="22">
        <v>69</v>
      </c>
      <c r="B69" s="23" t="s">
        <v>226</v>
      </c>
      <c r="C69" s="23" t="s">
        <v>225</v>
      </c>
      <c r="D69" s="24" t="s">
        <v>224</v>
      </c>
      <c r="E69" s="24">
        <v>0.10299999999999999</v>
      </c>
      <c r="F69" s="24" t="s">
        <v>223</v>
      </c>
      <c r="G69" s="24">
        <v>6.2</v>
      </c>
      <c r="H69" s="24" t="s">
        <v>130</v>
      </c>
      <c r="I69" s="24" t="s">
        <v>83</v>
      </c>
      <c r="J69" s="25">
        <v>8809875907337</v>
      </c>
      <c r="K69" s="32">
        <v>60</v>
      </c>
    </row>
    <row r="70" spans="1:11" x14ac:dyDescent="0.3">
      <c r="A70" s="22">
        <v>70</v>
      </c>
      <c r="B70" s="23" t="s">
        <v>222</v>
      </c>
      <c r="C70" s="23" t="s">
        <v>221</v>
      </c>
      <c r="D70" s="24" t="s">
        <v>220</v>
      </c>
      <c r="E70" s="24">
        <v>0.37</v>
      </c>
      <c r="F70" s="24" t="s">
        <v>166</v>
      </c>
      <c r="G70" s="24">
        <v>14.8</v>
      </c>
      <c r="H70" s="24" t="s">
        <v>165</v>
      </c>
      <c r="I70" s="24" t="s">
        <v>125</v>
      </c>
      <c r="J70" s="25">
        <v>8809849803634</v>
      </c>
      <c r="K70" s="32">
        <v>40</v>
      </c>
    </row>
    <row r="71" spans="1:11" x14ac:dyDescent="0.3">
      <c r="A71" s="22">
        <v>71</v>
      </c>
      <c r="B71" s="23" t="s">
        <v>219</v>
      </c>
      <c r="C71" s="23" t="s">
        <v>218</v>
      </c>
      <c r="D71" s="24" t="s">
        <v>194</v>
      </c>
      <c r="E71" s="24">
        <v>0.22</v>
      </c>
      <c r="F71" s="24" t="s">
        <v>193</v>
      </c>
      <c r="G71" s="24">
        <v>11</v>
      </c>
      <c r="H71" s="24" t="s">
        <v>109</v>
      </c>
      <c r="I71" s="24" t="s">
        <v>108</v>
      </c>
      <c r="J71" s="25">
        <v>8809962541963</v>
      </c>
      <c r="K71" s="32">
        <v>30</v>
      </c>
    </row>
    <row r="72" spans="1:11" x14ac:dyDescent="0.3">
      <c r="A72" s="22">
        <v>72</v>
      </c>
      <c r="B72" s="23" t="s">
        <v>217</v>
      </c>
      <c r="C72" s="23" t="s">
        <v>216</v>
      </c>
      <c r="D72" s="24" t="s">
        <v>215</v>
      </c>
      <c r="E72" s="24">
        <v>0.252</v>
      </c>
      <c r="F72" s="24" t="s">
        <v>214</v>
      </c>
      <c r="G72" s="24">
        <v>17.600000000000001</v>
      </c>
      <c r="H72" s="24" t="s">
        <v>109</v>
      </c>
      <c r="I72" s="24" t="s">
        <v>83</v>
      </c>
      <c r="J72" s="25">
        <v>8809962541970</v>
      </c>
      <c r="K72" s="32">
        <v>40</v>
      </c>
    </row>
    <row r="73" spans="1:11" x14ac:dyDescent="0.3">
      <c r="A73" s="22">
        <v>73</v>
      </c>
      <c r="B73" s="23" t="s">
        <v>461</v>
      </c>
      <c r="C73" s="23" t="s">
        <v>462</v>
      </c>
      <c r="D73" s="24" t="s">
        <v>463</v>
      </c>
      <c r="E73" s="24">
        <v>0.111</v>
      </c>
      <c r="F73" s="24" t="s">
        <v>464</v>
      </c>
      <c r="G73" s="24"/>
      <c r="H73" s="24" t="s">
        <v>109</v>
      </c>
      <c r="I73" s="24" t="s">
        <v>83</v>
      </c>
      <c r="J73" s="25">
        <v>8809962543622</v>
      </c>
      <c r="K73" s="32"/>
    </row>
    <row r="74" spans="1:11" x14ac:dyDescent="0.3">
      <c r="A74" s="22">
        <v>74</v>
      </c>
      <c r="B74" s="23" t="s">
        <v>213</v>
      </c>
      <c r="C74" s="23" t="s">
        <v>212</v>
      </c>
      <c r="D74" s="24" t="s">
        <v>171</v>
      </c>
      <c r="E74" s="24">
        <v>6.8000000000000005E-2</v>
      </c>
      <c r="F74" s="24" t="s">
        <v>170</v>
      </c>
      <c r="G74" s="24">
        <v>4.0999999999999996</v>
      </c>
      <c r="H74" s="24" t="s">
        <v>89</v>
      </c>
      <c r="I74" s="24" t="s">
        <v>83</v>
      </c>
      <c r="J74" s="25">
        <v>8809783325674</v>
      </c>
      <c r="K74" s="32">
        <v>60</v>
      </c>
    </row>
    <row r="75" spans="1:11" x14ac:dyDescent="0.3">
      <c r="A75" s="22">
        <v>75</v>
      </c>
      <c r="B75" s="23" t="s">
        <v>211</v>
      </c>
      <c r="C75" s="23" t="s">
        <v>210</v>
      </c>
      <c r="D75" s="24" t="s">
        <v>122</v>
      </c>
      <c r="E75" s="24">
        <v>8.5999999999999993E-2</v>
      </c>
      <c r="F75" s="24" t="s">
        <v>121</v>
      </c>
      <c r="G75" s="24">
        <v>5.2</v>
      </c>
      <c r="H75" s="24" t="s">
        <v>89</v>
      </c>
      <c r="I75" s="24" t="s">
        <v>83</v>
      </c>
      <c r="J75" s="25">
        <v>8809783325667</v>
      </c>
      <c r="K75" s="32">
        <v>60</v>
      </c>
    </row>
    <row r="76" spans="1:11" x14ac:dyDescent="0.3">
      <c r="A76" s="22">
        <v>76</v>
      </c>
      <c r="B76" s="23" t="s">
        <v>209</v>
      </c>
      <c r="C76" s="23" t="s">
        <v>208</v>
      </c>
      <c r="D76" s="24" t="s">
        <v>207</v>
      </c>
      <c r="E76" s="24">
        <v>0.32300000000000001</v>
      </c>
      <c r="F76" s="24" t="s">
        <v>206</v>
      </c>
      <c r="G76" s="24">
        <v>9.6999999999999993</v>
      </c>
      <c r="H76" s="24" t="s">
        <v>205</v>
      </c>
      <c r="I76" s="24" t="s">
        <v>125</v>
      </c>
      <c r="J76" s="25">
        <v>8809750462708</v>
      </c>
      <c r="K76" s="32">
        <v>30</v>
      </c>
    </row>
    <row r="77" spans="1:11" x14ac:dyDescent="0.3">
      <c r="A77" s="22">
        <v>77</v>
      </c>
      <c r="B77" s="23" t="s">
        <v>204</v>
      </c>
      <c r="C77" s="23" t="s">
        <v>203</v>
      </c>
      <c r="D77" s="24" t="s">
        <v>167</v>
      </c>
      <c r="E77" s="24">
        <v>0.37</v>
      </c>
      <c r="F77" s="24" t="s">
        <v>166</v>
      </c>
      <c r="G77" s="24">
        <v>14.8</v>
      </c>
      <c r="H77" s="24" t="s">
        <v>89</v>
      </c>
      <c r="I77" s="24" t="s">
        <v>125</v>
      </c>
      <c r="J77" s="25">
        <v>8809783325728</v>
      </c>
      <c r="K77" s="32">
        <v>40</v>
      </c>
    </row>
    <row r="78" spans="1:11" x14ac:dyDescent="0.3">
      <c r="A78" s="22">
        <v>78</v>
      </c>
      <c r="B78" s="23" t="s">
        <v>202</v>
      </c>
      <c r="C78" s="23" t="s">
        <v>201</v>
      </c>
      <c r="D78" s="24" t="s">
        <v>198</v>
      </c>
      <c r="E78" s="24">
        <v>0.309</v>
      </c>
      <c r="F78" s="24" t="s">
        <v>197</v>
      </c>
      <c r="G78" s="24">
        <v>9.3000000000000007</v>
      </c>
      <c r="H78" s="24" t="s">
        <v>89</v>
      </c>
      <c r="I78" s="24" t="s">
        <v>83</v>
      </c>
      <c r="J78" s="25">
        <v>8809783326718</v>
      </c>
      <c r="K78" s="32">
        <v>30</v>
      </c>
    </row>
    <row r="79" spans="1:11" x14ac:dyDescent="0.3">
      <c r="A79" s="22">
        <v>79</v>
      </c>
      <c r="B79" s="23" t="s">
        <v>200</v>
      </c>
      <c r="C79" s="23" t="s">
        <v>199</v>
      </c>
      <c r="D79" s="24" t="s">
        <v>198</v>
      </c>
      <c r="E79" s="24">
        <v>0.308</v>
      </c>
      <c r="F79" s="24" t="s">
        <v>197</v>
      </c>
      <c r="G79" s="24">
        <v>9.1999999999999993</v>
      </c>
      <c r="H79" s="24" t="s">
        <v>89</v>
      </c>
      <c r="I79" s="24" t="s">
        <v>83</v>
      </c>
      <c r="J79" s="25">
        <v>8809783326725</v>
      </c>
      <c r="K79" s="32">
        <v>30</v>
      </c>
    </row>
    <row r="80" spans="1:11" x14ac:dyDescent="0.3">
      <c r="A80" s="22">
        <v>80</v>
      </c>
      <c r="B80" s="23" t="s">
        <v>196</v>
      </c>
      <c r="C80" s="23" t="s">
        <v>195</v>
      </c>
      <c r="D80" s="24" t="s">
        <v>194</v>
      </c>
      <c r="E80" s="24">
        <v>0.192</v>
      </c>
      <c r="F80" s="24" t="s">
        <v>193</v>
      </c>
      <c r="G80" s="24">
        <v>5.8</v>
      </c>
      <c r="H80" s="24" t="s">
        <v>109</v>
      </c>
      <c r="I80" s="24" t="s">
        <v>108</v>
      </c>
      <c r="J80" s="25">
        <v>8809864754126</v>
      </c>
      <c r="K80" s="32">
        <v>30</v>
      </c>
    </row>
    <row r="81" spans="1:11" x14ac:dyDescent="0.3">
      <c r="A81" s="22">
        <v>81</v>
      </c>
      <c r="B81" s="23" t="s">
        <v>192</v>
      </c>
      <c r="C81" s="23" t="s">
        <v>191</v>
      </c>
      <c r="D81" s="24" t="s">
        <v>190</v>
      </c>
      <c r="E81" s="24">
        <v>0.47299999999999998</v>
      </c>
      <c r="F81" s="24" t="s">
        <v>189</v>
      </c>
      <c r="G81" s="24">
        <v>18.899999999999999</v>
      </c>
      <c r="H81" s="24" t="s">
        <v>165</v>
      </c>
      <c r="I81" s="24" t="s">
        <v>108</v>
      </c>
      <c r="J81" s="25">
        <v>8809849802408</v>
      </c>
      <c r="K81" s="32">
        <v>40</v>
      </c>
    </row>
    <row r="82" spans="1:11" x14ac:dyDescent="0.3">
      <c r="A82" s="22">
        <v>82</v>
      </c>
      <c r="B82" s="23" t="s">
        <v>188</v>
      </c>
      <c r="C82" s="23" t="s">
        <v>187</v>
      </c>
      <c r="D82" s="24" t="s">
        <v>186</v>
      </c>
      <c r="E82" s="24">
        <v>0.193</v>
      </c>
      <c r="F82" s="24" t="s">
        <v>185</v>
      </c>
      <c r="G82" s="24">
        <v>4</v>
      </c>
      <c r="H82" s="24" t="s">
        <v>89</v>
      </c>
      <c r="I82" s="24" t="s">
        <v>83</v>
      </c>
      <c r="J82" s="25">
        <v>8809962540294</v>
      </c>
      <c r="K82" s="32">
        <v>20</v>
      </c>
    </row>
    <row r="83" spans="1:11" x14ac:dyDescent="0.3">
      <c r="A83" s="22">
        <v>83</v>
      </c>
      <c r="B83" s="23" t="s">
        <v>184</v>
      </c>
      <c r="C83" s="23" t="s">
        <v>183</v>
      </c>
      <c r="D83" s="24" t="s">
        <v>182</v>
      </c>
      <c r="E83" s="24">
        <v>0.1</v>
      </c>
      <c r="F83" s="24" t="s">
        <v>181</v>
      </c>
      <c r="G83" s="24">
        <v>6</v>
      </c>
      <c r="H83" s="24" t="s">
        <v>165</v>
      </c>
      <c r="I83" s="24" t="s">
        <v>83</v>
      </c>
      <c r="J83" s="25">
        <v>8809962542137</v>
      </c>
      <c r="K83" s="32">
        <v>60</v>
      </c>
    </row>
    <row r="84" spans="1:11" x14ac:dyDescent="0.3">
      <c r="A84" s="22">
        <v>84</v>
      </c>
      <c r="B84" s="23" t="s">
        <v>180</v>
      </c>
      <c r="C84" s="23" t="s">
        <v>179</v>
      </c>
      <c r="D84" s="24" t="s">
        <v>178</v>
      </c>
      <c r="E84" s="24">
        <v>6.3E-2</v>
      </c>
      <c r="F84" s="24" t="s">
        <v>177</v>
      </c>
      <c r="G84" s="24">
        <v>3.5</v>
      </c>
      <c r="H84" s="24" t="s">
        <v>130</v>
      </c>
      <c r="I84" s="24" t="s">
        <v>83</v>
      </c>
      <c r="J84" s="25">
        <v>8809962542403</v>
      </c>
      <c r="K84" s="32">
        <v>50</v>
      </c>
    </row>
    <row r="85" spans="1:11" x14ac:dyDescent="0.3">
      <c r="A85" s="22">
        <v>85</v>
      </c>
      <c r="B85" s="23" t="s">
        <v>465</v>
      </c>
      <c r="C85" s="23" t="s">
        <v>466</v>
      </c>
      <c r="D85" s="24" t="s">
        <v>467</v>
      </c>
      <c r="E85" s="24">
        <v>6.4000000000000001E-2</v>
      </c>
      <c r="F85" s="24" t="s">
        <v>468</v>
      </c>
      <c r="G85" s="24"/>
      <c r="H85" s="24" t="s">
        <v>469</v>
      </c>
      <c r="I85" s="24" t="s">
        <v>83</v>
      </c>
      <c r="J85" s="25">
        <v>8809962541475</v>
      </c>
      <c r="K85" s="32">
        <v>80</v>
      </c>
    </row>
    <row r="86" spans="1:11" x14ac:dyDescent="0.3">
      <c r="A86" s="22">
        <v>86</v>
      </c>
      <c r="B86" s="23" t="s">
        <v>470</v>
      </c>
      <c r="C86" s="23" t="s">
        <v>471</v>
      </c>
      <c r="D86" s="24" t="s">
        <v>472</v>
      </c>
      <c r="E86" s="24">
        <v>0.498</v>
      </c>
      <c r="F86" s="24" t="s">
        <v>473</v>
      </c>
      <c r="G86" s="24"/>
      <c r="H86" s="24" t="s">
        <v>469</v>
      </c>
      <c r="I86" s="24" t="s">
        <v>474</v>
      </c>
      <c r="J86" s="25">
        <v>8809962541345</v>
      </c>
      <c r="K86" s="32">
        <v>30</v>
      </c>
    </row>
    <row r="87" spans="1:11" x14ac:dyDescent="0.3">
      <c r="A87" s="22">
        <v>87</v>
      </c>
      <c r="B87" s="23" t="s">
        <v>475</v>
      </c>
      <c r="C87" s="23" t="s">
        <v>476</v>
      </c>
      <c r="D87" s="24" t="s">
        <v>477</v>
      </c>
      <c r="E87" s="24">
        <v>0.1</v>
      </c>
      <c r="F87" s="24" t="s">
        <v>478</v>
      </c>
      <c r="G87" s="24"/>
      <c r="H87" s="24" t="s">
        <v>479</v>
      </c>
      <c r="I87" s="24" t="s">
        <v>83</v>
      </c>
      <c r="J87" s="25">
        <v>8809849803979</v>
      </c>
      <c r="K87" s="32">
        <v>40</v>
      </c>
    </row>
    <row r="88" spans="1:11" x14ac:dyDescent="0.3">
      <c r="A88" s="22">
        <v>88</v>
      </c>
      <c r="B88" s="23" t="s">
        <v>480</v>
      </c>
      <c r="C88" s="23" t="s">
        <v>481</v>
      </c>
      <c r="D88" s="24" t="s">
        <v>482</v>
      </c>
      <c r="E88" s="24">
        <v>0.13900000000000001</v>
      </c>
      <c r="F88" s="24" t="s">
        <v>483</v>
      </c>
      <c r="G88" s="24"/>
      <c r="H88" s="24" t="s">
        <v>469</v>
      </c>
      <c r="I88" s="24" t="s">
        <v>83</v>
      </c>
      <c r="J88" s="25">
        <v>8809962541352</v>
      </c>
      <c r="K88" s="32">
        <v>40</v>
      </c>
    </row>
    <row r="89" spans="1:11" x14ac:dyDescent="0.3">
      <c r="A89" s="22">
        <v>89</v>
      </c>
      <c r="B89" s="23" t="s">
        <v>484</v>
      </c>
      <c r="C89" s="23" t="s">
        <v>485</v>
      </c>
      <c r="D89" s="24" t="s">
        <v>486</v>
      </c>
      <c r="E89" s="24">
        <v>6.5000000000000002E-2</v>
      </c>
      <c r="F89" s="24" t="s">
        <v>487</v>
      </c>
      <c r="G89" s="24"/>
      <c r="H89" s="24" t="s">
        <v>109</v>
      </c>
      <c r="I89" s="24" t="s">
        <v>83</v>
      </c>
      <c r="J89" s="25">
        <v>8809962543097</v>
      </c>
      <c r="K89" s="32">
        <v>50</v>
      </c>
    </row>
    <row r="90" spans="1:11" x14ac:dyDescent="0.3">
      <c r="A90" s="22">
        <v>90</v>
      </c>
      <c r="B90" s="23" t="s">
        <v>488</v>
      </c>
      <c r="C90" s="23" t="s">
        <v>489</v>
      </c>
      <c r="D90" s="24" t="s">
        <v>178</v>
      </c>
      <c r="E90" s="24">
        <v>6.3E-2</v>
      </c>
      <c r="F90" s="24" t="s">
        <v>490</v>
      </c>
      <c r="G90" s="24"/>
      <c r="H90" s="24" t="s">
        <v>109</v>
      </c>
      <c r="I90" s="24" t="s">
        <v>83</v>
      </c>
      <c r="J90" s="25">
        <v>8809962543103</v>
      </c>
      <c r="K90" s="32">
        <v>50</v>
      </c>
    </row>
    <row r="91" spans="1:11" x14ac:dyDescent="0.3">
      <c r="A91" s="22">
        <v>91</v>
      </c>
      <c r="B91" s="23" t="s">
        <v>491</v>
      </c>
      <c r="C91" s="23" t="s">
        <v>492</v>
      </c>
      <c r="D91" s="24" t="s">
        <v>493</v>
      </c>
      <c r="E91" s="24">
        <v>5.6000000000000001E-2</v>
      </c>
      <c r="F91" s="24"/>
      <c r="G91" s="24"/>
      <c r="H91" s="24" t="s">
        <v>109</v>
      </c>
      <c r="I91" s="24" t="s">
        <v>83</v>
      </c>
      <c r="J91" s="25">
        <v>8809962543189</v>
      </c>
      <c r="K91" s="32">
        <v>60</v>
      </c>
    </row>
    <row r="92" spans="1:11" x14ac:dyDescent="0.3">
      <c r="A92" s="22">
        <v>92</v>
      </c>
      <c r="B92" s="23" t="s">
        <v>494</v>
      </c>
      <c r="C92" s="23" t="s">
        <v>495</v>
      </c>
      <c r="D92" s="24" t="s">
        <v>496</v>
      </c>
      <c r="E92" s="24">
        <v>0.218</v>
      </c>
      <c r="F92" s="24" t="s">
        <v>110</v>
      </c>
      <c r="G92" s="24"/>
      <c r="H92" s="24"/>
      <c r="I92" s="24"/>
      <c r="J92" s="25">
        <v>8809962542793</v>
      </c>
      <c r="K92" s="32">
        <v>50</v>
      </c>
    </row>
    <row r="93" spans="1:11" x14ac:dyDescent="0.3">
      <c r="A93" s="22">
        <v>93</v>
      </c>
      <c r="B93" s="23" t="s">
        <v>176</v>
      </c>
      <c r="C93" s="23" t="s">
        <v>175</v>
      </c>
      <c r="D93" s="24" t="s">
        <v>174</v>
      </c>
      <c r="E93" s="24">
        <v>8.7999999999999995E-2</v>
      </c>
      <c r="F93" s="24" t="s">
        <v>121</v>
      </c>
      <c r="G93" s="24">
        <v>5.8</v>
      </c>
      <c r="H93" s="24" t="s">
        <v>130</v>
      </c>
      <c r="I93" s="24" t="s">
        <v>83</v>
      </c>
      <c r="J93" s="25">
        <v>8809962540652</v>
      </c>
      <c r="K93" s="32">
        <v>60</v>
      </c>
    </row>
    <row r="94" spans="1:11" x14ac:dyDescent="0.3">
      <c r="A94" s="22">
        <v>94</v>
      </c>
      <c r="B94" s="23" t="s">
        <v>173</v>
      </c>
      <c r="C94" s="23" t="s">
        <v>172</v>
      </c>
      <c r="D94" s="24" t="s">
        <v>171</v>
      </c>
      <c r="E94" s="24">
        <v>6.9000000000000006E-2</v>
      </c>
      <c r="F94" s="24" t="s">
        <v>170</v>
      </c>
      <c r="G94" s="24">
        <v>4.5999999999999996</v>
      </c>
      <c r="H94" s="24" t="s">
        <v>130</v>
      </c>
      <c r="I94" s="24" t="s">
        <v>83</v>
      </c>
      <c r="J94" s="25">
        <v>8809962540690</v>
      </c>
      <c r="K94" s="32">
        <v>60</v>
      </c>
    </row>
    <row r="95" spans="1:11" x14ac:dyDescent="0.3">
      <c r="A95" s="22">
        <v>95</v>
      </c>
      <c r="B95" s="23" t="s">
        <v>169</v>
      </c>
      <c r="C95" s="23" t="s">
        <v>168</v>
      </c>
      <c r="D95" s="24" t="s">
        <v>167</v>
      </c>
      <c r="E95" s="24">
        <v>0.29399999999999998</v>
      </c>
      <c r="F95" s="24" t="s">
        <v>166</v>
      </c>
      <c r="G95" s="24">
        <v>12.9</v>
      </c>
      <c r="H95" s="24" t="s">
        <v>165</v>
      </c>
      <c r="I95" s="24" t="s">
        <v>125</v>
      </c>
      <c r="J95" s="25">
        <v>8809962540775</v>
      </c>
      <c r="K95" s="32">
        <v>40</v>
      </c>
    </row>
    <row r="96" spans="1:11" x14ac:dyDescent="0.3">
      <c r="A96" s="22">
        <v>96</v>
      </c>
      <c r="B96" s="23" t="s">
        <v>497</v>
      </c>
      <c r="C96" s="23" t="s">
        <v>429</v>
      </c>
      <c r="D96" s="24" t="s">
        <v>430</v>
      </c>
      <c r="E96" s="24">
        <v>0.14499999999999999</v>
      </c>
      <c r="F96" s="24" t="s">
        <v>431</v>
      </c>
      <c r="G96" s="24">
        <v>12.6</v>
      </c>
      <c r="H96" s="24" t="s">
        <v>432</v>
      </c>
      <c r="I96" s="24" t="s">
        <v>433</v>
      </c>
      <c r="J96" s="25">
        <v>8809962542946</v>
      </c>
      <c r="K96" s="32">
        <v>80</v>
      </c>
    </row>
    <row r="97" spans="1:11" x14ac:dyDescent="0.3">
      <c r="A97" s="22">
        <v>97</v>
      </c>
      <c r="B97" s="23" t="s">
        <v>164</v>
      </c>
      <c r="C97" s="23" t="s">
        <v>68</v>
      </c>
      <c r="D97" s="24" t="s">
        <v>163</v>
      </c>
      <c r="E97" s="24">
        <v>0.41399999999999998</v>
      </c>
      <c r="F97" s="24" t="s">
        <v>162</v>
      </c>
      <c r="G97" s="24">
        <v>13.1</v>
      </c>
      <c r="H97" s="24" t="s">
        <v>130</v>
      </c>
      <c r="I97" s="24" t="s">
        <v>108</v>
      </c>
      <c r="J97" s="25">
        <v>8809962540584</v>
      </c>
      <c r="K97" s="32">
        <v>30</v>
      </c>
    </row>
    <row r="98" spans="1:11" x14ac:dyDescent="0.3">
      <c r="A98" s="22">
        <v>98</v>
      </c>
      <c r="B98" s="23" t="s">
        <v>161</v>
      </c>
      <c r="C98" s="23" t="s">
        <v>69</v>
      </c>
      <c r="D98" s="24" t="s">
        <v>160</v>
      </c>
      <c r="E98" s="24">
        <v>0.37</v>
      </c>
      <c r="F98" s="24" t="s">
        <v>159</v>
      </c>
      <c r="G98" s="24">
        <v>11.8</v>
      </c>
      <c r="H98" s="24" t="s">
        <v>130</v>
      </c>
      <c r="I98" s="24" t="s">
        <v>83</v>
      </c>
      <c r="J98" s="25">
        <v>8809962540591</v>
      </c>
      <c r="K98" s="32">
        <v>30</v>
      </c>
    </row>
    <row r="99" spans="1:11" x14ac:dyDescent="0.3">
      <c r="A99" s="22">
        <v>99</v>
      </c>
      <c r="B99" s="23" t="s">
        <v>158</v>
      </c>
      <c r="C99" s="23" t="s">
        <v>70</v>
      </c>
      <c r="D99" s="24" t="s">
        <v>157</v>
      </c>
      <c r="E99" s="24">
        <v>0.19</v>
      </c>
      <c r="F99" s="24" t="s">
        <v>156</v>
      </c>
      <c r="G99" s="24">
        <v>2.6</v>
      </c>
      <c r="H99" s="24" t="s">
        <v>152</v>
      </c>
      <c r="I99" s="24" t="s">
        <v>151</v>
      </c>
      <c r="J99" s="25">
        <v>8809962540539</v>
      </c>
      <c r="K99" s="32">
        <v>12</v>
      </c>
    </row>
    <row r="100" spans="1:11" x14ac:dyDescent="0.3">
      <c r="A100" s="22">
        <v>100</v>
      </c>
      <c r="B100" s="23" t="s">
        <v>155</v>
      </c>
      <c r="C100" s="23" t="s">
        <v>71</v>
      </c>
      <c r="D100" s="24" t="s">
        <v>154</v>
      </c>
      <c r="E100" s="24">
        <v>0.68700000000000006</v>
      </c>
      <c r="F100" s="24" t="s">
        <v>153</v>
      </c>
      <c r="G100" s="24">
        <v>7.5</v>
      </c>
      <c r="H100" s="24" t="s">
        <v>152</v>
      </c>
      <c r="I100" s="24" t="s">
        <v>151</v>
      </c>
      <c r="J100" s="25">
        <v>8809962540546</v>
      </c>
      <c r="K100" s="32">
        <v>10</v>
      </c>
    </row>
    <row r="101" spans="1:11" x14ac:dyDescent="0.3">
      <c r="A101" s="22">
        <v>101</v>
      </c>
      <c r="B101" s="23" t="s">
        <v>150</v>
      </c>
      <c r="C101" s="23" t="s">
        <v>149</v>
      </c>
      <c r="D101" s="24" t="s">
        <v>148</v>
      </c>
      <c r="E101" s="24">
        <v>9.7000000000000003E-2</v>
      </c>
      <c r="F101" s="24" t="s">
        <v>147</v>
      </c>
      <c r="G101" s="24">
        <v>3.8</v>
      </c>
      <c r="H101" s="24" t="s">
        <v>130</v>
      </c>
      <c r="I101" s="24" t="s">
        <v>83</v>
      </c>
      <c r="J101" s="25">
        <v>8809962540805</v>
      </c>
      <c r="K101" s="32">
        <v>40</v>
      </c>
    </row>
    <row r="102" spans="1:11" x14ac:dyDescent="0.3">
      <c r="A102" s="22">
        <v>102</v>
      </c>
      <c r="B102" s="23" t="s">
        <v>146</v>
      </c>
      <c r="C102" s="23" t="s">
        <v>145</v>
      </c>
      <c r="D102" s="24" t="s">
        <v>144</v>
      </c>
      <c r="E102" s="24">
        <v>0.19</v>
      </c>
      <c r="F102" s="24" t="s">
        <v>143</v>
      </c>
      <c r="G102" s="24">
        <v>7.6</v>
      </c>
      <c r="H102" s="24" t="s">
        <v>130</v>
      </c>
      <c r="I102" s="24" t="s">
        <v>83</v>
      </c>
      <c r="J102" s="25">
        <v>8809962540812</v>
      </c>
      <c r="K102" s="32">
        <v>40</v>
      </c>
    </row>
    <row r="103" spans="1:11" x14ac:dyDescent="0.3">
      <c r="A103" s="22">
        <v>103</v>
      </c>
      <c r="B103" s="23" t="s">
        <v>142</v>
      </c>
      <c r="C103" s="23" t="s">
        <v>141</v>
      </c>
      <c r="D103" s="24" t="s">
        <v>140</v>
      </c>
      <c r="E103" s="24">
        <v>6.3E-2</v>
      </c>
      <c r="F103" s="24" t="s">
        <v>139</v>
      </c>
      <c r="G103" s="23"/>
      <c r="H103" s="24" t="s">
        <v>130</v>
      </c>
      <c r="I103" s="24" t="s">
        <v>83</v>
      </c>
      <c r="J103" s="25">
        <v>8809962541048</v>
      </c>
      <c r="K103" s="32">
        <v>50</v>
      </c>
    </row>
    <row r="104" spans="1:11" x14ac:dyDescent="0.3">
      <c r="A104" s="22">
        <v>104</v>
      </c>
      <c r="B104" s="23" t="s">
        <v>138</v>
      </c>
      <c r="C104" s="23" t="s">
        <v>137</v>
      </c>
      <c r="D104" s="24" t="s">
        <v>136</v>
      </c>
      <c r="E104" s="24">
        <v>8.8999999999999996E-2</v>
      </c>
      <c r="F104" s="24" t="s">
        <v>135</v>
      </c>
      <c r="G104" s="23"/>
      <c r="H104" s="24" t="s">
        <v>130</v>
      </c>
      <c r="I104" s="24" t="s">
        <v>83</v>
      </c>
      <c r="J104" s="25">
        <v>8809962541031</v>
      </c>
      <c r="K104" s="32">
        <v>100</v>
      </c>
    </row>
    <row r="105" spans="1:11" x14ac:dyDescent="0.3">
      <c r="A105" s="22">
        <v>105</v>
      </c>
      <c r="B105" s="23" t="s">
        <v>134</v>
      </c>
      <c r="C105" s="23" t="s">
        <v>133</v>
      </c>
      <c r="D105" s="24" t="s">
        <v>132</v>
      </c>
      <c r="E105" s="24">
        <v>0.246</v>
      </c>
      <c r="F105" s="24" t="s">
        <v>131</v>
      </c>
      <c r="G105" s="23"/>
      <c r="H105" s="24" t="s">
        <v>130</v>
      </c>
      <c r="I105" s="24" t="s">
        <v>83</v>
      </c>
      <c r="J105" s="25">
        <v>8809962541284</v>
      </c>
      <c r="K105" s="32">
        <v>40</v>
      </c>
    </row>
    <row r="106" spans="1:11" x14ac:dyDescent="0.3">
      <c r="A106" s="22">
        <v>106</v>
      </c>
      <c r="B106" s="23" t="s">
        <v>129</v>
      </c>
      <c r="C106" s="23" t="s">
        <v>128</v>
      </c>
      <c r="D106" s="24" t="s">
        <v>127</v>
      </c>
      <c r="E106" s="24">
        <v>0.21</v>
      </c>
      <c r="F106" s="24" t="s">
        <v>126</v>
      </c>
      <c r="G106" s="24">
        <v>6.3</v>
      </c>
      <c r="H106" s="24" t="s">
        <v>109</v>
      </c>
      <c r="I106" s="24" t="s">
        <v>125</v>
      </c>
      <c r="J106" s="25">
        <v>8809962541383</v>
      </c>
      <c r="K106" s="32">
        <v>30</v>
      </c>
    </row>
    <row r="107" spans="1:11" x14ac:dyDescent="0.3">
      <c r="A107" s="22">
        <v>107</v>
      </c>
      <c r="B107" s="23" t="s">
        <v>124</v>
      </c>
      <c r="C107" s="23" t="s">
        <v>123</v>
      </c>
      <c r="D107" s="24" t="s">
        <v>122</v>
      </c>
      <c r="E107" s="24">
        <v>8.5000000000000006E-2</v>
      </c>
      <c r="F107" s="24" t="s">
        <v>121</v>
      </c>
      <c r="G107" s="24">
        <v>5.0999999999999996</v>
      </c>
      <c r="H107" s="24" t="s">
        <v>109</v>
      </c>
      <c r="I107" s="24" t="s">
        <v>83</v>
      </c>
      <c r="J107" s="25">
        <v>8809962541857</v>
      </c>
      <c r="K107" s="32">
        <v>60</v>
      </c>
    </row>
    <row r="108" spans="1:11" x14ac:dyDescent="0.3">
      <c r="A108" s="22">
        <v>108</v>
      </c>
      <c r="B108" s="23" t="s">
        <v>120</v>
      </c>
      <c r="C108" s="23" t="s">
        <v>119</v>
      </c>
      <c r="D108" s="24" t="s">
        <v>118</v>
      </c>
      <c r="E108" s="24">
        <v>0.14299999999999999</v>
      </c>
      <c r="F108" s="24" t="s">
        <v>117</v>
      </c>
      <c r="G108" s="24">
        <v>11.4</v>
      </c>
      <c r="H108" s="24" t="s">
        <v>109</v>
      </c>
      <c r="I108" s="24" t="s">
        <v>83</v>
      </c>
      <c r="J108" s="25">
        <v>8809962541840</v>
      </c>
      <c r="K108" s="32">
        <v>80</v>
      </c>
    </row>
    <row r="109" spans="1:11" x14ac:dyDescent="0.3">
      <c r="A109" s="22">
        <v>109</v>
      </c>
      <c r="B109" s="23" t="s">
        <v>116</v>
      </c>
      <c r="C109" s="23" t="s">
        <v>75</v>
      </c>
      <c r="D109" s="24" t="s">
        <v>115</v>
      </c>
      <c r="E109" s="24">
        <v>7.5999999999999998E-2</v>
      </c>
      <c r="F109" s="24" t="s">
        <v>114</v>
      </c>
      <c r="G109" s="24">
        <v>3.8</v>
      </c>
      <c r="H109" s="24" t="s">
        <v>109</v>
      </c>
      <c r="I109" s="24" t="s">
        <v>83</v>
      </c>
      <c r="J109" s="25">
        <v>8809962542212</v>
      </c>
      <c r="K109" s="32">
        <v>50</v>
      </c>
    </row>
    <row r="110" spans="1:11" x14ac:dyDescent="0.3">
      <c r="A110" s="22">
        <v>110</v>
      </c>
      <c r="B110" s="23" t="s">
        <v>113</v>
      </c>
      <c r="C110" s="23" t="s">
        <v>112</v>
      </c>
      <c r="D110" s="24" t="s">
        <v>111</v>
      </c>
      <c r="E110" s="24">
        <v>0.20300000000000001</v>
      </c>
      <c r="F110" s="24" t="s">
        <v>110</v>
      </c>
      <c r="G110" s="24">
        <v>11</v>
      </c>
      <c r="H110" s="24" t="s">
        <v>109</v>
      </c>
      <c r="I110" s="24" t="s">
        <v>108</v>
      </c>
      <c r="J110" s="25">
        <v>8809962542861</v>
      </c>
      <c r="K110" s="32">
        <v>50</v>
      </c>
    </row>
    <row r="111" spans="1:11" x14ac:dyDescent="0.3">
      <c r="A111" s="22">
        <v>111</v>
      </c>
      <c r="B111" s="23" t="s">
        <v>498</v>
      </c>
      <c r="C111" s="23" t="s">
        <v>499</v>
      </c>
      <c r="D111" s="24" t="s">
        <v>500</v>
      </c>
      <c r="E111" s="24">
        <v>0.222</v>
      </c>
      <c r="F111" s="24" t="s">
        <v>501</v>
      </c>
      <c r="G111" s="24"/>
      <c r="H111" s="24" t="s">
        <v>130</v>
      </c>
      <c r="I111" s="24" t="s">
        <v>83</v>
      </c>
      <c r="J111" s="25">
        <v>8809962543547</v>
      </c>
      <c r="K111" s="32">
        <v>50</v>
      </c>
    </row>
    <row r="112" spans="1:11" x14ac:dyDescent="0.3">
      <c r="A112" s="22">
        <v>112</v>
      </c>
      <c r="B112" s="23" t="s">
        <v>502</v>
      </c>
      <c r="C112" s="23" t="s">
        <v>503</v>
      </c>
      <c r="D112" s="24" t="s">
        <v>504</v>
      </c>
      <c r="E112" s="24">
        <v>2.8000000000000001E-2</v>
      </c>
      <c r="F112" s="24" t="s">
        <v>505</v>
      </c>
      <c r="G112" s="24">
        <v>6.2</v>
      </c>
      <c r="H112" s="24" t="s">
        <v>130</v>
      </c>
      <c r="I112" s="24" t="s">
        <v>125</v>
      </c>
      <c r="J112" s="25">
        <v>8809962542342</v>
      </c>
      <c r="K112" s="32">
        <v>200</v>
      </c>
    </row>
    <row r="113" spans="1:11" x14ac:dyDescent="0.3">
      <c r="A113" s="22">
        <v>113</v>
      </c>
      <c r="B113" s="23" t="s">
        <v>506</v>
      </c>
      <c r="C113" s="23" t="s">
        <v>507</v>
      </c>
      <c r="D113" s="24" t="s">
        <v>508</v>
      </c>
      <c r="E113" s="24">
        <v>0.14099999999999999</v>
      </c>
      <c r="F113" s="24" t="s">
        <v>509</v>
      </c>
      <c r="G113" s="24">
        <v>4.9000000000000004</v>
      </c>
      <c r="H113" s="24" t="s">
        <v>130</v>
      </c>
      <c r="I113" s="24" t="s">
        <v>125</v>
      </c>
      <c r="J113" s="25">
        <v>8809962542366</v>
      </c>
      <c r="K113" s="32">
        <v>30</v>
      </c>
    </row>
    <row r="114" spans="1:11" x14ac:dyDescent="0.3">
      <c r="A114" s="22">
        <v>114</v>
      </c>
      <c r="B114" s="23" t="s">
        <v>510</v>
      </c>
      <c r="C114" s="23" t="s">
        <v>511</v>
      </c>
      <c r="D114" s="24" t="s">
        <v>512</v>
      </c>
      <c r="E114" s="24" t="s">
        <v>513</v>
      </c>
      <c r="F114" s="24" t="s">
        <v>514</v>
      </c>
      <c r="G114" s="24">
        <v>5.2</v>
      </c>
      <c r="H114" s="24" t="s">
        <v>130</v>
      </c>
      <c r="I114" s="24" t="s">
        <v>125</v>
      </c>
      <c r="J114" s="25">
        <v>8809962542373</v>
      </c>
      <c r="K114" s="32">
        <v>10</v>
      </c>
    </row>
    <row r="115" spans="1:11" x14ac:dyDescent="0.3">
      <c r="A115" s="22">
        <v>115</v>
      </c>
      <c r="B115" s="23" t="s">
        <v>107</v>
      </c>
      <c r="C115" s="23" t="s">
        <v>106</v>
      </c>
      <c r="D115" s="24" t="s">
        <v>95</v>
      </c>
      <c r="E115" s="24">
        <v>0.26500000000000001</v>
      </c>
      <c r="F115" s="24" t="s">
        <v>94</v>
      </c>
      <c r="G115" s="24">
        <v>13.3</v>
      </c>
      <c r="H115" s="24" t="s">
        <v>103</v>
      </c>
      <c r="I115" s="24" t="s">
        <v>83</v>
      </c>
      <c r="J115" s="25">
        <v>8809962541222</v>
      </c>
      <c r="K115" s="32">
        <v>50</v>
      </c>
    </row>
    <row r="116" spans="1:11" x14ac:dyDescent="0.3">
      <c r="A116" s="22">
        <v>116</v>
      </c>
      <c r="B116" s="23" t="s">
        <v>105</v>
      </c>
      <c r="C116" s="23" t="s">
        <v>104</v>
      </c>
      <c r="D116" s="24" t="s">
        <v>95</v>
      </c>
      <c r="E116" s="24">
        <v>0.26500000000000001</v>
      </c>
      <c r="F116" s="24" t="s">
        <v>94</v>
      </c>
      <c r="G116" s="24">
        <v>13.3</v>
      </c>
      <c r="H116" s="24" t="s">
        <v>103</v>
      </c>
      <c r="I116" s="24" t="s">
        <v>83</v>
      </c>
      <c r="J116" s="25">
        <v>8809962541239</v>
      </c>
      <c r="K116" s="32">
        <v>50</v>
      </c>
    </row>
    <row r="117" spans="1:11" x14ac:dyDescent="0.3">
      <c r="A117" s="22">
        <v>117</v>
      </c>
      <c r="B117" s="23" t="s">
        <v>102</v>
      </c>
      <c r="C117" s="23" t="s">
        <v>101</v>
      </c>
      <c r="D117" s="24" t="s">
        <v>91</v>
      </c>
      <c r="E117" s="24">
        <v>0.105</v>
      </c>
      <c r="F117" s="24" t="s">
        <v>90</v>
      </c>
      <c r="G117" s="24">
        <v>5.3</v>
      </c>
      <c r="H117" s="24" t="s">
        <v>100</v>
      </c>
      <c r="I117" s="24" t="s">
        <v>83</v>
      </c>
      <c r="J117" s="25">
        <v>8809962541246</v>
      </c>
      <c r="K117" s="32">
        <v>50</v>
      </c>
    </row>
    <row r="118" spans="1:11" x14ac:dyDescent="0.3">
      <c r="A118" s="22">
        <v>118</v>
      </c>
      <c r="B118" s="23" t="s">
        <v>99</v>
      </c>
      <c r="C118" s="23" t="s">
        <v>98</v>
      </c>
      <c r="D118" s="24" t="s">
        <v>95</v>
      </c>
      <c r="E118" s="24">
        <v>0.26500000000000001</v>
      </c>
      <c r="F118" s="24" t="s">
        <v>94</v>
      </c>
      <c r="G118" s="24">
        <v>13.3</v>
      </c>
      <c r="H118" s="24" t="s">
        <v>89</v>
      </c>
      <c r="I118" s="24" t="s">
        <v>83</v>
      </c>
      <c r="J118" s="25">
        <v>8809962541635</v>
      </c>
      <c r="K118" s="32">
        <v>50</v>
      </c>
    </row>
    <row r="119" spans="1:11" x14ac:dyDescent="0.3">
      <c r="A119" s="22">
        <v>119</v>
      </c>
      <c r="B119" s="23" t="s">
        <v>97</v>
      </c>
      <c r="C119" s="23" t="s">
        <v>96</v>
      </c>
      <c r="D119" s="24" t="s">
        <v>95</v>
      </c>
      <c r="E119" s="24">
        <v>0.26500000000000001</v>
      </c>
      <c r="F119" s="24" t="s">
        <v>94</v>
      </c>
      <c r="G119" s="24">
        <v>13.3</v>
      </c>
      <c r="H119" s="24" t="s">
        <v>89</v>
      </c>
      <c r="I119" s="24" t="s">
        <v>83</v>
      </c>
      <c r="J119" s="25">
        <v>8809962541628</v>
      </c>
      <c r="K119" s="32">
        <v>50</v>
      </c>
    </row>
    <row r="120" spans="1:11" x14ac:dyDescent="0.3">
      <c r="A120" s="22">
        <v>120</v>
      </c>
      <c r="B120" s="23" t="s">
        <v>93</v>
      </c>
      <c r="C120" s="23" t="s">
        <v>92</v>
      </c>
      <c r="D120" s="24" t="s">
        <v>91</v>
      </c>
      <c r="E120" s="24">
        <v>0.105</v>
      </c>
      <c r="F120" s="24" t="s">
        <v>90</v>
      </c>
      <c r="G120" s="24">
        <v>5.3</v>
      </c>
      <c r="H120" s="24" t="s">
        <v>89</v>
      </c>
      <c r="I120" s="24" t="s">
        <v>83</v>
      </c>
      <c r="J120" s="25">
        <v>8809962541642</v>
      </c>
      <c r="K120" s="32">
        <v>50</v>
      </c>
    </row>
    <row r="121" spans="1:11" x14ac:dyDescent="0.3">
      <c r="A121" s="22">
        <v>121</v>
      </c>
      <c r="B121" s="23" t="s">
        <v>515</v>
      </c>
      <c r="C121" s="23" t="s">
        <v>516</v>
      </c>
      <c r="D121" s="24" t="s">
        <v>517</v>
      </c>
      <c r="E121" s="24">
        <v>8.2000000000000003E-2</v>
      </c>
      <c r="F121" s="24" t="s">
        <v>518</v>
      </c>
      <c r="G121" s="24">
        <v>8.1999999999999993</v>
      </c>
      <c r="H121" s="24" t="s">
        <v>109</v>
      </c>
      <c r="I121" s="24" t="s">
        <v>83</v>
      </c>
      <c r="J121" s="25">
        <v>8809738593110</v>
      </c>
      <c r="K121" s="32">
        <v>100</v>
      </c>
    </row>
    <row r="122" spans="1:11" x14ac:dyDescent="0.3">
      <c r="A122" s="22">
        <v>122</v>
      </c>
      <c r="B122" s="23" t="s">
        <v>519</v>
      </c>
      <c r="C122" s="23" t="s">
        <v>520</v>
      </c>
      <c r="D122" s="24" t="s">
        <v>517</v>
      </c>
      <c r="E122" s="24">
        <v>8.2000000000000003E-2</v>
      </c>
      <c r="F122" s="24" t="s">
        <v>518</v>
      </c>
      <c r="G122" s="24">
        <v>8.1999999999999993</v>
      </c>
      <c r="H122" s="24" t="s">
        <v>109</v>
      </c>
      <c r="I122" s="24" t="s">
        <v>83</v>
      </c>
      <c r="J122" s="25">
        <v>8809348119762</v>
      </c>
      <c r="K122" s="32">
        <v>100</v>
      </c>
    </row>
    <row r="123" spans="1:11" x14ac:dyDescent="0.3">
      <c r="A123" s="27">
        <v>123</v>
      </c>
      <c r="B123" s="28" t="s">
        <v>88</v>
      </c>
      <c r="C123" s="28" t="s">
        <v>87</v>
      </c>
      <c r="D123" s="29" t="s">
        <v>86</v>
      </c>
      <c r="E123" s="29">
        <v>0.06</v>
      </c>
      <c r="F123" s="29" t="s">
        <v>85</v>
      </c>
      <c r="G123" s="29">
        <v>6</v>
      </c>
      <c r="H123" s="29" t="s">
        <v>84</v>
      </c>
      <c r="I123" s="29" t="s">
        <v>83</v>
      </c>
      <c r="J123" s="30">
        <v>8809962540553</v>
      </c>
      <c r="K123" s="33">
        <v>100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list</vt:lpstr>
      <vt:lpstr>Spec</vt:lpstr>
      <vt:lpstr>list!품명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권용현</dc:creator>
  <cp:lastModifiedBy>MAVZUNA[ 학부졸업 / 노어노문학과 ]</cp:lastModifiedBy>
  <dcterms:created xsi:type="dcterms:W3CDTF">2025-09-12T07:56:34Z</dcterms:created>
  <dcterms:modified xsi:type="dcterms:W3CDTF">2026-08-06T06:12:22Z</dcterms:modified>
</cp:coreProperties>
</file>
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apa cos\files\Buyers\2026\Russia\Price list to send\AFTERCHECK\"/>
    </mc:Choice>
  </mc:AlternateContent>
  <xr:revisionPtr revIDLastSave="0" documentId="13_ncr:1_{B243D45B-F6BE-4019-9719-240D43866D80}" xr6:coauthVersionLast="47" xr6:coauthVersionMax="47" xr10:uidLastSave="{00000000-0000-0000-0000-000000000000}"/>
  <bookViews>
    <workbookView xWindow="-28920" yWindow="555" windowWidth="29040" windowHeight="15720" xr2:uid="{9999AC61-8E5C-480F-B905-95BDE599E2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0" i="2" l="1"/>
  <c r="G89" i="2"/>
  <c r="G88" i="2"/>
  <c r="G87" i="2"/>
  <c r="G86" i="2"/>
  <c r="G80" i="2"/>
  <c r="G79" i="2"/>
  <c r="G78" i="2"/>
  <c r="G77" i="2"/>
  <c r="G76" i="2"/>
  <c r="G70" i="2"/>
  <c r="G69" i="2"/>
  <c r="G68" i="2"/>
  <c r="G67" i="2"/>
  <c r="G66" i="2"/>
  <c r="G60" i="2"/>
  <c r="G59" i="2"/>
  <c r="G58" i="2"/>
  <c r="G57" i="2"/>
  <c r="G56" i="2"/>
  <c r="G50" i="2"/>
  <c r="G49" i="2"/>
  <c r="G48" i="2"/>
  <c r="G47" i="2"/>
  <c r="G46" i="2"/>
  <c r="G40" i="2"/>
  <c r="G39" i="2"/>
  <c r="G38" i="2"/>
  <c r="G37" i="2"/>
  <c r="G36" i="2"/>
  <c r="G30" i="2"/>
  <c r="G29" i="2"/>
  <c r="G28" i="2"/>
  <c r="G27" i="2"/>
  <c r="G26" i="2"/>
  <c r="G20" i="2"/>
  <c r="G19" i="2"/>
  <c r="G18" i="2"/>
  <c r="G17" i="2"/>
  <c r="G16" i="2"/>
  <c r="G10" i="2"/>
  <c r="G9" i="2"/>
  <c r="G8" i="2"/>
  <c r="G7" i="2"/>
  <c r="J95" i="2"/>
  <c r="K95" i="2" s="1"/>
  <c r="G95" i="2"/>
  <c r="J94" i="2"/>
  <c r="K94" i="2" s="1"/>
  <c r="G94" i="2"/>
  <c r="J93" i="2"/>
  <c r="K93" i="2" s="1"/>
  <c r="G93" i="2"/>
  <c r="J92" i="2"/>
  <c r="K92" i="2" s="1"/>
  <c r="G92" i="2"/>
  <c r="J91" i="2"/>
  <c r="K91" i="2" s="1"/>
  <c r="G91" i="2"/>
  <c r="J90" i="2"/>
  <c r="K90" i="2" s="1"/>
  <c r="J89" i="2"/>
  <c r="J88" i="2"/>
  <c r="J87" i="2"/>
  <c r="J86" i="2"/>
  <c r="J85" i="2"/>
  <c r="G85" i="2"/>
  <c r="J84" i="2"/>
  <c r="K84" i="2" s="1"/>
  <c r="G84" i="2"/>
  <c r="J83" i="2"/>
  <c r="K83" i="2" s="1"/>
  <c r="G83" i="2"/>
  <c r="J82" i="2"/>
  <c r="K82" i="2" s="1"/>
  <c r="G82" i="2"/>
  <c r="J81" i="2"/>
  <c r="K81" i="2" s="1"/>
  <c r="G81" i="2"/>
  <c r="J80" i="2"/>
  <c r="K80" i="2" s="1"/>
  <c r="J79" i="2"/>
  <c r="J78" i="2"/>
  <c r="J77" i="2"/>
  <c r="J76" i="2"/>
  <c r="J75" i="2"/>
  <c r="K75" i="2" s="1"/>
  <c r="G75" i="2"/>
  <c r="J74" i="2"/>
  <c r="K74" i="2" s="1"/>
  <c r="G74" i="2"/>
  <c r="J73" i="2"/>
  <c r="K73" i="2" s="1"/>
  <c r="G73" i="2"/>
  <c r="J72" i="2"/>
  <c r="K72" i="2" s="1"/>
  <c r="G72" i="2"/>
  <c r="J71" i="2"/>
  <c r="K71" i="2" s="1"/>
  <c r="G71" i="2"/>
  <c r="J70" i="2"/>
  <c r="K70" i="2" s="1"/>
  <c r="J69" i="2"/>
  <c r="J68" i="2"/>
  <c r="J67" i="2"/>
  <c r="J66" i="2"/>
  <c r="J65" i="2"/>
  <c r="G65" i="2"/>
  <c r="J64" i="2"/>
  <c r="K64" i="2" s="1"/>
  <c r="G64" i="2"/>
  <c r="J63" i="2"/>
  <c r="K63" i="2" s="1"/>
  <c r="G63" i="2"/>
  <c r="J62" i="2"/>
  <c r="K62" i="2" s="1"/>
  <c r="G62" i="2"/>
  <c r="J61" i="2"/>
  <c r="K61" i="2" s="1"/>
  <c r="G61" i="2"/>
  <c r="J60" i="2"/>
  <c r="K60" i="2" s="1"/>
  <c r="J59" i="2"/>
  <c r="J58" i="2"/>
  <c r="J57" i="2"/>
  <c r="J56" i="2"/>
  <c r="J55" i="2"/>
  <c r="K55" i="2" s="1"/>
  <c r="G55" i="2"/>
  <c r="J54" i="2"/>
  <c r="K54" i="2" s="1"/>
  <c r="G54" i="2"/>
  <c r="J53" i="2"/>
  <c r="K53" i="2" s="1"/>
  <c r="G53" i="2"/>
  <c r="J52" i="2"/>
  <c r="K52" i="2" s="1"/>
  <c r="G52" i="2"/>
  <c r="J51" i="2"/>
  <c r="K51" i="2" s="1"/>
  <c r="G51" i="2"/>
  <c r="J50" i="2"/>
  <c r="K50" i="2" s="1"/>
  <c r="J49" i="2"/>
  <c r="J48" i="2"/>
  <c r="J47" i="2"/>
  <c r="J46" i="2"/>
  <c r="J45" i="2"/>
  <c r="G45" i="2"/>
  <c r="J44" i="2"/>
  <c r="K44" i="2" s="1"/>
  <c r="G44" i="2"/>
  <c r="J43" i="2"/>
  <c r="K43" i="2" s="1"/>
  <c r="G43" i="2"/>
  <c r="J42" i="2"/>
  <c r="K42" i="2" s="1"/>
  <c r="G42" i="2"/>
  <c r="J41" i="2"/>
  <c r="K41" i="2" s="1"/>
  <c r="G41" i="2"/>
  <c r="J40" i="2"/>
  <c r="K40" i="2" s="1"/>
  <c r="J39" i="2"/>
  <c r="J38" i="2"/>
  <c r="J37" i="2"/>
  <c r="J36" i="2"/>
  <c r="J35" i="2"/>
  <c r="K35" i="2" s="1"/>
  <c r="G35" i="2"/>
  <c r="J34" i="2"/>
  <c r="K34" i="2" s="1"/>
  <c r="G34" i="2"/>
  <c r="J33" i="2"/>
  <c r="K33" i="2" s="1"/>
  <c r="G33" i="2"/>
  <c r="J32" i="2"/>
  <c r="K32" i="2" s="1"/>
  <c r="G32" i="2"/>
  <c r="J31" i="2"/>
  <c r="K31" i="2" s="1"/>
  <c r="G31" i="2"/>
  <c r="J30" i="2"/>
  <c r="K30" i="2" s="1"/>
  <c r="J29" i="2"/>
  <c r="J28" i="2"/>
  <c r="J27" i="2"/>
  <c r="J26" i="2"/>
  <c r="J25" i="2"/>
  <c r="G25" i="2"/>
  <c r="J24" i="2"/>
  <c r="K24" i="2" s="1"/>
  <c r="G24" i="2"/>
  <c r="J23" i="2"/>
  <c r="K23" i="2" s="1"/>
  <c r="G23" i="2"/>
  <c r="J22" i="2"/>
  <c r="K22" i="2" s="1"/>
  <c r="G22" i="2"/>
  <c r="J21" i="2"/>
  <c r="K21" i="2" s="1"/>
  <c r="G21" i="2"/>
  <c r="J20" i="2"/>
  <c r="K20" i="2" s="1"/>
  <c r="J19" i="2"/>
  <c r="J18" i="2"/>
  <c r="J17" i="2"/>
  <c r="J16" i="2"/>
  <c r="J15" i="2"/>
  <c r="K15" i="2" s="1"/>
  <c r="G15" i="2"/>
  <c r="J14" i="2"/>
  <c r="K14" i="2" s="1"/>
  <c r="G14" i="2"/>
  <c r="J13" i="2"/>
  <c r="K13" i="2" s="1"/>
  <c r="G13" i="2"/>
  <c r="J12" i="2"/>
  <c r="K12" i="2" s="1"/>
  <c r="G12" i="2"/>
  <c r="J11" i="2"/>
  <c r="K11" i="2" s="1"/>
  <c r="G11" i="2"/>
  <c r="J10" i="2"/>
  <c r="K10" i="2" s="1"/>
  <c r="J9" i="2"/>
  <c r="J8" i="2"/>
  <c r="J7" i="2"/>
  <c r="I6" i="2"/>
  <c r="K25" i="2" l="1"/>
  <c r="K45" i="2"/>
  <c r="K65" i="2"/>
  <c r="K16" i="2"/>
  <c r="K36" i="2"/>
  <c r="K56" i="2"/>
  <c r="K76" i="2"/>
  <c r="K86" i="2"/>
  <c r="K17" i="2"/>
  <c r="K47" i="2"/>
  <c r="K77" i="2"/>
  <c r="K8" i="2"/>
  <c r="K38" i="2"/>
  <c r="K78" i="2"/>
  <c r="K85" i="2"/>
  <c r="K26" i="2"/>
  <c r="K46" i="2"/>
  <c r="K66" i="2"/>
  <c r="K7" i="2"/>
  <c r="K27" i="2"/>
  <c r="K37" i="2"/>
  <c r="K57" i="2"/>
  <c r="K67" i="2"/>
  <c r="K87" i="2"/>
  <c r="K18" i="2"/>
  <c r="K28" i="2"/>
  <c r="K48" i="2"/>
  <c r="K58" i="2"/>
  <c r="K68" i="2"/>
  <c r="K88" i="2"/>
  <c r="K19" i="2"/>
  <c r="K29" i="2"/>
  <c r="K39" i="2"/>
  <c r="K49" i="2"/>
  <c r="K59" i="2"/>
  <c r="K69" i="2"/>
  <c r="K79" i="2"/>
  <c r="K89" i="2"/>
  <c r="J6" i="2"/>
  <c r="K9" i="2"/>
  <c r="K6" i="2" l="1"/>
  <c r="I6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J7" i="1"/>
  <c r="G7" i="1"/>
  <c r="J6" i="1" l="1"/>
  <c r="K7" i="1"/>
  <c r="K6" i="1" s="1"/>
</calcChain>
</file>

<file path=xl/sharedStrings.xml><?xml version="1.0" encoding="utf-8"?>
<sst xmlns="http://schemas.openxmlformats.org/spreadsheetml/2006/main" count="492" uniqueCount="247">
  <si>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</si>
  <si>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</si>
  <si>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</si>
  <si>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</si>
  <si>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</si>
  <si>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</si>
  <si>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</si>
  <si>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</si>
  <si>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Product Name(KR)</t>
    <phoneticPr fontId="5" type="noConversion"/>
  </si>
  <si>
    <t>[더마팩토리] 나이아신아마이드 20% 세럼</t>
  </si>
  <si>
    <t>[더마팩토리] 나이아신아마이드 11% 워터에센스</t>
  </si>
  <si>
    <t>[더마팩토리] 나이아신아마이드 10% 칼라민 크림</t>
  </si>
  <si>
    <t>[더마팩토리] 나이아신아마이드 10% 데오크림</t>
  </si>
  <si>
    <t>[더마팩토리] 나이아신아마이드 10% 바디로션</t>
  </si>
  <si>
    <t>[더마팩토리] 나이아신아마이드 10% 바디워시</t>
  </si>
  <si>
    <t>[더마팩토리] 히알루론산 1% 세럼 - 리뉴얼(30ml-&gt;80ml)</t>
  </si>
  <si>
    <t>[더마팩토리] 리얼베라 모공세럼</t>
  </si>
  <si>
    <t>[더마팩토리] 레티날300ppm 크림</t>
  </si>
  <si>
    <t>[더마팩토리] 바쿠치올 1% 크림</t>
  </si>
  <si>
    <t>[더마팩토리] 트라넥삼산 6% 크림</t>
  </si>
  <si>
    <t>[더마팩토리] 더블화이트닝크림</t>
  </si>
  <si>
    <t>[더마팩토리] 피크노제놀 1% 앰플</t>
  </si>
  <si>
    <t>[더마팩토리] 이데베논 1% 앰플</t>
  </si>
  <si>
    <t>[더마팩토리] EGF 앰플 10ml</t>
  </si>
  <si>
    <t>[더마팩토리] 글루코노락톤(PHA) 10% 트리트먼트</t>
  </si>
  <si>
    <t>[더마팩토리] 콤부차 80% 트리트먼트</t>
  </si>
  <si>
    <t>[더마팩토리] 아데노신 7500ppm 워터에센스</t>
  </si>
  <si>
    <t>[더마팩토리] 데일리 모공 토너</t>
  </si>
  <si>
    <t>[더마팩토리] 칼라민100 파우더</t>
  </si>
  <si>
    <t>[더마팩토리] 나이아신아마이드 100파우더</t>
  </si>
  <si>
    <t>[더마팩토리] 콜라겐100 파우더</t>
  </si>
  <si>
    <t>[더마팩토리] 비타민C 80 파우더</t>
  </si>
  <si>
    <t>[더마팩토리] 시카53.2%크림</t>
  </si>
  <si>
    <t>[더마팩토리] 시카60.2%앰플</t>
  </si>
  <si>
    <t>[더마팩토리] 시카 90% 워터 에센스</t>
  </si>
  <si>
    <t>[더마팩토리] 시카 1% 클렌징 오일</t>
  </si>
  <si>
    <t>[더마팩토리] 티트리 59% 젤 폼</t>
  </si>
  <si>
    <t>[더마팩토리] 판테놀 2% 약산성 클렌징바</t>
  </si>
  <si>
    <t>[더마팩토리] 클레이 2% 아크네 클렌징바 (여드름 기능성)</t>
  </si>
  <si>
    <t>[더마팩토리] 자작나무수액 95% 수분 픽서 (리뉴얼)</t>
  </si>
  <si>
    <t>[더마팩토리] 콜라겐 세럼 미스트</t>
  </si>
  <si>
    <t>[더마팩토리] 시카 66% 선크림 SPF40/PA+++ (30g)</t>
  </si>
  <si>
    <t>[더마팩토리] 무기자차 마일드 선크림 SPF50+/PA++++ (30g)</t>
  </si>
  <si>
    <t>[더마팩토리] 무기자차 톤업선크림 SPF50+/PA++++ (30g)</t>
  </si>
  <si>
    <t xml:space="preserve">[더마팩토리] 워터풀 톤업 선크림 SPF50+/PA+++ (30g) </t>
  </si>
  <si>
    <t>[더마팩토리] 무기자차 마일드 선크림 SPF50+/PA++++ (50g)</t>
  </si>
  <si>
    <t>[더마팩토리] 무기자차 톤업선크림 SPF50+/PA++++ (50g)</t>
  </si>
  <si>
    <t>[더마팩토리] 워터풀 톤업 선크림 SPF50+/PA++++ (50g)</t>
  </si>
  <si>
    <t>[더마팩토리] 무기자차 선쿠션 SPF50+/PA++++ (26g)</t>
  </si>
  <si>
    <t>[더마팩토리] 세라판테놀 8% 인텐시브 크림</t>
  </si>
  <si>
    <t>[더마팩토리] 피부장벽 크림</t>
  </si>
  <si>
    <t>[더마팩토리] 보르피린 20% 앰플 스틱</t>
  </si>
  <si>
    <t>[더마팩토리] 보르피린5% 앰플</t>
  </si>
  <si>
    <t>[더마팩토리] 아쿠아포린수분크림</t>
  </si>
  <si>
    <t>[더마팩토리] 바쿠치올 5% 앰플</t>
  </si>
  <si>
    <t>[더마팩토리] 레티날 1000ppm 크림</t>
  </si>
  <si>
    <t>[더마팩토리] 나이아신 히알루론 21% 세럼</t>
  </si>
  <si>
    <t>[더마팩토리] EGF 앰플 30ml</t>
  </si>
  <si>
    <t>[더마팩토리] 안티헤어로스 샴푸</t>
  </si>
  <si>
    <t>[더마팩토리] 안티헤어로스 트리트먼트</t>
  </si>
  <si>
    <t>[더마팩토리] 스칼프 헤어토닉</t>
  </si>
  <si>
    <t>[더마팩토리] 단백질 리커버리 트리트먼트</t>
  </si>
  <si>
    <t>[더마팩토리] 펩타이드 아이래쉬 앰플</t>
  </si>
  <si>
    <t>[더마팩토리] 트라넥삼산 시트마스크</t>
  </si>
  <si>
    <t>[더마팩토리] 나이아신 트라넥삼산 13% 세럼</t>
  </si>
  <si>
    <t>[더마팩토리] 아크네 클리어 바디워시</t>
  </si>
  <si>
    <t>[더마팩토리] 레드 아크네 필</t>
  </si>
  <si>
    <t>[더마팩토리] 바쿠치올 스피큘 크림</t>
  </si>
  <si>
    <t>[더마팩토리] 바쿠치올 스피큘 맥스 크림</t>
  </si>
  <si>
    <t>[더마팩토리] pH 밸런싱 클렌징 폼</t>
  </si>
  <si>
    <t xml:space="preserve">[더마팩토리] 판테놀 1% pH 밸런싱 클렌징 밀크 </t>
  </si>
  <si>
    <t>[더마팩토리] 비제로 마일드 토너</t>
  </si>
  <si>
    <t>[더마팩토리] 비제로 밀크에센스</t>
  </si>
  <si>
    <t>[더마팩토리] 비제로 컴포트 크림</t>
  </si>
  <si>
    <t>[더마팩토리] 비제로 퓨어 선크림</t>
  </si>
  <si>
    <t>[더마팩토리] 비타민C페룰릭 15%앰플</t>
  </si>
  <si>
    <t>[더마팩토리] 매트릭씰 15%+ 아지레날린 2% 세럼</t>
  </si>
  <si>
    <t>[더마팩토리] 레티날 시카 앰플</t>
  </si>
  <si>
    <t>[더마팩토리] 호호바 5% 클렌징오일</t>
  </si>
  <si>
    <t>[더마팩토리] 닥터스템셀 스킨 리뉴잉 더블 크림</t>
  </si>
  <si>
    <t>[더마팩토리] 프레쉬 아쿠아 선크림</t>
  </si>
  <si>
    <t>[더마팩토리] 에어리선스틱</t>
  </si>
  <si>
    <t>[더마팩토리] 레티노이드 4000ppm 크림</t>
  </si>
  <si>
    <t>[더마팩토리] 펩타이드 페이셜 앤 아이크림 20ml</t>
  </si>
  <si>
    <t>[더마팩토리] 펩타이드 페이셜 앤 아이크림 50ml</t>
  </si>
  <si>
    <t>[더마팩토리] 딥클린 프레쉬 삼푸</t>
  </si>
  <si>
    <t>[더마팩토리] 올인원 9 플루이드</t>
  </si>
  <si>
    <t>[더마팩토리] 아쿠아포린 필링젤</t>
  </si>
  <si>
    <t>[더마팩토리] 시카 스피큘 앰플 3000</t>
  </si>
  <si>
    <t>[더마팩토리] 시카 스피큘 앰플 8000</t>
  </si>
  <si>
    <t>[더마팩토리] 딥 클린 프레시 두피 스케일러</t>
  </si>
  <si>
    <t>[더마팩토리] 나이아신 알부틴 17% 세럼</t>
  </si>
  <si>
    <t>[더마팩토리] 레드 아크네 바디워시</t>
  </si>
  <si>
    <t>[더마팩토리] 세라판테놀 11% 인텐시브 앰플</t>
  </si>
  <si>
    <t>[더마팩토리] PDRN 4% 앰플</t>
  </si>
  <si>
    <t>[더마팩토리] 글로우 멜팅 밤</t>
  </si>
  <si>
    <t>[더마팩토리] 닥터스템셀 스킨 리뉴잉 세럼</t>
  </si>
  <si>
    <t>[더마팩토리]  비타민 E 바이탈 크림</t>
  </si>
  <si>
    <t>8809331318516</t>
  </si>
  <si>
    <t>8809563069019</t>
  </si>
  <si>
    <t>8809331313078</t>
  </si>
  <si>
    <t>8809563068876</t>
  </si>
  <si>
    <t>8809563067114</t>
  </si>
  <si>
    <t>8809563066834</t>
  </si>
  <si>
    <t>8809563069033</t>
  </si>
  <si>
    <t>8809563067275</t>
  </si>
  <si>
    <t>8809563067282</t>
  </si>
  <si>
    <t>8809563068074</t>
  </si>
  <si>
    <t>X</t>
  </si>
  <si>
    <t>8809563067022</t>
  </si>
  <si>
    <t>8809563067251</t>
  </si>
  <si>
    <t>8809331313023</t>
  </si>
  <si>
    <t>8809563069484</t>
  </si>
  <si>
    <t>8809563068746</t>
  </si>
  <si>
    <t>8809563066926</t>
  </si>
  <si>
    <t xml:space="preserve">	8809563069644</t>
  </si>
  <si>
    <t>8809563069309</t>
  </si>
  <si>
    <t>8809563069828</t>
  </si>
  <si>
    <t>8809563069811</t>
  </si>
  <si>
    <t>8809563069897</t>
  </si>
  <si>
    <t xml:space="preserve">	8809563067916</t>
  </si>
  <si>
    <t>8809563069880</t>
  </si>
  <si>
    <t>8809563069972</t>
  </si>
  <si>
    <t>8809331313580</t>
  </si>
  <si>
    <t>8809563069903</t>
  </si>
  <si>
    <t>8809331312989</t>
  </si>
  <si>
    <t>8809331319377</t>
  </si>
  <si>
    <t>8809331318455</t>
  </si>
  <si>
    <t>8809563069743</t>
  </si>
  <si>
    <t>8809331313856</t>
  </si>
  <si>
    <t>8809331313863</t>
  </si>
  <si>
    <t>8809331313870</t>
  </si>
  <si>
    <t>8809331313832</t>
  </si>
  <si>
    <t>8809331313849</t>
  </si>
  <si>
    <t>8809331313931</t>
  </si>
  <si>
    <t>8809331317182</t>
  </si>
  <si>
    <t>8809331313825</t>
  </si>
  <si>
    <t>8809331313948</t>
  </si>
  <si>
    <t xml:space="preserve">	8809331317137</t>
  </si>
  <si>
    <t>8809331317151</t>
  </si>
  <si>
    <t>8809331317175</t>
  </si>
  <si>
    <t>8809331318462</t>
  </si>
  <si>
    <t>8809331318479</t>
  </si>
  <si>
    <t>8809331318486</t>
  </si>
  <si>
    <t>8809331318646</t>
  </si>
  <si>
    <t>8809331318592</t>
  </si>
  <si>
    <t>8809331318615</t>
  </si>
  <si>
    <t>8809331318967</t>
  </si>
  <si>
    <t>8809331318974</t>
  </si>
  <si>
    <t>8809331319278</t>
  </si>
  <si>
    <t>8809331319407</t>
  </si>
  <si>
    <t>8809331319636</t>
  </si>
  <si>
    <t>MSRP
(KRW)</t>
    <phoneticPr fontId="5" type="noConversion"/>
  </si>
  <si>
    <t>Supply Price
(KRW)</t>
    <phoneticPr fontId="5" type="noConversion"/>
  </si>
  <si>
    <t>Supply Rate</t>
    <phoneticPr fontId="5" type="noConversion"/>
  </si>
  <si>
    <t>The Derma Factory Niacinamide 20% Serum</t>
  </si>
  <si>
    <t>The Derma Factory Niacinamide 11% Water Essence</t>
  </si>
  <si>
    <t>The Derma Factory Niacinamide 10% Calamine Cream</t>
  </si>
  <si>
    <t>The Derma Factory Niacinamide 10% Deo Cream</t>
  </si>
  <si>
    <t>The Derma Factory Niacinamide 10% Body Lotion</t>
  </si>
  <si>
    <t>The Derma Factory Niacinamide 10% Body Wash</t>
  </si>
  <si>
    <t>The Derma Factory Hyaluronic Acid 1% Serum (Renewed, 80ml)</t>
  </si>
  <si>
    <t>The Derma Factory Real Vera Pore Serum</t>
  </si>
  <si>
    <t>The Derma Factory Retinal 300ppm Cream</t>
  </si>
  <si>
    <t>The Derma Factory Bakuchiol 1% Cream</t>
  </si>
  <si>
    <t>The Derma Factory Tranexamic Acid 6% Cream</t>
  </si>
  <si>
    <t>The Derma Factory Double Whitening Cream</t>
  </si>
  <si>
    <t>The Derma Factory Pycnogenol 1% Ampoule</t>
  </si>
  <si>
    <t>The Derma Factory Idebenone 1% Ampoule</t>
  </si>
  <si>
    <t>The Derma Factory EGF Ampoule 10ml</t>
  </si>
  <si>
    <t>The Derma Factory Gluconolactone (PHA) 10% Treatment</t>
  </si>
  <si>
    <t>The Derma Factory Kombucha 80% Treatment</t>
  </si>
  <si>
    <t>The Derma Factory Adenosine 7500ppm Water Essence</t>
  </si>
  <si>
    <t>The Derma Factory Daily Pore Toner</t>
  </si>
  <si>
    <t>The Derma Factory Calamine 100 Powder</t>
  </si>
  <si>
    <t>Derma Factory Niacinamide 100 Powder</t>
  </si>
  <si>
    <t>Derma Factory Collagen 100 Powder</t>
  </si>
  <si>
    <t>Derma Factory Vitamin C 80 Powder</t>
  </si>
  <si>
    <t>Derma Factory Cica 53.2% Cream</t>
  </si>
  <si>
    <t>Derma Factory Cica 60.2% Ampoule</t>
  </si>
  <si>
    <t>Derma Factory Cica 90% Water Essence</t>
  </si>
  <si>
    <t>Derma Factory Cica 1% Cleansing Oil</t>
  </si>
  <si>
    <t>Derma Factory Tea Tree 59% Gel Foam</t>
  </si>
  <si>
    <t>Derma Factory Panthenol 2% Low pH Cleansing Bar</t>
  </si>
  <si>
    <t>Derma Factory Clay 2% Acne Cleansing Bar</t>
  </si>
  <si>
    <t>Derma Factory Birch Sap 95% Moisture Fixer</t>
  </si>
  <si>
    <t>Derma Factory Collagen Serum Mist</t>
  </si>
  <si>
    <t>Derma Factory Cica 66% Sun Cream SPF40 PA+++</t>
  </si>
  <si>
    <t>Derma Factory Mild Mineral Sun Cream SPF50+ PA++++ 30g</t>
  </si>
  <si>
    <t>Derma Factory Mineral Tone-Up Sun Cream SPF50+ PA++++ 30g</t>
  </si>
  <si>
    <t>Derma Factory Water-Full Tone-Up Sun Cream SPF50+ PA+++ 30g</t>
  </si>
  <si>
    <t>Derma Factory Mild Mineral Sun Cream SPF50+ PA++++ 50g</t>
  </si>
  <si>
    <t>Derma Factory Mineral Tone-Up Sun Cream SPF50+ PA++++ 50g</t>
  </si>
  <si>
    <t>Derma Factory Water-Full Tone-Up Sun Cream SPF50+ PA++++ 50g</t>
  </si>
  <si>
    <t>Derma Factory Mineral Sun Cushion SPF50+ PA++++ 26g</t>
  </si>
  <si>
    <t>Derma Factory Cerapanthenol 8% Intensive Cream</t>
  </si>
  <si>
    <t>Derma Factory Skin Barrier Cream</t>
  </si>
  <si>
    <t>Derma Factory Volufiline 20% Ampoule Stick</t>
  </si>
  <si>
    <t>Derma Factory Volufiline 5% Ampoule</t>
  </si>
  <si>
    <t>Derma Factory Aquaporin Moisture Cream</t>
  </si>
  <si>
    <t>Derma Factory Bakuchiol 5% Ampoule</t>
  </si>
  <si>
    <t>Derma Factory Retinal 1000ppm Cream</t>
  </si>
  <si>
    <t>Derma Factory Niacin Hyaluron 21% Serum</t>
  </si>
  <si>
    <t>Derma Factory EGF Ampoule 30ml</t>
  </si>
  <si>
    <t>Derma Factory Anti Hair Loss Shampoo</t>
  </si>
  <si>
    <t>Derma Factory Anti Hair Loss Treatment</t>
  </si>
  <si>
    <t>Derma Factory Scalp Hair Tonic</t>
  </si>
  <si>
    <t>Derma Factory Protein Recovery Treatment</t>
  </si>
  <si>
    <t>Derma Factory Peptide Eyelash Ampoule</t>
  </si>
  <si>
    <t>Derma Factory Tranexamic Acid Sheet Mask</t>
  </si>
  <si>
    <t>Derma Factory Niacinamide + Tranexamic Acid 13% Serum</t>
  </si>
  <si>
    <t>Derma Factory Acne Clear Body Wash</t>
  </si>
  <si>
    <t>Derma Factory Red Acne Peel</t>
  </si>
  <si>
    <t>Derma Factory Bakuchiol Spicule Cream</t>
  </si>
  <si>
    <t>Derma Factory Bakuchiol Spicule Max Cream</t>
  </si>
  <si>
    <t>Derma Factory pH Balancing Cleansing Foam</t>
  </si>
  <si>
    <t>Derma Factory Panthenol 1% pH Balancing Cleansing Milk</t>
  </si>
  <si>
    <t>Derma Factory B-Zero Mild Toner</t>
  </si>
  <si>
    <t>Derma Factory B-Zero Milk Essence</t>
  </si>
  <si>
    <t>Derma Factory B-Zero Comfort Cream</t>
  </si>
  <si>
    <t>Derma Factory B-Zero Pure Sun Cream SPF50+ PA++++</t>
  </si>
  <si>
    <t>Derma Factory Vitamin C Ferulic 15% Ampoule</t>
  </si>
  <si>
    <t>Derma Factory Matrixyl 15% + Argireline 2% Serum</t>
  </si>
  <si>
    <t>Derma Factory Retinal Cica Ampoule</t>
  </si>
  <si>
    <t>Derma Factory Jojoba 5% Cleansing Oil</t>
  </si>
  <si>
    <t>Derma Factory Dr. Stem Cell Skin Renewing Double Cream</t>
  </si>
  <si>
    <t>Derma Factory Fresh Aqua Sun Cream SPF50+ PA++++</t>
  </si>
  <si>
    <t>Derma Factory Airy Sun Stick SPF50+ PA++++</t>
  </si>
  <si>
    <t>Derma Factory Retinoid 4000ppm Cream</t>
  </si>
  <si>
    <t>Derma Factory Peptide Facial &amp; Eye Cream 20ml</t>
  </si>
  <si>
    <t>Derma Factory Peptide Facial &amp; Eye Cream 50ml</t>
  </si>
  <si>
    <t>Derma Factory Deep Clean Fresh Shampoo</t>
  </si>
  <si>
    <t>Derma Factory All-in-One 9 Fluid</t>
  </si>
  <si>
    <t>Derma Factory Aquaporin Peeling Gel</t>
  </si>
  <si>
    <t>Derma Factory Cica Spicule Ampoule 3000</t>
  </si>
  <si>
    <t>Derma Factory Cica Spicule Ampoule 8000</t>
  </si>
  <si>
    <t>Derma Factory Deep Clean Fresh Scalp Scaler</t>
  </si>
  <si>
    <t>Derma Factory Niacinamide + Alpha-Arbutin 17% Serum</t>
  </si>
  <si>
    <t>Derma Factory Red Acne Body Wash</t>
  </si>
  <si>
    <t>Derma Factory Cerapanthenol 11% Intensive Ampoule</t>
  </si>
  <si>
    <t>Derma Factory PDRN 4% Ampoule</t>
  </si>
  <si>
    <t>Derma Factory Glow Melting Balm</t>
  </si>
  <si>
    <t>Derma Factory Dr. Stem Cell Skin Renewing Serum</t>
  </si>
  <si>
    <t>Derma Factory Vitamin E Vital Cream</t>
  </si>
  <si>
    <t>PAPACOSMETIC DERMAFACTORY PRICE LIST</t>
    <phoneticPr fontId="2" type="noConversion"/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</si>
  <si>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</si>
  <si>
    <r>
      <t xml:space="preserve">MOA : </t>
    </r>
    <r>
      <rPr>
        <b/>
        <sz val="14"/>
        <color theme="1"/>
        <rFont val="맑은 고딕"/>
        <family val="3"/>
        <charset val="129"/>
      </rPr>
      <t>\2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</si>
</sst>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[$₩-412]* #,##0_-;\-[$₩-412]* #,##0_-;_-[$₩-412]* &quot;-&quot;??_-;_-@_-"/>
    <numFmt numFmtId="177" formatCode="#,##0_ "/>
    <numFmt numFmtId="178" formatCode="_-* #,##0_-;\-* #,##0_-;_-* &quot;-&quot;_-;_-@_-"/>
    <numFmt numFmtId="179" formatCode="&quot;₩&quot;#,##0_);[Red]\(&quot;₩&quot;#,##0\)"/>
    <numFmt numFmtId="180" formatCode="0_);[Red]\(0\)"/>
    <numFmt numFmtId="181" formatCode="_-[$₩-412]* #,##0.00_-;\-[$₩-412]* #,##0.00_-;_-[$₩-412]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178" fontId="7" fillId="4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1" fontId="11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</cellXfs>
  <cellStyles count="2">
    <cellStyle name="20% - Accent6" xfId="1" builtinId="50"/>
    <cellStyle name="Normal" xfId="0" builtinId="0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530"/>
  <sheetViews>
    <sheetView tabSelected="1" zoomScale="85" zoomScaleNormal="85" workbookViewId="0">
      <selection activeCell="I14" sqref="I14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60.625" bestFit="1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1.25" customHeight="1" x14ac:dyDescent="0.3">
      <c r="A1" s="22" t="s">
        <v>244</v>
      </c>
      <c r="B1" s="23"/>
      <c r="C1" s="23"/>
      <c r="D1" s="20" t="s">
        <v>245</v>
      </c>
    </row>
    <row r="4" spans="1:1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8</v>
      </c>
      <c r="D5" s="14" t="s">
        <v>2</v>
      </c>
      <c r="E5" s="16" t="s">
        <v>152</v>
      </c>
      <c r="F5" s="16" t="s">
        <v>153</v>
      </c>
      <c r="G5" s="17" t="s">
        <v>154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SUM(I7:I95)</f>
        <v>0</v>
      </c>
      <c r="J6" s="4">
        <f>SUM(J7:J95)</f>
        <v>0</v>
      </c>
      <c r="K6" s="5">
        <f>SUM(K7:K95)</f>
        <v>0</v>
      </c>
    </row>
    <row r="7" spans="1:11" ht="30" customHeight="1" x14ac:dyDescent="0.3">
      <c r="A7" s="6">
        <v>1</v>
      </c>
      <c r="B7" s="7">
        <v>8809563066797</v>
      </c>
      <c r="C7" s="6" t="s">
        <v>9</v>
      </c>
      <c r="D7" s="8" t="s">
        <v>155</v>
      </c>
      <c r="E7" s="10">
        <v>6000</v>
      </c>
      <c r="F7" s="10">
        <v>2750</v>
      </c>
      <c r="G7" s="19">
        <f>F7/E7</f>
        <v>0.45833333333333331</v>
      </c>
      <c r="H7" s="9">
        <v>60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8809563068067</v>
      </c>
      <c r="C8" s="6" t="s">
        <v>10</v>
      </c>
      <c r="D8" s="8" t="s">
        <v>156</v>
      </c>
      <c r="E8" s="10">
        <v>8000</v>
      </c>
      <c r="F8" s="10">
        <v>3850</v>
      </c>
      <c r="G8" s="19">
        <f t="shared" ref="G8:G71" si="0">F8/E8</f>
        <v>0.48125000000000001</v>
      </c>
      <c r="H8" s="9">
        <v>80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8809563067503</v>
      </c>
      <c r="C9" s="6" t="s">
        <v>11</v>
      </c>
      <c r="D9" s="8" t="s">
        <v>157</v>
      </c>
      <c r="E9" s="10">
        <v>7000</v>
      </c>
      <c r="F9" s="10">
        <v>3400</v>
      </c>
      <c r="G9" s="19">
        <f t="shared" si="0"/>
        <v>0.48571428571428571</v>
      </c>
      <c r="H9" s="9">
        <v>96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8809563068807</v>
      </c>
      <c r="C10" s="6" t="s">
        <v>12</v>
      </c>
      <c r="D10" s="8" t="s">
        <v>158</v>
      </c>
      <c r="E10" s="10">
        <v>5000</v>
      </c>
      <c r="F10" s="10">
        <v>2450</v>
      </c>
      <c r="G10" s="19">
        <f t="shared" si="0"/>
        <v>0.49</v>
      </c>
      <c r="H10" s="9">
        <v>112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8809563068647</v>
      </c>
      <c r="C11" s="6" t="s">
        <v>13</v>
      </c>
      <c r="D11" s="8" t="s">
        <v>159</v>
      </c>
      <c r="E11" s="10">
        <v>12000</v>
      </c>
      <c r="F11" s="10">
        <v>6250</v>
      </c>
      <c r="G11" s="19">
        <f t="shared" si="0"/>
        <v>0.52083333333333337</v>
      </c>
      <c r="H11" s="9">
        <v>28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8809563068654</v>
      </c>
      <c r="C12" s="6" t="s">
        <v>14</v>
      </c>
      <c r="D12" s="8" t="s">
        <v>160</v>
      </c>
      <c r="E12" s="10">
        <v>12000</v>
      </c>
      <c r="F12" s="10">
        <v>6250</v>
      </c>
      <c r="G12" s="19">
        <f t="shared" si="0"/>
        <v>0.52083333333333337</v>
      </c>
      <c r="H12" s="9">
        <v>28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 t="s">
        <v>98</v>
      </c>
      <c r="C13" s="6" t="s">
        <v>15</v>
      </c>
      <c r="D13" s="8" t="s">
        <v>161</v>
      </c>
      <c r="E13" s="10">
        <v>11000</v>
      </c>
      <c r="F13" s="10">
        <v>5500</v>
      </c>
      <c r="G13" s="19">
        <f t="shared" si="0"/>
        <v>0.5</v>
      </c>
      <c r="H13" s="9">
        <v>45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 t="s">
        <v>99</v>
      </c>
      <c r="C14" s="6" t="s">
        <v>16</v>
      </c>
      <c r="D14" s="8" t="s">
        <v>162</v>
      </c>
      <c r="E14" s="10">
        <v>8000</v>
      </c>
      <c r="F14" s="10">
        <v>3900</v>
      </c>
      <c r="G14" s="19">
        <f t="shared" si="0"/>
        <v>0.48749999999999999</v>
      </c>
      <c r="H14" s="9">
        <v>60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8809563066773</v>
      </c>
      <c r="C15" s="6" t="s">
        <v>17</v>
      </c>
      <c r="D15" s="8" t="s">
        <v>163</v>
      </c>
      <c r="E15" s="10">
        <v>9000</v>
      </c>
      <c r="F15" s="10">
        <v>4600.0000000000009</v>
      </c>
      <c r="G15" s="19">
        <f t="shared" si="0"/>
        <v>0.51111111111111118</v>
      </c>
      <c r="H15" s="9">
        <v>96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8809563069408</v>
      </c>
      <c r="C16" s="6" t="s">
        <v>18</v>
      </c>
      <c r="D16" s="8" t="s">
        <v>164</v>
      </c>
      <c r="E16" s="10">
        <v>8000</v>
      </c>
      <c r="F16" s="10">
        <v>4200</v>
      </c>
      <c r="G16" s="19">
        <f t="shared" si="0"/>
        <v>0.52500000000000002</v>
      </c>
      <c r="H16" s="9">
        <v>96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8809563068258</v>
      </c>
      <c r="C17" s="6" t="s">
        <v>19</v>
      </c>
      <c r="D17" s="8" t="s">
        <v>165</v>
      </c>
      <c r="E17" s="10">
        <v>8000</v>
      </c>
      <c r="F17" s="10">
        <v>4100.0000000000009</v>
      </c>
      <c r="G17" s="19">
        <f t="shared" si="0"/>
        <v>0.51250000000000007</v>
      </c>
      <c r="H17" s="9">
        <v>96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8809536067619</v>
      </c>
      <c r="C18" s="6" t="s">
        <v>20</v>
      </c>
      <c r="D18" s="8" t="s">
        <v>166</v>
      </c>
      <c r="E18" s="10">
        <v>12000</v>
      </c>
      <c r="F18" s="10">
        <v>5800</v>
      </c>
      <c r="G18" s="19">
        <f t="shared" si="0"/>
        <v>0.48333333333333334</v>
      </c>
      <c r="H18" s="9">
        <v>42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8809563067008</v>
      </c>
      <c r="C19" s="6" t="s">
        <v>21</v>
      </c>
      <c r="D19" s="8" t="s">
        <v>167</v>
      </c>
      <c r="E19" s="10">
        <v>8000</v>
      </c>
      <c r="F19" s="10">
        <v>4150</v>
      </c>
      <c r="G19" s="19">
        <f t="shared" si="0"/>
        <v>0.51875000000000004</v>
      </c>
      <c r="H19" s="9">
        <v>84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8809563066995</v>
      </c>
      <c r="C20" s="6" t="s">
        <v>22</v>
      </c>
      <c r="D20" s="8" t="s">
        <v>168</v>
      </c>
      <c r="E20" s="10">
        <v>8000</v>
      </c>
      <c r="F20" s="10">
        <v>4050</v>
      </c>
      <c r="G20" s="19">
        <f t="shared" si="0"/>
        <v>0.50624999999999998</v>
      </c>
      <c r="H20" s="9">
        <v>84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8809563069323</v>
      </c>
      <c r="C21" s="6" t="s">
        <v>23</v>
      </c>
      <c r="D21" s="8" t="s">
        <v>169</v>
      </c>
      <c r="E21" s="10">
        <v>18000</v>
      </c>
      <c r="F21" s="10">
        <v>10250.000000000002</v>
      </c>
      <c r="G21" s="19">
        <f t="shared" si="0"/>
        <v>0.56944444444444453</v>
      </c>
      <c r="H21" s="9">
        <v>84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 t="s">
        <v>100</v>
      </c>
      <c r="C22" s="6" t="s">
        <v>24</v>
      </c>
      <c r="D22" s="8" t="s">
        <v>170</v>
      </c>
      <c r="E22" s="10">
        <v>9000</v>
      </c>
      <c r="F22" s="10">
        <v>4450</v>
      </c>
      <c r="G22" s="19">
        <f t="shared" si="0"/>
        <v>0.49444444444444446</v>
      </c>
      <c r="H22" s="9">
        <v>80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8809563069712</v>
      </c>
      <c r="C23" s="6" t="s">
        <v>25</v>
      </c>
      <c r="D23" s="8" t="s">
        <v>171</v>
      </c>
      <c r="E23" s="10">
        <v>9000</v>
      </c>
      <c r="F23" s="10">
        <v>4450</v>
      </c>
      <c r="G23" s="19">
        <f t="shared" si="0"/>
        <v>0.49444444444444446</v>
      </c>
      <c r="H23" s="9">
        <v>80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8809563068081</v>
      </c>
      <c r="C24" s="6" t="s">
        <v>26</v>
      </c>
      <c r="D24" s="8" t="s">
        <v>172</v>
      </c>
      <c r="E24" s="10">
        <v>10000</v>
      </c>
      <c r="F24" s="10">
        <v>5000</v>
      </c>
      <c r="G24" s="19">
        <f t="shared" si="0"/>
        <v>0.5</v>
      </c>
      <c r="H24" s="9">
        <v>80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8809563069842</v>
      </c>
      <c r="C25" s="6" t="s">
        <v>27</v>
      </c>
      <c r="D25" s="8" t="s">
        <v>173</v>
      </c>
      <c r="E25" s="10">
        <v>9000</v>
      </c>
      <c r="F25" s="10">
        <v>4450</v>
      </c>
      <c r="G25" s="19">
        <f t="shared" si="0"/>
        <v>0.49444444444444446</v>
      </c>
      <c r="H25" s="9">
        <v>80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 t="s">
        <v>101</v>
      </c>
      <c r="C26" s="6" t="s">
        <v>28</v>
      </c>
      <c r="D26" s="8" t="s">
        <v>174</v>
      </c>
      <c r="E26" s="10">
        <v>4000</v>
      </c>
      <c r="F26" s="10">
        <v>1950</v>
      </c>
      <c r="G26" s="19">
        <f t="shared" si="0"/>
        <v>0.48749999999999999</v>
      </c>
      <c r="H26" s="9">
        <v>240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 t="s">
        <v>102</v>
      </c>
      <c r="C27" s="6" t="s">
        <v>29</v>
      </c>
      <c r="D27" s="8" t="s">
        <v>175</v>
      </c>
      <c r="E27" s="10">
        <v>4000</v>
      </c>
      <c r="F27" s="10">
        <v>1950</v>
      </c>
      <c r="G27" s="19">
        <f t="shared" si="0"/>
        <v>0.48749999999999999</v>
      </c>
      <c r="H27" s="9">
        <v>240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 t="s">
        <v>103</v>
      </c>
      <c r="C28" s="6" t="s">
        <v>30</v>
      </c>
      <c r="D28" s="8" t="s">
        <v>176</v>
      </c>
      <c r="E28" s="10">
        <v>5000</v>
      </c>
      <c r="F28" s="10">
        <v>2500</v>
      </c>
      <c r="G28" s="19">
        <f t="shared" si="0"/>
        <v>0.5</v>
      </c>
      <c r="H28" s="9">
        <v>240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 t="s">
        <v>104</v>
      </c>
      <c r="C29" s="6" t="s">
        <v>31</v>
      </c>
      <c r="D29" s="8" t="s">
        <v>177</v>
      </c>
      <c r="E29" s="10">
        <v>9000</v>
      </c>
      <c r="F29" s="10">
        <v>4750</v>
      </c>
      <c r="G29" s="19">
        <f t="shared" si="0"/>
        <v>0.52777777777777779</v>
      </c>
      <c r="H29" s="9">
        <v>240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 t="s">
        <v>105</v>
      </c>
      <c r="C30" s="6" t="s">
        <v>32</v>
      </c>
      <c r="D30" s="8" t="s">
        <v>178</v>
      </c>
      <c r="E30" s="10">
        <v>9000</v>
      </c>
      <c r="F30" s="10">
        <v>4400</v>
      </c>
      <c r="G30" s="19">
        <f t="shared" si="0"/>
        <v>0.48888888888888887</v>
      </c>
      <c r="H30" s="9">
        <v>96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 t="s">
        <v>106</v>
      </c>
      <c r="C31" s="6" t="s">
        <v>33</v>
      </c>
      <c r="D31" s="8" t="s">
        <v>179</v>
      </c>
      <c r="E31" s="10">
        <v>9000</v>
      </c>
      <c r="F31" s="10">
        <v>4550</v>
      </c>
      <c r="G31" s="19">
        <f t="shared" si="0"/>
        <v>0.50555555555555554</v>
      </c>
      <c r="H31" s="9">
        <v>170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 t="s">
        <v>107</v>
      </c>
      <c r="C32" s="6" t="s">
        <v>34</v>
      </c>
      <c r="D32" s="8" t="s">
        <v>180</v>
      </c>
      <c r="E32" s="10">
        <v>9000</v>
      </c>
      <c r="F32" s="10">
        <v>4900.0000000000009</v>
      </c>
      <c r="G32" s="19">
        <f t="shared" si="0"/>
        <v>0.54444444444444451</v>
      </c>
      <c r="H32" s="9">
        <v>80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 t="s">
        <v>108</v>
      </c>
      <c r="C33" s="6" t="s">
        <v>35</v>
      </c>
      <c r="D33" s="8" t="s">
        <v>181</v>
      </c>
      <c r="E33" s="10">
        <v>9000</v>
      </c>
      <c r="F33" s="10">
        <v>4650.0000000000009</v>
      </c>
      <c r="G33" s="19">
        <f t="shared" si="0"/>
        <v>0.51666666666666672</v>
      </c>
      <c r="H33" s="9">
        <v>77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 t="s">
        <v>109</v>
      </c>
      <c r="C34" s="6" t="s">
        <v>36</v>
      </c>
      <c r="D34" s="8" t="s">
        <v>182</v>
      </c>
      <c r="E34" s="10">
        <v>9000</v>
      </c>
      <c r="F34" s="10">
        <v>4750</v>
      </c>
      <c r="G34" s="19">
        <f t="shared" si="0"/>
        <v>0.52777777777777779</v>
      </c>
      <c r="H34" s="9">
        <v>77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 t="s">
        <v>110</v>
      </c>
      <c r="C35" s="6" t="s">
        <v>37</v>
      </c>
      <c r="D35" s="8" t="s">
        <v>183</v>
      </c>
      <c r="E35" s="10">
        <v>9000</v>
      </c>
      <c r="F35" s="10">
        <v>4350</v>
      </c>
      <c r="G35" s="19">
        <f t="shared" si="0"/>
        <v>0.48333333333333334</v>
      </c>
      <c r="H35" s="9">
        <v>60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 t="s">
        <v>111</v>
      </c>
      <c r="C36" s="6" t="s">
        <v>38</v>
      </c>
      <c r="D36" s="8" t="s">
        <v>184</v>
      </c>
      <c r="E36" s="10">
        <v>9000</v>
      </c>
      <c r="F36" s="10">
        <v>4650.0000000000009</v>
      </c>
      <c r="G36" s="19">
        <f t="shared" si="0"/>
        <v>0.51666666666666672</v>
      </c>
      <c r="H36" s="9">
        <v>60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/>
      <c r="C37" s="6" t="s">
        <v>39</v>
      </c>
      <c r="D37" s="8" t="s">
        <v>185</v>
      </c>
      <c r="E37" s="10">
        <v>6000</v>
      </c>
      <c r="F37" s="10">
        <v>2900</v>
      </c>
      <c r="G37" s="19">
        <f t="shared" si="0"/>
        <v>0.48333333333333334</v>
      </c>
      <c r="H37" s="9">
        <v>54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 t="s">
        <v>112</v>
      </c>
      <c r="C38" s="6" t="s">
        <v>40</v>
      </c>
      <c r="D38" s="8" t="s">
        <v>186</v>
      </c>
      <c r="E38" s="10">
        <v>8000</v>
      </c>
      <c r="F38" s="10">
        <v>4200</v>
      </c>
      <c r="G38" s="19">
        <f t="shared" si="0"/>
        <v>0.52500000000000002</v>
      </c>
      <c r="H38" s="9">
        <v>54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/>
      <c r="C39" s="6" t="s">
        <v>41</v>
      </c>
      <c r="D39" s="8" t="s">
        <v>187</v>
      </c>
      <c r="E39" s="10">
        <v>6000</v>
      </c>
      <c r="F39" s="10">
        <v>2950</v>
      </c>
      <c r="G39" s="19">
        <f t="shared" si="0"/>
        <v>0.49166666666666664</v>
      </c>
      <c r="H39" s="9">
        <v>56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 t="s">
        <v>113</v>
      </c>
      <c r="C40" s="6" t="s">
        <v>42</v>
      </c>
      <c r="D40" s="8" t="s">
        <v>188</v>
      </c>
      <c r="E40" s="10">
        <v>5500</v>
      </c>
      <c r="F40" s="10">
        <v>2875</v>
      </c>
      <c r="G40" s="19">
        <f t="shared" si="0"/>
        <v>0.52272727272727271</v>
      </c>
      <c r="H40" s="9">
        <v>96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 t="s">
        <v>114</v>
      </c>
      <c r="C41" s="6" t="s">
        <v>43</v>
      </c>
      <c r="D41" s="8" t="s">
        <v>189</v>
      </c>
      <c r="E41" s="10">
        <v>5500</v>
      </c>
      <c r="F41" s="10">
        <v>2875</v>
      </c>
      <c r="G41" s="19">
        <f t="shared" si="0"/>
        <v>0.52272727272727271</v>
      </c>
      <c r="H41" s="9">
        <v>96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 t="s">
        <v>115</v>
      </c>
      <c r="C42" s="6" t="s">
        <v>44</v>
      </c>
      <c r="D42" s="8" t="s">
        <v>190</v>
      </c>
      <c r="E42" s="10">
        <v>5500</v>
      </c>
      <c r="F42" s="10">
        <v>2875</v>
      </c>
      <c r="G42" s="19">
        <f t="shared" si="0"/>
        <v>0.52272727272727271</v>
      </c>
      <c r="H42" s="9">
        <v>96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 t="s">
        <v>116</v>
      </c>
      <c r="C43" s="6" t="s">
        <v>45</v>
      </c>
      <c r="D43" s="8" t="s">
        <v>191</v>
      </c>
      <c r="E43" s="10">
        <v>8000</v>
      </c>
      <c r="F43" s="10">
        <v>4000</v>
      </c>
      <c r="G43" s="19">
        <f t="shared" si="0"/>
        <v>0.5</v>
      </c>
      <c r="H43" s="9">
        <v>112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 t="s">
        <v>117</v>
      </c>
      <c r="C44" s="6" t="s">
        <v>46</v>
      </c>
      <c r="D44" s="8" t="s">
        <v>192</v>
      </c>
      <c r="E44" s="10">
        <v>8000</v>
      </c>
      <c r="F44" s="10">
        <v>4000</v>
      </c>
      <c r="G44" s="19">
        <f t="shared" si="0"/>
        <v>0.5</v>
      </c>
      <c r="H44" s="9">
        <v>112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 t="s">
        <v>118</v>
      </c>
      <c r="C45" s="6" t="s">
        <v>47</v>
      </c>
      <c r="D45" s="8" t="s">
        <v>193</v>
      </c>
      <c r="E45" s="10">
        <v>8000</v>
      </c>
      <c r="F45" s="10">
        <v>4000</v>
      </c>
      <c r="G45" s="19">
        <f t="shared" si="0"/>
        <v>0.5</v>
      </c>
      <c r="H45" s="9">
        <v>1112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 t="s">
        <v>119</v>
      </c>
      <c r="C46" s="6" t="s">
        <v>48</v>
      </c>
      <c r="D46" s="8" t="s">
        <v>194</v>
      </c>
      <c r="E46" s="10">
        <v>14000</v>
      </c>
      <c r="F46" s="10">
        <v>7350</v>
      </c>
      <c r="G46" s="19">
        <f t="shared" si="0"/>
        <v>0.52500000000000002</v>
      </c>
      <c r="H46" s="9">
        <v>64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8809563069637</v>
      </c>
      <c r="C47" s="6" t="s">
        <v>49</v>
      </c>
      <c r="D47" s="8" t="s">
        <v>195</v>
      </c>
      <c r="E47" s="10">
        <v>9000</v>
      </c>
      <c r="F47" s="10">
        <v>4450</v>
      </c>
      <c r="G47" s="19">
        <f t="shared" si="0"/>
        <v>0.49444444444444446</v>
      </c>
      <c r="H47" s="9">
        <v>112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 t="s">
        <v>120</v>
      </c>
      <c r="C48" s="6" t="s">
        <v>50</v>
      </c>
      <c r="D48" s="8" t="s">
        <v>196</v>
      </c>
      <c r="E48" s="10">
        <v>13000</v>
      </c>
      <c r="F48" s="10">
        <v>6500</v>
      </c>
      <c r="G48" s="19">
        <f t="shared" si="0"/>
        <v>0.5</v>
      </c>
      <c r="H48" s="9">
        <v>56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8809563067923</v>
      </c>
      <c r="C49" s="6" t="s">
        <v>51</v>
      </c>
      <c r="D49" s="8" t="s">
        <v>197</v>
      </c>
      <c r="E49" s="10">
        <v>8000</v>
      </c>
      <c r="F49" s="10">
        <v>5500</v>
      </c>
      <c r="G49" s="19">
        <f t="shared" si="0"/>
        <v>0.6875</v>
      </c>
      <c r="H49" s="9">
        <v>117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8809331313573</v>
      </c>
      <c r="C50" s="6" t="s">
        <v>52</v>
      </c>
      <c r="D50" s="8" t="s">
        <v>198</v>
      </c>
      <c r="E50" s="10">
        <v>9000</v>
      </c>
      <c r="F50" s="10">
        <v>4600.0000000000009</v>
      </c>
      <c r="G50" s="19">
        <f t="shared" si="0"/>
        <v>0.51111111111111118</v>
      </c>
      <c r="H50" s="9">
        <v>60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8809331313160</v>
      </c>
      <c r="C51" s="6" t="s">
        <v>53</v>
      </c>
      <c r="D51" s="8" t="s">
        <v>199</v>
      </c>
      <c r="E51" s="10">
        <v>7000</v>
      </c>
      <c r="F51" s="10">
        <v>3250</v>
      </c>
      <c r="G51" s="19">
        <f t="shared" si="0"/>
        <v>0.4642857142857143</v>
      </c>
      <c r="H51" s="9">
        <v>84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8809563069736</v>
      </c>
      <c r="C52" s="6" t="s">
        <v>54</v>
      </c>
      <c r="D52" s="8" t="s">
        <v>200</v>
      </c>
      <c r="E52" s="10">
        <v>15000</v>
      </c>
      <c r="F52" s="10">
        <v>7200</v>
      </c>
      <c r="G52" s="19">
        <f t="shared" si="0"/>
        <v>0.48</v>
      </c>
      <c r="H52" s="9">
        <v>170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8809563067497</v>
      </c>
      <c r="C53" s="6" t="s">
        <v>55</v>
      </c>
      <c r="D53" s="8" t="s">
        <v>201</v>
      </c>
      <c r="E53" s="10">
        <v>15000</v>
      </c>
      <c r="F53" s="10">
        <v>8150</v>
      </c>
      <c r="G53" s="19">
        <f t="shared" si="0"/>
        <v>0.54333333333333333</v>
      </c>
      <c r="H53" s="9">
        <v>96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8809563068463</v>
      </c>
      <c r="C54" s="6" t="s">
        <v>56</v>
      </c>
      <c r="D54" s="8" t="s">
        <v>202</v>
      </c>
      <c r="E54" s="10">
        <v>15000</v>
      </c>
      <c r="F54" s="10">
        <v>7250</v>
      </c>
      <c r="G54" s="19">
        <f t="shared" si="0"/>
        <v>0.48333333333333334</v>
      </c>
      <c r="H54" s="9">
        <v>45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 t="s">
        <v>121</v>
      </c>
      <c r="C55" s="6" t="s">
        <v>57</v>
      </c>
      <c r="D55" s="8" t="s">
        <v>203</v>
      </c>
      <c r="E55" s="10">
        <v>46000</v>
      </c>
      <c r="F55" s="10">
        <v>23800</v>
      </c>
      <c r="G55" s="19">
        <f t="shared" si="0"/>
        <v>0.5173913043478261</v>
      </c>
      <c r="H55" s="9">
        <v>84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8809563069446</v>
      </c>
      <c r="C56" s="6" t="s">
        <v>58</v>
      </c>
      <c r="D56" s="8" t="s">
        <v>204</v>
      </c>
      <c r="E56" s="10">
        <v>12000</v>
      </c>
      <c r="F56" s="10">
        <v>6100</v>
      </c>
      <c r="G56" s="19">
        <f t="shared" si="0"/>
        <v>0.5083333333333333</v>
      </c>
      <c r="H56" s="9">
        <v>28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8809563069507</v>
      </c>
      <c r="C57" s="6" t="s">
        <v>59</v>
      </c>
      <c r="D57" s="8" t="s">
        <v>205</v>
      </c>
      <c r="E57" s="10">
        <v>9000</v>
      </c>
      <c r="F57" s="10">
        <v>4400</v>
      </c>
      <c r="G57" s="19">
        <f t="shared" si="0"/>
        <v>0.48888888888888887</v>
      </c>
      <c r="H57" s="9">
        <v>56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 t="s">
        <v>122</v>
      </c>
      <c r="C58" s="6" t="s">
        <v>60</v>
      </c>
      <c r="D58" s="8" t="s">
        <v>206</v>
      </c>
      <c r="E58" s="10">
        <v>7000</v>
      </c>
      <c r="F58" s="10">
        <v>3600.0000000000005</v>
      </c>
      <c r="G58" s="19">
        <f t="shared" si="0"/>
        <v>0.51428571428571435</v>
      </c>
      <c r="H58" s="9">
        <v>40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 t="s">
        <v>123</v>
      </c>
      <c r="C59" s="6" t="s">
        <v>61</v>
      </c>
      <c r="D59" s="8" t="s">
        <v>207</v>
      </c>
      <c r="E59" s="10">
        <v>6000</v>
      </c>
      <c r="F59" s="10">
        <v>3250</v>
      </c>
      <c r="G59" s="19">
        <f t="shared" si="0"/>
        <v>0.54166666666666663</v>
      </c>
      <c r="H59" s="9">
        <v>70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 t="s">
        <v>124</v>
      </c>
      <c r="C60" s="6" t="s">
        <v>62</v>
      </c>
      <c r="D60" s="8" t="s">
        <v>208</v>
      </c>
      <c r="E60" s="10">
        <v>7000</v>
      </c>
      <c r="F60" s="10">
        <v>4300</v>
      </c>
      <c r="G60" s="19">
        <f t="shared" si="0"/>
        <v>0.61428571428571432</v>
      </c>
      <c r="H60" s="9">
        <v>144</v>
      </c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 t="s">
        <v>125</v>
      </c>
      <c r="C61" s="6" t="s">
        <v>63</v>
      </c>
      <c r="D61" s="8" t="s">
        <v>209</v>
      </c>
      <c r="E61" s="10">
        <v>1500</v>
      </c>
      <c r="F61" s="10">
        <v>795</v>
      </c>
      <c r="G61" s="19">
        <f t="shared" si="0"/>
        <v>0.53</v>
      </c>
      <c r="H61" s="9">
        <v>300</v>
      </c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8809331313252</v>
      </c>
      <c r="C62" s="6" t="s">
        <v>64</v>
      </c>
      <c r="D62" s="8" t="s">
        <v>210</v>
      </c>
      <c r="E62" s="10">
        <v>8000</v>
      </c>
      <c r="F62" s="10">
        <v>4000</v>
      </c>
      <c r="G62" s="19">
        <f t="shared" si="0"/>
        <v>0.5</v>
      </c>
      <c r="H62" s="9">
        <v>60</v>
      </c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 t="s">
        <v>126</v>
      </c>
      <c r="C63" s="6" t="s">
        <v>65</v>
      </c>
      <c r="D63" s="8" t="s">
        <v>211</v>
      </c>
      <c r="E63" s="10">
        <v>14000</v>
      </c>
      <c r="F63" s="10">
        <v>7250.0000000000009</v>
      </c>
      <c r="G63" s="19">
        <f t="shared" si="0"/>
        <v>0.5178571428571429</v>
      </c>
      <c r="H63" s="9">
        <v>24</v>
      </c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8809331313375</v>
      </c>
      <c r="C64" s="6" t="s">
        <v>66</v>
      </c>
      <c r="D64" s="8" t="s">
        <v>212</v>
      </c>
      <c r="E64" s="10">
        <v>8000</v>
      </c>
      <c r="F64" s="10">
        <v>3300</v>
      </c>
      <c r="G64" s="19">
        <f t="shared" si="0"/>
        <v>0.41249999999999998</v>
      </c>
      <c r="H64" s="9">
        <v>60</v>
      </c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8809331313818</v>
      </c>
      <c r="C65" s="6" t="s">
        <v>67</v>
      </c>
      <c r="D65" s="8" t="s">
        <v>213</v>
      </c>
      <c r="E65" s="10">
        <v>9000</v>
      </c>
      <c r="F65" s="10">
        <v>4650.0000000000009</v>
      </c>
      <c r="G65" s="19">
        <f t="shared" si="0"/>
        <v>0.51666666666666672</v>
      </c>
      <c r="H65" s="9">
        <v>96</v>
      </c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 t="s">
        <v>127</v>
      </c>
      <c r="C66" s="6" t="s">
        <v>68</v>
      </c>
      <c r="D66" s="8" t="s">
        <v>214</v>
      </c>
      <c r="E66" s="10">
        <v>14000</v>
      </c>
      <c r="F66" s="10">
        <v>7200.0000000000009</v>
      </c>
      <c r="G66" s="19">
        <f t="shared" si="0"/>
        <v>0.51428571428571435</v>
      </c>
      <c r="H66" s="9">
        <v>96</v>
      </c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 t="s">
        <v>128</v>
      </c>
      <c r="C67" s="6" t="s">
        <v>69</v>
      </c>
      <c r="D67" s="8" t="s">
        <v>215</v>
      </c>
      <c r="E67" s="10">
        <v>8000</v>
      </c>
      <c r="F67" s="10">
        <v>4050</v>
      </c>
      <c r="G67" s="19">
        <f t="shared" si="0"/>
        <v>0.50624999999999998</v>
      </c>
      <c r="H67" s="9">
        <v>56</v>
      </c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 t="s">
        <v>129</v>
      </c>
      <c r="C68" s="6" t="s">
        <v>70</v>
      </c>
      <c r="D68" s="8" t="s">
        <v>216</v>
      </c>
      <c r="E68" s="10">
        <v>9000</v>
      </c>
      <c r="F68" s="10">
        <v>4600.0000000000009</v>
      </c>
      <c r="G68" s="19">
        <f t="shared" si="0"/>
        <v>0.51111111111111118</v>
      </c>
      <c r="H68" s="9">
        <v>56</v>
      </c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 t="s">
        <v>130</v>
      </c>
      <c r="C69" s="6" t="s">
        <v>71</v>
      </c>
      <c r="D69" s="8" t="s">
        <v>217</v>
      </c>
      <c r="E69" s="10">
        <v>6800</v>
      </c>
      <c r="F69" s="10">
        <v>3640</v>
      </c>
      <c r="G69" s="19">
        <f t="shared" si="0"/>
        <v>0.53529411764705881</v>
      </c>
      <c r="H69" s="9">
        <v>55</v>
      </c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 t="s">
        <v>131</v>
      </c>
      <c r="C70" s="6" t="s">
        <v>72</v>
      </c>
      <c r="D70" s="8" t="s">
        <v>218</v>
      </c>
      <c r="E70" s="10">
        <v>7800</v>
      </c>
      <c r="F70" s="10">
        <v>4090</v>
      </c>
      <c r="G70" s="19">
        <f t="shared" si="0"/>
        <v>0.52435897435897438</v>
      </c>
      <c r="H70" s="9">
        <v>78</v>
      </c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 t="s">
        <v>132</v>
      </c>
      <c r="C71" s="6" t="s">
        <v>73</v>
      </c>
      <c r="D71" s="8" t="s">
        <v>219</v>
      </c>
      <c r="E71" s="10">
        <v>7800</v>
      </c>
      <c r="F71" s="10">
        <v>4090</v>
      </c>
      <c r="G71" s="19">
        <f t="shared" si="0"/>
        <v>0.52435897435897438</v>
      </c>
      <c r="H71" s="9">
        <v>56</v>
      </c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 t="s">
        <v>133</v>
      </c>
      <c r="C72" s="6" t="s">
        <v>74</v>
      </c>
      <c r="D72" s="8" t="s">
        <v>220</v>
      </c>
      <c r="E72" s="10">
        <v>7800</v>
      </c>
      <c r="F72" s="10">
        <v>4090</v>
      </c>
      <c r="G72" s="19">
        <f t="shared" ref="G72:G95" si="3">F72/E72</f>
        <v>0.52435897435897438</v>
      </c>
      <c r="H72" s="9">
        <v>56</v>
      </c>
      <c r="I72" s="11"/>
      <c r="J72" s="12">
        <f t="shared" ref="J72:J95" si="4">I72*H72</f>
        <v>0</v>
      </c>
      <c r="K72" s="13">
        <f t="shared" ref="K72:K95" si="5">IF($F72&gt;0,$J72*$F72,"")</f>
        <v>0</v>
      </c>
    </row>
    <row r="73" spans="1:11" ht="30" customHeight="1" x14ac:dyDescent="0.3">
      <c r="A73" s="6">
        <v>67</v>
      </c>
      <c r="B73" s="7" t="s">
        <v>134</v>
      </c>
      <c r="C73" s="6" t="s">
        <v>75</v>
      </c>
      <c r="D73" s="8" t="s">
        <v>221</v>
      </c>
      <c r="E73" s="10">
        <v>10000</v>
      </c>
      <c r="F73" s="10">
        <v>5350</v>
      </c>
      <c r="G73" s="19">
        <f t="shared" si="3"/>
        <v>0.53500000000000003</v>
      </c>
      <c r="H73" s="9">
        <v>44</v>
      </c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 t="s">
        <v>135</v>
      </c>
      <c r="C74" s="6" t="s">
        <v>76</v>
      </c>
      <c r="D74" s="8" t="s">
        <v>222</v>
      </c>
      <c r="E74" s="10">
        <v>15000</v>
      </c>
      <c r="F74" s="10">
        <v>7600.0000000000009</v>
      </c>
      <c r="G74" s="19">
        <f t="shared" si="3"/>
        <v>0.50666666666666671</v>
      </c>
      <c r="H74" s="9">
        <v>60</v>
      </c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 t="s">
        <v>136</v>
      </c>
      <c r="C75" s="6" t="s">
        <v>77</v>
      </c>
      <c r="D75" s="8" t="s">
        <v>223</v>
      </c>
      <c r="E75" s="10">
        <v>9000</v>
      </c>
      <c r="F75" s="10">
        <v>4650.0000000000009</v>
      </c>
      <c r="G75" s="19">
        <f t="shared" si="3"/>
        <v>0.51666666666666672</v>
      </c>
      <c r="H75" s="9">
        <v>170</v>
      </c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 t="s">
        <v>137</v>
      </c>
      <c r="C76" s="6" t="s">
        <v>78</v>
      </c>
      <c r="D76" s="8" t="s">
        <v>224</v>
      </c>
      <c r="E76" s="10">
        <v>9000</v>
      </c>
      <c r="F76" s="10">
        <v>4650.0000000000009</v>
      </c>
      <c r="G76" s="19">
        <f t="shared" si="3"/>
        <v>0.51666666666666672</v>
      </c>
      <c r="H76" s="9">
        <v>77</v>
      </c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 t="s">
        <v>138</v>
      </c>
      <c r="C77" s="6" t="s">
        <v>79</v>
      </c>
      <c r="D77" s="8" t="s">
        <v>225</v>
      </c>
      <c r="E77" s="10">
        <v>38000</v>
      </c>
      <c r="F77" s="10">
        <v>15450</v>
      </c>
      <c r="G77" s="19">
        <f t="shared" si="3"/>
        <v>0.40657894736842104</v>
      </c>
      <c r="H77" s="9">
        <v>50</v>
      </c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 t="s">
        <v>139</v>
      </c>
      <c r="C78" s="6" t="s">
        <v>80</v>
      </c>
      <c r="D78" s="8" t="s">
        <v>226</v>
      </c>
      <c r="E78" s="10">
        <v>8000</v>
      </c>
      <c r="F78" s="10">
        <v>4350.0000000000009</v>
      </c>
      <c r="G78" s="19">
        <f t="shared" si="3"/>
        <v>0.54375000000000007</v>
      </c>
      <c r="H78" s="9">
        <v>112</v>
      </c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 t="s">
        <v>140</v>
      </c>
      <c r="C79" s="6" t="s">
        <v>81</v>
      </c>
      <c r="D79" s="8" t="s">
        <v>227</v>
      </c>
      <c r="E79" s="10">
        <v>10000</v>
      </c>
      <c r="F79" s="10">
        <v>5250</v>
      </c>
      <c r="G79" s="19">
        <f t="shared" si="3"/>
        <v>0.52500000000000002</v>
      </c>
      <c r="H79" s="9">
        <v>129</v>
      </c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 t="s">
        <v>141</v>
      </c>
      <c r="C80" s="6" t="s">
        <v>82</v>
      </c>
      <c r="D80" s="8" t="s">
        <v>228</v>
      </c>
      <c r="E80" s="10">
        <v>20000</v>
      </c>
      <c r="F80" s="10">
        <v>10500</v>
      </c>
      <c r="G80" s="19">
        <f t="shared" si="3"/>
        <v>0.52500000000000002</v>
      </c>
      <c r="H80" s="9">
        <v>96</v>
      </c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 t="s">
        <v>142</v>
      </c>
      <c r="C81" s="6" t="s">
        <v>83</v>
      </c>
      <c r="D81" s="8" t="s">
        <v>229</v>
      </c>
      <c r="E81" s="10">
        <v>9000</v>
      </c>
      <c r="F81" s="10">
        <v>4650.0000000000009</v>
      </c>
      <c r="G81" s="19">
        <f t="shared" si="3"/>
        <v>0.51666666666666672</v>
      </c>
      <c r="H81" s="9">
        <v>209</v>
      </c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 t="s">
        <v>143</v>
      </c>
      <c r="C82" s="6" t="s">
        <v>84</v>
      </c>
      <c r="D82" s="8" t="s">
        <v>230</v>
      </c>
      <c r="E82" s="10">
        <v>16000</v>
      </c>
      <c r="F82" s="10">
        <v>8450.0000000000018</v>
      </c>
      <c r="G82" s="19">
        <f t="shared" si="3"/>
        <v>0.52812500000000007</v>
      </c>
      <c r="H82" s="9">
        <v>112</v>
      </c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 t="s">
        <v>144</v>
      </c>
      <c r="C83" s="6" t="s">
        <v>85</v>
      </c>
      <c r="D83" s="8" t="s">
        <v>231</v>
      </c>
      <c r="E83" s="10">
        <v>13000</v>
      </c>
      <c r="F83" s="10">
        <v>6800</v>
      </c>
      <c r="G83" s="19">
        <f t="shared" si="3"/>
        <v>0.52307692307692311</v>
      </c>
      <c r="H83" s="9">
        <v>28</v>
      </c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 t="s">
        <v>145</v>
      </c>
      <c r="C84" s="6" t="s">
        <v>86</v>
      </c>
      <c r="D84" s="8" t="s">
        <v>232</v>
      </c>
      <c r="E84" s="10">
        <v>16000</v>
      </c>
      <c r="F84" s="10">
        <v>8300</v>
      </c>
      <c r="G84" s="19">
        <f t="shared" si="3"/>
        <v>0.51875000000000004</v>
      </c>
      <c r="H84" s="9">
        <v>65</v>
      </c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 t="s">
        <v>146</v>
      </c>
      <c r="C85" s="6" t="s">
        <v>87</v>
      </c>
      <c r="D85" s="8" t="s">
        <v>233</v>
      </c>
      <c r="E85" s="10">
        <v>5500</v>
      </c>
      <c r="F85" s="10">
        <v>2975</v>
      </c>
      <c r="G85" s="19">
        <f t="shared" si="3"/>
        <v>0.54090909090909089</v>
      </c>
      <c r="H85" s="9">
        <v>56</v>
      </c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 t="s">
        <v>147</v>
      </c>
      <c r="C86" s="6" t="s">
        <v>88</v>
      </c>
      <c r="D86" s="8" t="s">
        <v>234</v>
      </c>
      <c r="E86" s="10">
        <v>10000</v>
      </c>
      <c r="F86" s="10">
        <v>5000</v>
      </c>
      <c r="G86" s="19">
        <f t="shared" si="3"/>
        <v>0.5</v>
      </c>
      <c r="H86" s="9">
        <v>170</v>
      </c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 t="s">
        <v>148</v>
      </c>
      <c r="C87" s="6" t="s">
        <v>89</v>
      </c>
      <c r="D87" s="8" t="s">
        <v>235</v>
      </c>
      <c r="E87" s="10">
        <v>12000</v>
      </c>
      <c r="F87" s="10">
        <v>6100</v>
      </c>
      <c r="G87" s="19">
        <f t="shared" si="3"/>
        <v>0.5083333333333333</v>
      </c>
      <c r="H87" s="9">
        <v>170</v>
      </c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8809331318981</v>
      </c>
      <c r="C88" s="6" t="s">
        <v>90</v>
      </c>
      <c r="D88" s="8" t="s">
        <v>236</v>
      </c>
      <c r="E88" s="10">
        <v>10000</v>
      </c>
      <c r="F88" s="10">
        <v>5200</v>
      </c>
      <c r="G88" s="19">
        <f t="shared" si="3"/>
        <v>0.52</v>
      </c>
      <c r="H88" s="9">
        <v>45</v>
      </c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8809331319193</v>
      </c>
      <c r="C89" s="6" t="s">
        <v>91</v>
      </c>
      <c r="D89" s="8" t="s">
        <v>237</v>
      </c>
      <c r="E89" s="10">
        <v>9000</v>
      </c>
      <c r="F89" s="10">
        <v>4650.0000000000009</v>
      </c>
      <c r="G89" s="19">
        <f t="shared" si="3"/>
        <v>0.51666666666666672</v>
      </c>
      <c r="H89" s="9">
        <v>60</v>
      </c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8809331319377</v>
      </c>
      <c r="C90" s="6" t="s">
        <v>92</v>
      </c>
      <c r="D90" s="8" t="s">
        <v>238</v>
      </c>
      <c r="E90" s="10">
        <v>9000</v>
      </c>
      <c r="F90" s="10">
        <v>4650.0000000000009</v>
      </c>
      <c r="G90" s="19">
        <f t="shared" si="3"/>
        <v>0.51666666666666672</v>
      </c>
      <c r="H90" s="9">
        <v>28</v>
      </c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809331319131</v>
      </c>
      <c r="C91" s="6" t="s">
        <v>93</v>
      </c>
      <c r="D91" s="8" t="s">
        <v>239</v>
      </c>
      <c r="E91" s="10">
        <v>8000</v>
      </c>
      <c r="F91" s="10">
        <v>4200</v>
      </c>
      <c r="G91" s="19">
        <f t="shared" si="3"/>
        <v>0.52500000000000002</v>
      </c>
      <c r="H91" s="9">
        <v>170</v>
      </c>
      <c r="I91" s="11"/>
      <c r="J91" s="12">
        <f t="shared" si="4"/>
        <v>0</v>
      </c>
      <c r="K91" s="13">
        <f t="shared" si="5"/>
        <v>0</v>
      </c>
    </row>
    <row r="92" spans="1:11" ht="30" customHeight="1" x14ac:dyDescent="0.3">
      <c r="A92" s="6">
        <v>86</v>
      </c>
      <c r="B92" s="7">
        <v>8809331319360</v>
      </c>
      <c r="C92" s="6" t="s">
        <v>94</v>
      </c>
      <c r="D92" s="8" t="s">
        <v>240</v>
      </c>
      <c r="E92" s="10">
        <v>12000</v>
      </c>
      <c r="F92" s="10">
        <v>6250</v>
      </c>
      <c r="G92" s="19">
        <f t="shared" si="3"/>
        <v>0.52083333333333337</v>
      </c>
      <c r="H92" s="9">
        <v>90</v>
      </c>
      <c r="I92" s="11"/>
      <c r="J92" s="12">
        <f t="shared" si="4"/>
        <v>0</v>
      </c>
      <c r="K92" s="13">
        <f t="shared" si="5"/>
        <v>0</v>
      </c>
    </row>
    <row r="93" spans="1:11" ht="30" customHeight="1" x14ac:dyDescent="0.3">
      <c r="A93" s="6">
        <v>87</v>
      </c>
      <c r="B93" s="7" t="s">
        <v>149</v>
      </c>
      <c r="C93" s="6" t="s">
        <v>95</v>
      </c>
      <c r="D93" s="8" t="s">
        <v>241</v>
      </c>
      <c r="E93" s="10">
        <v>7000</v>
      </c>
      <c r="F93" s="10">
        <v>3750</v>
      </c>
      <c r="G93" s="19">
        <f t="shared" si="3"/>
        <v>0.5357142857142857</v>
      </c>
      <c r="H93" s="9">
        <v>198</v>
      </c>
      <c r="I93" s="11"/>
      <c r="J93" s="12">
        <f t="shared" si="4"/>
        <v>0</v>
      </c>
      <c r="K93" s="13">
        <f t="shared" si="5"/>
        <v>0</v>
      </c>
    </row>
    <row r="94" spans="1:11" ht="30" customHeight="1" x14ac:dyDescent="0.3">
      <c r="A94" s="6">
        <v>88</v>
      </c>
      <c r="B94" s="7" t="s">
        <v>150</v>
      </c>
      <c r="C94" s="6" t="s">
        <v>96</v>
      </c>
      <c r="D94" s="8" t="s">
        <v>242</v>
      </c>
      <c r="E94" s="10">
        <v>38000</v>
      </c>
      <c r="F94" s="10">
        <v>15450</v>
      </c>
      <c r="G94" s="19">
        <f t="shared" si="3"/>
        <v>0.40657894736842104</v>
      </c>
      <c r="H94" s="9">
        <v>50</v>
      </c>
      <c r="I94" s="11"/>
      <c r="J94" s="12">
        <f t="shared" si="4"/>
        <v>0</v>
      </c>
      <c r="K94" s="13">
        <f t="shared" si="5"/>
        <v>0</v>
      </c>
    </row>
    <row r="95" spans="1:11" ht="30" customHeight="1" x14ac:dyDescent="0.3">
      <c r="A95" s="6">
        <v>89</v>
      </c>
      <c r="B95" s="7" t="s">
        <v>151</v>
      </c>
      <c r="C95" s="6" t="s">
        <v>97</v>
      </c>
      <c r="D95" s="8" t="s">
        <v>243</v>
      </c>
      <c r="E95" s="10">
        <v>10000</v>
      </c>
      <c r="F95" s="10">
        <v>5250</v>
      </c>
      <c r="G95" s="19">
        <f t="shared" si="3"/>
        <v>0.52500000000000002</v>
      </c>
      <c r="H95" s="9">
        <v>112</v>
      </c>
      <c r="I95" s="11"/>
      <c r="J95" s="12">
        <f t="shared" si="4"/>
        <v>0</v>
      </c>
      <c r="K95" s="13">
        <f t="shared" si="5"/>
        <v>0</v>
      </c>
    </row>
    <row r="96" spans="1:11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  <row r="459" ht="30" customHeight="1" x14ac:dyDescent="0.3"/>
    <row r="460" ht="30" customHeight="1" x14ac:dyDescent="0.3"/>
    <row r="461" ht="30" customHeight="1" x14ac:dyDescent="0.3"/>
    <row r="462" ht="30" customHeight="1" x14ac:dyDescent="0.3"/>
    <row r="463" ht="30" customHeight="1" x14ac:dyDescent="0.3"/>
    <row r="464" ht="30" customHeight="1" x14ac:dyDescent="0.3"/>
    <row r="465" ht="30" customHeight="1" x14ac:dyDescent="0.3"/>
    <row r="466" ht="30" customHeight="1" x14ac:dyDescent="0.3"/>
    <row r="467" ht="30" customHeight="1" x14ac:dyDescent="0.3"/>
    <row r="468" ht="30" customHeight="1" x14ac:dyDescent="0.3"/>
    <row r="469" ht="30" customHeight="1" x14ac:dyDescent="0.3"/>
    <row r="470" ht="30" customHeight="1" x14ac:dyDescent="0.3"/>
    <row r="471" ht="30" customHeight="1" x14ac:dyDescent="0.3"/>
    <row r="472" ht="30" customHeight="1" x14ac:dyDescent="0.3"/>
    <row r="473" ht="30" customHeight="1" x14ac:dyDescent="0.3"/>
    <row r="474" ht="30" customHeight="1" x14ac:dyDescent="0.3"/>
    <row r="475" ht="30" customHeight="1" x14ac:dyDescent="0.3"/>
    <row r="476" ht="30" customHeight="1" x14ac:dyDescent="0.3"/>
    <row r="477" ht="30" customHeight="1" x14ac:dyDescent="0.3"/>
    <row r="478" ht="30" customHeight="1" x14ac:dyDescent="0.3"/>
    <row r="479" ht="30" customHeight="1" x14ac:dyDescent="0.3"/>
    <row r="480" ht="30" customHeight="1" x14ac:dyDescent="0.3"/>
    <row r="481" ht="30" customHeight="1" x14ac:dyDescent="0.3"/>
    <row r="482" ht="30" customHeight="1" x14ac:dyDescent="0.3"/>
    <row r="483" ht="30" customHeight="1" x14ac:dyDescent="0.3"/>
    <row r="484" ht="30" customHeight="1" x14ac:dyDescent="0.3"/>
    <row r="485" ht="30" customHeight="1" x14ac:dyDescent="0.3"/>
    <row r="486" ht="30" customHeight="1" x14ac:dyDescent="0.3"/>
    <row r="487" ht="30" customHeight="1" x14ac:dyDescent="0.3"/>
    <row r="488" ht="30" customHeight="1" x14ac:dyDescent="0.3"/>
    <row r="489" ht="30" customHeight="1" x14ac:dyDescent="0.3"/>
    <row r="490" ht="30" customHeight="1" x14ac:dyDescent="0.3"/>
    <row r="491" ht="30" customHeight="1" x14ac:dyDescent="0.3"/>
    <row r="492" ht="30" customHeight="1" x14ac:dyDescent="0.3"/>
    <row r="493" ht="30" customHeight="1" x14ac:dyDescent="0.3"/>
    <row r="494" ht="30" customHeight="1" x14ac:dyDescent="0.3"/>
    <row r="495" ht="30" customHeight="1" x14ac:dyDescent="0.3"/>
    <row r="496" ht="30" customHeight="1" x14ac:dyDescent="0.3"/>
    <row r="497" ht="30" customHeight="1" x14ac:dyDescent="0.3"/>
    <row r="498" ht="30" customHeight="1" x14ac:dyDescent="0.3"/>
    <row r="499" ht="30" customHeight="1" x14ac:dyDescent="0.3"/>
    <row r="500" ht="30" customHeight="1" x14ac:dyDescent="0.3"/>
    <row r="501" ht="30" customHeight="1" x14ac:dyDescent="0.3"/>
    <row r="502" ht="30" customHeight="1" x14ac:dyDescent="0.3"/>
    <row r="503" ht="30" customHeight="1" x14ac:dyDescent="0.3"/>
    <row r="504" ht="30" customHeight="1" x14ac:dyDescent="0.3"/>
    <row r="505" ht="30" customHeight="1" x14ac:dyDescent="0.3"/>
    <row r="506" ht="30" customHeight="1" x14ac:dyDescent="0.3"/>
    <row r="507" ht="30" customHeight="1" x14ac:dyDescent="0.3"/>
    <row r="508" ht="30" customHeight="1" x14ac:dyDescent="0.3"/>
    <row r="509" ht="30" customHeight="1" x14ac:dyDescent="0.3"/>
    <row r="510" ht="30" customHeight="1" x14ac:dyDescent="0.3"/>
    <row r="511" ht="30" customHeight="1" x14ac:dyDescent="0.3"/>
    <row r="512" ht="30" customHeight="1" x14ac:dyDescent="0.3"/>
    <row r="513" ht="30" customHeight="1" x14ac:dyDescent="0.3"/>
    <row r="514" ht="30" customHeight="1" x14ac:dyDescent="0.3"/>
    <row r="515" ht="30" customHeight="1" x14ac:dyDescent="0.3"/>
    <row r="516" ht="30" customHeight="1" x14ac:dyDescent="0.3"/>
    <row r="517" ht="30" customHeight="1" x14ac:dyDescent="0.3"/>
    <row r="518" ht="30" customHeight="1" x14ac:dyDescent="0.3"/>
    <row r="519" ht="30" customHeight="1" x14ac:dyDescent="0.3"/>
    <row r="520" ht="30" customHeight="1" x14ac:dyDescent="0.3"/>
    <row r="521" ht="30" customHeight="1" x14ac:dyDescent="0.3"/>
    <row r="522" ht="30" customHeight="1" x14ac:dyDescent="0.3"/>
    <row r="523" ht="30" customHeight="1" x14ac:dyDescent="0.3"/>
    <row r="524" ht="30" customHeight="1" x14ac:dyDescent="0.3"/>
    <row r="525" ht="30" customHeight="1" x14ac:dyDescent="0.3"/>
    <row r="526" ht="30" customHeight="1" x14ac:dyDescent="0.3"/>
    <row r="527" ht="30" customHeight="1" x14ac:dyDescent="0.3"/>
    <row r="528" ht="30" customHeight="1" x14ac:dyDescent="0.3"/>
    <row r="529" ht="30" customHeight="1" x14ac:dyDescent="0.3"/>
    <row r="530" ht="30" customHeight="1" x14ac:dyDescent="0.3"/>
  </sheetData>
  <mergeCells count="2">
    <mergeCell ref="E6:G6"/>
    <mergeCell ref="A1:C1"/>
  </mergeCells>
  <phoneticPr fontId="2" type="noConversion"/>
  <conditionalFormatting sqref="J7:J95">
    <cfRule type="expression" dxfId="11" priority="11">
      <formula>#REF!="품절"</formula>
    </cfRule>
    <cfRule type="expression" dxfId="10" priority="12">
      <formula>#REF!="단종"</formula>
    </cfRule>
  </conditionalFormatting>
  <conditionalFormatting sqref="E5:G5 I5:L5 A5:D6 K7:L7 H5:H6 K7:K95">
    <cfRule type="expression" dxfId="9" priority="13">
      <formula>#REF!="품절"</formula>
    </cfRule>
    <cfRule type="expression" dxfId="8" priority="14">
      <formula>#REF!="단종"</formula>
    </cfRule>
  </conditionalFormatting>
  <conditionalFormatting sqref="E6:L6">
    <cfRule type="expression" dxfId="7" priority="17">
      <formula>#REF!="품절"</formula>
    </cfRule>
    <cfRule type="expression" dxfId="6" priority="18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F3FC-1661-4CE5-B44B-8DDAD2C95BAB}">
  <dimension ref="A1:K95"/>
  <sheetViews>
    <sheetView topLeftCell="A7" zoomScale="85" zoomScaleNormal="85" workbookViewId="0">
      <selection activeCell="F7" sqref="F7:F95"/>
    </sheetView>
  </sheetViews>
  <sheetFormatPr defaultRowHeight="16.5" x14ac:dyDescent="0.3"/>
  <cols>
    <col min="2" max="2" width="15.625" bestFit="1" customWidth="1"/>
    <col min="3" max="3" width="58.125" bestFit="1" customWidth="1"/>
    <col min="4" max="4" width="66" bestFit="1" customWidth="1"/>
    <col min="9" max="9" width="16.875" bestFit="1" customWidth="1"/>
    <col min="10" max="10" width="22.5" bestFit="1" customWidth="1"/>
    <col min="11" max="11" width="20.125" bestFit="1" customWidth="1"/>
  </cols>
  <sheetData>
    <row r="1" spans="1:11" ht="40.5" customHeight="1" x14ac:dyDescent="0.3">
      <c r="A1" s="22" t="s">
        <v>244</v>
      </c>
      <c r="B1" s="23"/>
      <c r="C1" s="23"/>
      <c r="D1" s="20" t="s">
        <v>246</v>
      </c>
    </row>
    <row r="5" spans="1:11" ht="30" customHeight="1" x14ac:dyDescent="0.3">
      <c r="A5" s="14" t="s">
        <v>0</v>
      </c>
      <c r="B5" s="14" t="s">
        <v>1</v>
      </c>
      <c r="C5" s="14" t="s">
        <v>8</v>
      </c>
      <c r="D5" s="14" t="s">
        <v>2</v>
      </c>
      <c r="E5" s="16" t="s">
        <v>152</v>
      </c>
      <c r="F5" s="16" t="s">
        <v>153</v>
      </c>
      <c r="G5" s="17" t="s">
        <v>154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1" t="s">
        <v>7</v>
      </c>
      <c r="F6" s="21"/>
      <c r="G6" s="21"/>
      <c r="H6" s="2"/>
      <c r="I6" s="3">
        <f>SUM(I7:I95)</f>
        <v>0</v>
      </c>
      <c r="J6" s="4">
        <f>SUM(J7:J95)</f>
        <v>0</v>
      </c>
      <c r="K6" s="5">
        <f>SUM(K7:K95)</f>
        <v>0</v>
      </c>
    </row>
    <row r="7" spans="1:11" ht="30" customHeight="1" x14ac:dyDescent="0.3">
      <c r="A7" s="6">
        <v>1</v>
      </c>
      <c r="B7" s="7">
        <v>8809563066797</v>
      </c>
      <c r="C7" s="6" t="s">
        <v>9</v>
      </c>
      <c r="D7" s="8" t="s">
        <v>155</v>
      </c>
      <c r="E7" s="10">
        <v>6000</v>
      </c>
      <c r="F7" s="10">
        <v>2690</v>
      </c>
      <c r="G7" s="19">
        <f>F7/E7</f>
        <v>0.44833333333333331</v>
      </c>
      <c r="H7" s="9">
        <v>60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>
        <v>8809563068067</v>
      </c>
      <c r="C8" s="6" t="s">
        <v>10</v>
      </c>
      <c r="D8" s="8" t="s">
        <v>156</v>
      </c>
      <c r="E8" s="10">
        <v>8000</v>
      </c>
      <c r="F8" s="10">
        <v>3770</v>
      </c>
      <c r="G8" s="19">
        <f t="shared" ref="G8:G71" si="0">F8/E8</f>
        <v>0.47125</v>
      </c>
      <c r="H8" s="9">
        <v>80</v>
      </c>
      <c r="I8" s="11"/>
      <c r="J8" s="12">
        <f t="shared" ref="J8:J71" si="1">I8*H8</f>
        <v>0</v>
      </c>
      <c r="K8" s="13">
        <f t="shared" ref="K8:K71" si="2">IF($F8&gt;0,$J8*$F8,"")</f>
        <v>0</v>
      </c>
    </row>
    <row r="9" spans="1:11" ht="30" customHeight="1" x14ac:dyDescent="0.3">
      <c r="A9" s="6">
        <v>3</v>
      </c>
      <c r="B9" s="7">
        <v>8809563067503</v>
      </c>
      <c r="C9" s="6" t="s">
        <v>11</v>
      </c>
      <c r="D9" s="8" t="s">
        <v>157</v>
      </c>
      <c r="E9" s="10">
        <v>7000</v>
      </c>
      <c r="F9" s="10">
        <v>3330</v>
      </c>
      <c r="G9" s="19">
        <f t="shared" si="0"/>
        <v>0.4757142857142857</v>
      </c>
      <c r="H9" s="9">
        <v>96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>
        <v>8809563068807</v>
      </c>
      <c r="C10" s="6" t="s">
        <v>12</v>
      </c>
      <c r="D10" s="8" t="s">
        <v>158</v>
      </c>
      <c r="E10" s="10">
        <v>5000</v>
      </c>
      <c r="F10" s="10">
        <v>2400</v>
      </c>
      <c r="G10" s="19">
        <f t="shared" si="0"/>
        <v>0.48</v>
      </c>
      <c r="H10" s="9">
        <v>112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>
        <v>8809563068647</v>
      </c>
      <c r="C11" s="6" t="s">
        <v>13</v>
      </c>
      <c r="D11" s="8" t="s">
        <v>159</v>
      </c>
      <c r="E11" s="10">
        <v>12000</v>
      </c>
      <c r="F11" s="10">
        <v>6130</v>
      </c>
      <c r="G11" s="19">
        <f t="shared" si="0"/>
        <v>0.51083333333333336</v>
      </c>
      <c r="H11" s="9">
        <v>28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>
        <v>8809563068654</v>
      </c>
      <c r="C12" s="6" t="s">
        <v>14</v>
      </c>
      <c r="D12" s="8" t="s">
        <v>160</v>
      </c>
      <c r="E12" s="10">
        <v>12000</v>
      </c>
      <c r="F12" s="10">
        <v>6130</v>
      </c>
      <c r="G12" s="19">
        <f t="shared" si="0"/>
        <v>0.51083333333333336</v>
      </c>
      <c r="H12" s="9">
        <v>28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 t="s">
        <v>98</v>
      </c>
      <c r="C13" s="6" t="s">
        <v>15</v>
      </c>
      <c r="D13" s="8" t="s">
        <v>161</v>
      </c>
      <c r="E13" s="10">
        <v>11000</v>
      </c>
      <c r="F13" s="10">
        <v>5390</v>
      </c>
      <c r="G13" s="19">
        <f t="shared" si="0"/>
        <v>0.49</v>
      </c>
      <c r="H13" s="9">
        <v>45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 t="s">
        <v>99</v>
      </c>
      <c r="C14" s="6" t="s">
        <v>16</v>
      </c>
      <c r="D14" s="8" t="s">
        <v>162</v>
      </c>
      <c r="E14" s="10">
        <v>8000</v>
      </c>
      <c r="F14" s="10">
        <v>3820</v>
      </c>
      <c r="G14" s="19">
        <f t="shared" si="0"/>
        <v>0.47749999999999998</v>
      </c>
      <c r="H14" s="9">
        <v>60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8809563066773</v>
      </c>
      <c r="C15" s="6" t="s">
        <v>17</v>
      </c>
      <c r="D15" s="8" t="s">
        <v>163</v>
      </c>
      <c r="E15" s="10">
        <v>9000</v>
      </c>
      <c r="F15" s="10">
        <v>4510.0000000000009</v>
      </c>
      <c r="G15" s="19">
        <f t="shared" si="0"/>
        <v>0.50111111111111117</v>
      </c>
      <c r="H15" s="9">
        <v>96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8809563069408</v>
      </c>
      <c r="C16" s="6" t="s">
        <v>18</v>
      </c>
      <c r="D16" s="8" t="s">
        <v>164</v>
      </c>
      <c r="E16" s="10">
        <v>8000</v>
      </c>
      <c r="F16" s="10">
        <v>4120</v>
      </c>
      <c r="G16" s="19">
        <f t="shared" si="0"/>
        <v>0.51500000000000001</v>
      </c>
      <c r="H16" s="9">
        <v>96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8809563068258</v>
      </c>
      <c r="C17" s="6" t="s">
        <v>19</v>
      </c>
      <c r="D17" s="8" t="s">
        <v>165</v>
      </c>
      <c r="E17" s="10">
        <v>8000</v>
      </c>
      <c r="F17" s="10">
        <v>4020.0000000000005</v>
      </c>
      <c r="G17" s="19">
        <f t="shared" si="0"/>
        <v>0.50250000000000006</v>
      </c>
      <c r="H17" s="9">
        <v>96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8809536067619</v>
      </c>
      <c r="C18" s="6" t="s">
        <v>20</v>
      </c>
      <c r="D18" s="8" t="s">
        <v>166</v>
      </c>
      <c r="E18" s="10">
        <v>12000</v>
      </c>
      <c r="F18" s="10">
        <v>5680</v>
      </c>
      <c r="G18" s="19">
        <f t="shared" si="0"/>
        <v>0.47333333333333333</v>
      </c>
      <c r="H18" s="9">
        <v>42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8809563067008</v>
      </c>
      <c r="C19" s="6" t="s">
        <v>21</v>
      </c>
      <c r="D19" s="8" t="s">
        <v>167</v>
      </c>
      <c r="E19" s="10">
        <v>8000</v>
      </c>
      <c r="F19" s="10">
        <v>4070.0000000000005</v>
      </c>
      <c r="G19" s="19">
        <f t="shared" si="0"/>
        <v>0.50875000000000004</v>
      </c>
      <c r="H19" s="9">
        <v>84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8809563066995</v>
      </c>
      <c r="C20" s="6" t="s">
        <v>22</v>
      </c>
      <c r="D20" s="8" t="s">
        <v>168</v>
      </c>
      <c r="E20" s="10">
        <v>8000</v>
      </c>
      <c r="F20" s="10">
        <v>3969.9999999999995</v>
      </c>
      <c r="G20" s="19">
        <f t="shared" si="0"/>
        <v>0.49624999999999997</v>
      </c>
      <c r="H20" s="9">
        <v>84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8809563069323</v>
      </c>
      <c r="C21" s="6" t="s">
        <v>23</v>
      </c>
      <c r="D21" s="8" t="s">
        <v>169</v>
      </c>
      <c r="E21" s="10">
        <v>18000</v>
      </c>
      <c r="F21" s="10">
        <v>10070.000000000002</v>
      </c>
      <c r="G21" s="19">
        <f t="shared" si="0"/>
        <v>0.55944444444444452</v>
      </c>
      <c r="H21" s="9">
        <v>84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 t="s">
        <v>100</v>
      </c>
      <c r="C22" s="6" t="s">
        <v>24</v>
      </c>
      <c r="D22" s="8" t="s">
        <v>170</v>
      </c>
      <c r="E22" s="10">
        <v>9000</v>
      </c>
      <c r="F22" s="10">
        <v>4360</v>
      </c>
      <c r="G22" s="19">
        <f t="shared" si="0"/>
        <v>0.48444444444444446</v>
      </c>
      <c r="H22" s="9">
        <v>80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8809563069712</v>
      </c>
      <c r="C23" s="6" t="s">
        <v>25</v>
      </c>
      <c r="D23" s="8" t="s">
        <v>171</v>
      </c>
      <c r="E23" s="10">
        <v>9000</v>
      </c>
      <c r="F23" s="10">
        <v>4360</v>
      </c>
      <c r="G23" s="19">
        <f t="shared" si="0"/>
        <v>0.48444444444444446</v>
      </c>
      <c r="H23" s="9">
        <v>80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8809563068081</v>
      </c>
      <c r="C24" s="6" t="s">
        <v>26</v>
      </c>
      <c r="D24" s="8" t="s">
        <v>172</v>
      </c>
      <c r="E24" s="10">
        <v>10000</v>
      </c>
      <c r="F24" s="10">
        <v>4900</v>
      </c>
      <c r="G24" s="19">
        <f t="shared" si="0"/>
        <v>0.49</v>
      </c>
      <c r="H24" s="9">
        <v>80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>
        <v>8809563069842</v>
      </c>
      <c r="C25" s="6" t="s">
        <v>27</v>
      </c>
      <c r="D25" s="8" t="s">
        <v>173</v>
      </c>
      <c r="E25" s="10">
        <v>9000</v>
      </c>
      <c r="F25" s="10">
        <v>4360</v>
      </c>
      <c r="G25" s="19">
        <f t="shared" si="0"/>
        <v>0.48444444444444446</v>
      </c>
      <c r="H25" s="9">
        <v>80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 t="s">
        <v>101</v>
      </c>
      <c r="C26" s="6" t="s">
        <v>28</v>
      </c>
      <c r="D26" s="8" t="s">
        <v>174</v>
      </c>
      <c r="E26" s="10">
        <v>4000</v>
      </c>
      <c r="F26" s="10">
        <v>1910</v>
      </c>
      <c r="G26" s="19">
        <f t="shared" si="0"/>
        <v>0.47749999999999998</v>
      </c>
      <c r="H26" s="9">
        <v>240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 t="s">
        <v>102</v>
      </c>
      <c r="C27" s="6" t="s">
        <v>29</v>
      </c>
      <c r="D27" s="8" t="s">
        <v>175</v>
      </c>
      <c r="E27" s="10">
        <v>4000</v>
      </c>
      <c r="F27" s="10">
        <v>1910</v>
      </c>
      <c r="G27" s="19">
        <f t="shared" si="0"/>
        <v>0.47749999999999998</v>
      </c>
      <c r="H27" s="9">
        <v>240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 t="s">
        <v>103</v>
      </c>
      <c r="C28" s="6" t="s">
        <v>30</v>
      </c>
      <c r="D28" s="8" t="s">
        <v>176</v>
      </c>
      <c r="E28" s="10">
        <v>5000</v>
      </c>
      <c r="F28" s="10">
        <v>2450</v>
      </c>
      <c r="G28" s="19">
        <f t="shared" si="0"/>
        <v>0.49</v>
      </c>
      <c r="H28" s="9">
        <v>240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 t="s">
        <v>104</v>
      </c>
      <c r="C29" s="6" t="s">
        <v>31</v>
      </c>
      <c r="D29" s="8" t="s">
        <v>177</v>
      </c>
      <c r="E29" s="10">
        <v>9000</v>
      </c>
      <c r="F29" s="10">
        <v>4660</v>
      </c>
      <c r="G29" s="19">
        <f t="shared" si="0"/>
        <v>0.51777777777777778</v>
      </c>
      <c r="H29" s="9">
        <v>240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 t="s">
        <v>105</v>
      </c>
      <c r="C30" s="6" t="s">
        <v>32</v>
      </c>
      <c r="D30" s="8" t="s">
        <v>178</v>
      </c>
      <c r="E30" s="10">
        <v>9000</v>
      </c>
      <c r="F30" s="10">
        <v>4310</v>
      </c>
      <c r="G30" s="19">
        <f t="shared" si="0"/>
        <v>0.47888888888888886</v>
      </c>
      <c r="H30" s="9">
        <v>96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 t="s">
        <v>106</v>
      </c>
      <c r="C31" s="6" t="s">
        <v>33</v>
      </c>
      <c r="D31" s="8" t="s">
        <v>179</v>
      </c>
      <c r="E31" s="10">
        <v>9000</v>
      </c>
      <c r="F31" s="10">
        <v>4460</v>
      </c>
      <c r="G31" s="19">
        <f t="shared" si="0"/>
        <v>0.49555555555555558</v>
      </c>
      <c r="H31" s="9">
        <v>170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 t="s">
        <v>107</v>
      </c>
      <c r="C32" s="6" t="s">
        <v>34</v>
      </c>
      <c r="D32" s="8" t="s">
        <v>180</v>
      </c>
      <c r="E32" s="10">
        <v>9000</v>
      </c>
      <c r="F32" s="10">
        <v>4810.0000000000009</v>
      </c>
      <c r="G32" s="19">
        <f t="shared" si="0"/>
        <v>0.5344444444444445</v>
      </c>
      <c r="H32" s="9">
        <v>80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 t="s">
        <v>108</v>
      </c>
      <c r="C33" s="6" t="s">
        <v>35</v>
      </c>
      <c r="D33" s="8" t="s">
        <v>181</v>
      </c>
      <c r="E33" s="10">
        <v>9000</v>
      </c>
      <c r="F33" s="10">
        <v>4560</v>
      </c>
      <c r="G33" s="19">
        <f t="shared" si="0"/>
        <v>0.50666666666666671</v>
      </c>
      <c r="H33" s="9">
        <v>77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 t="s">
        <v>109</v>
      </c>
      <c r="C34" s="6" t="s">
        <v>36</v>
      </c>
      <c r="D34" s="8" t="s">
        <v>182</v>
      </c>
      <c r="E34" s="10">
        <v>9000</v>
      </c>
      <c r="F34" s="10">
        <v>4660</v>
      </c>
      <c r="G34" s="19">
        <f t="shared" si="0"/>
        <v>0.51777777777777778</v>
      </c>
      <c r="H34" s="9">
        <v>77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 t="s">
        <v>110</v>
      </c>
      <c r="C35" s="6" t="s">
        <v>37</v>
      </c>
      <c r="D35" s="8" t="s">
        <v>183</v>
      </c>
      <c r="E35" s="10">
        <v>9000</v>
      </c>
      <c r="F35" s="10">
        <v>4260</v>
      </c>
      <c r="G35" s="19">
        <f t="shared" si="0"/>
        <v>0.47333333333333333</v>
      </c>
      <c r="H35" s="9">
        <v>60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 t="s">
        <v>111</v>
      </c>
      <c r="C36" s="6" t="s">
        <v>38</v>
      </c>
      <c r="D36" s="8" t="s">
        <v>184</v>
      </c>
      <c r="E36" s="10">
        <v>9000</v>
      </c>
      <c r="F36" s="10">
        <v>4560</v>
      </c>
      <c r="G36" s="19">
        <f t="shared" si="0"/>
        <v>0.50666666666666671</v>
      </c>
      <c r="H36" s="9">
        <v>60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/>
      <c r="C37" s="6" t="s">
        <v>39</v>
      </c>
      <c r="D37" s="8" t="s">
        <v>185</v>
      </c>
      <c r="E37" s="10">
        <v>6000</v>
      </c>
      <c r="F37" s="10">
        <v>2840</v>
      </c>
      <c r="G37" s="19">
        <f t="shared" si="0"/>
        <v>0.47333333333333333</v>
      </c>
      <c r="H37" s="9">
        <v>54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 t="s">
        <v>112</v>
      </c>
      <c r="C38" s="6" t="s">
        <v>40</v>
      </c>
      <c r="D38" s="8" t="s">
        <v>186</v>
      </c>
      <c r="E38" s="10">
        <v>8000</v>
      </c>
      <c r="F38" s="10">
        <v>4120</v>
      </c>
      <c r="G38" s="19">
        <f t="shared" si="0"/>
        <v>0.51500000000000001</v>
      </c>
      <c r="H38" s="9">
        <v>54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/>
      <c r="C39" s="6" t="s">
        <v>41</v>
      </c>
      <c r="D39" s="8" t="s">
        <v>187</v>
      </c>
      <c r="E39" s="10">
        <v>6000</v>
      </c>
      <c r="F39" s="10">
        <v>2890</v>
      </c>
      <c r="G39" s="19">
        <f t="shared" si="0"/>
        <v>0.48166666666666669</v>
      </c>
      <c r="H39" s="9">
        <v>56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 t="s">
        <v>113</v>
      </c>
      <c r="C40" s="6" t="s">
        <v>42</v>
      </c>
      <c r="D40" s="8" t="s">
        <v>188</v>
      </c>
      <c r="E40" s="10">
        <v>5500</v>
      </c>
      <c r="F40" s="10">
        <v>2820</v>
      </c>
      <c r="G40" s="19">
        <f t="shared" si="0"/>
        <v>0.5127272727272727</v>
      </c>
      <c r="H40" s="9">
        <v>96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 t="s">
        <v>114</v>
      </c>
      <c r="C41" s="6" t="s">
        <v>43</v>
      </c>
      <c r="D41" s="8" t="s">
        <v>189</v>
      </c>
      <c r="E41" s="10">
        <v>5500</v>
      </c>
      <c r="F41" s="10">
        <v>2820</v>
      </c>
      <c r="G41" s="19">
        <f t="shared" si="0"/>
        <v>0.5127272727272727</v>
      </c>
      <c r="H41" s="9">
        <v>96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 t="s">
        <v>115</v>
      </c>
      <c r="C42" s="6" t="s">
        <v>44</v>
      </c>
      <c r="D42" s="8" t="s">
        <v>190</v>
      </c>
      <c r="E42" s="10">
        <v>5500</v>
      </c>
      <c r="F42" s="10">
        <v>2820</v>
      </c>
      <c r="G42" s="19">
        <f t="shared" si="0"/>
        <v>0.5127272727272727</v>
      </c>
      <c r="H42" s="9">
        <v>96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 t="s">
        <v>116</v>
      </c>
      <c r="C43" s="6" t="s">
        <v>45</v>
      </c>
      <c r="D43" s="8" t="s">
        <v>191</v>
      </c>
      <c r="E43" s="10">
        <v>8000</v>
      </c>
      <c r="F43" s="10">
        <v>3920</v>
      </c>
      <c r="G43" s="19">
        <f t="shared" si="0"/>
        <v>0.49</v>
      </c>
      <c r="H43" s="9">
        <v>112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 t="s">
        <v>117</v>
      </c>
      <c r="C44" s="6" t="s">
        <v>46</v>
      </c>
      <c r="D44" s="8" t="s">
        <v>192</v>
      </c>
      <c r="E44" s="10">
        <v>8000</v>
      </c>
      <c r="F44" s="10">
        <v>3920</v>
      </c>
      <c r="G44" s="19">
        <f t="shared" si="0"/>
        <v>0.49</v>
      </c>
      <c r="H44" s="9">
        <v>112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 t="s">
        <v>118</v>
      </c>
      <c r="C45" s="6" t="s">
        <v>47</v>
      </c>
      <c r="D45" s="8" t="s">
        <v>193</v>
      </c>
      <c r="E45" s="10">
        <v>8000</v>
      </c>
      <c r="F45" s="10">
        <v>3920</v>
      </c>
      <c r="G45" s="19">
        <f t="shared" si="0"/>
        <v>0.49</v>
      </c>
      <c r="H45" s="9">
        <v>1112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 t="s">
        <v>119</v>
      </c>
      <c r="C46" s="6" t="s">
        <v>48</v>
      </c>
      <c r="D46" s="8" t="s">
        <v>194</v>
      </c>
      <c r="E46" s="10">
        <v>14000</v>
      </c>
      <c r="F46" s="10">
        <v>7210</v>
      </c>
      <c r="G46" s="19">
        <f t="shared" si="0"/>
        <v>0.51500000000000001</v>
      </c>
      <c r="H46" s="9">
        <v>64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8809563069637</v>
      </c>
      <c r="C47" s="6" t="s">
        <v>49</v>
      </c>
      <c r="D47" s="8" t="s">
        <v>195</v>
      </c>
      <c r="E47" s="10">
        <v>9000</v>
      </c>
      <c r="F47" s="10">
        <v>4360</v>
      </c>
      <c r="G47" s="19">
        <f t="shared" si="0"/>
        <v>0.48444444444444446</v>
      </c>
      <c r="H47" s="9">
        <v>112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 t="s">
        <v>120</v>
      </c>
      <c r="C48" s="6" t="s">
        <v>50</v>
      </c>
      <c r="D48" s="8" t="s">
        <v>196</v>
      </c>
      <c r="E48" s="10">
        <v>13000</v>
      </c>
      <c r="F48" s="10">
        <v>6370</v>
      </c>
      <c r="G48" s="19">
        <f t="shared" si="0"/>
        <v>0.49</v>
      </c>
      <c r="H48" s="9">
        <v>56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>
        <v>43</v>
      </c>
      <c r="B49" s="7">
        <v>8809563067923</v>
      </c>
      <c r="C49" s="6" t="s">
        <v>51</v>
      </c>
      <c r="D49" s="8" t="s">
        <v>197</v>
      </c>
      <c r="E49" s="10">
        <v>8000</v>
      </c>
      <c r="F49" s="10">
        <v>5420</v>
      </c>
      <c r="G49" s="19">
        <f t="shared" si="0"/>
        <v>0.67749999999999999</v>
      </c>
      <c r="H49" s="9">
        <v>117</v>
      </c>
      <c r="I49" s="11"/>
      <c r="J49" s="12">
        <f t="shared" si="1"/>
        <v>0</v>
      </c>
      <c r="K49" s="13">
        <f t="shared" si="2"/>
        <v>0</v>
      </c>
    </row>
    <row r="50" spans="1:11" ht="30" customHeight="1" x14ac:dyDescent="0.3">
      <c r="A50" s="6">
        <v>44</v>
      </c>
      <c r="B50" s="7">
        <v>8809331313573</v>
      </c>
      <c r="C50" s="6" t="s">
        <v>52</v>
      </c>
      <c r="D50" s="8" t="s">
        <v>198</v>
      </c>
      <c r="E50" s="10">
        <v>9000</v>
      </c>
      <c r="F50" s="10">
        <v>4510.0000000000009</v>
      </c>
      <c r="G50" s="19">
        <f t="shared" si="0"/>
        <v>0.50111111111111117</v>
      </c>
      <c r="H50" s="9">
        <v>60</v>
      </c>
      <c r="I50" s="11"/>
      <c r="J50" s="12">
        <f t="shared" si="1"/>
        <v>0</v>
      </c>
      <c r="K50" s="13">
        <f t="shared" si="2"/>
        <v>0</v>
      </c>
    </row>
    <row r="51" spans="1:11" ht="30" customHeight="1" x14ac:dyDescent="0.3">
      <c r="A51" s="6">
        <v>45</v>
      </c>
      <c r="B51" s="7">
        <v>8809331313160</v>
      </c>
      <c r="C51" s="6" t="s">
        <v>53</v>
      </c>
      <c r="D51" s="8" t="s">
        <v>199</v>
      </c>
      <c r="E51" s="10">
        <v>7000</v>
      </c>
      <c r="F51" s="10">
        <v>3180</v>
      </c>
      <c r="G51" s="19">
        <f t="shared" si="0"/>
        <v>0.45428571428571429</v>
      </c>
      <c r="H51" s="9">
        <v>84</v>
      </c>
      <c r="I51" s="11"/>
      <c r="J51" s="12">
        <f t="shared" si="1"/>
        <v>0</v>
      </c>
      <c r="K51" s="13">
        <f t="shared" si="2"/>
        <v>0</v>
      </c>
    </row>
    <row r="52" spans="1:11" ht="30" customHeight="1" x14ac:dyDescent="0.3">
      <c r="A52" s="6">
        <v>46</v>
      </c>
      <c r="B52" s="7">
        <v>8809563069736</v>
      </c>
      <c r="C52" s="6" t="s">
        <v>54</v>
      </c>
      <c r="D52" s="8" t="s">
        <v>200</v>
      </c>
      <c r="E52" s="10">
        <v>15000</v>
      </c>
      <c r="F52" s="10">
        <v>7050</v>
      </c>
      <c r="G52" s="19">
        <f t="shared" si="0"/>
        <v>0.47</v>
      </c>
      <c r="H52" s="9">
        <v>170</v>
      </c>
      <c r="I52" s="11"/>
      <c r="J52" s="12">
        <f t="shared" si="1"/>
        <v>0</v>
      </c>
      <c r="K52" s="13">
        <f t="shared" si="2"/>
        <v>0</v>
      </c>
    </row>
    <row r="53" spans="1:11" ht="30" customHeight="1" x14ac:dyDescent="0.3">
      <c r="A53" s="6">
        <v>47</v>
      </c>
      <c r="B53" s="7">
        <v>8809563067497</v>
      </c>
      <c r="C53" s="6" t="s">
        <v>55</v>
      </c>
      <c r="D53" s="8" t="s">
        <v>201</v>
      </c>
      <c r="E53" s="10">
        <v>15000</v>
      </c>
      <c r="F53" s="10">
        <v>8000</v>
      </c>
      <c r="G53" s="19">
        <f t="shared" si="0"/>
        <v>0.53333333333333333</v>
      </c>
      <c r="H53" s="9">
        <v>96</v>
      </c>
      <c r="I53" s="11"/>
      <c r="J53" s="12">
        <f t="shared" si="1"/>
        <v>0</v>
      </c>
      <c r="K53" s="13">
        <f t="shared" si="2"/>
        <v>0</v>
      </c>
    </row>
    <row r="54" spans="1:11" ht="30" customHeight="1" x14ac:dyDescent="0.3">
      <c r="A54" s="6">
        <v>48</v>
      </c>
      <c r="B54" s="7">
        <v>8809563068463</v>
      </c>
      <c r="C54" s="6" t="s">
        <v>56</v>
      </c>
      <c r="D54" s="8" t="s">
        <v>202</v>
      </c>
      <c r="E54" s="10">
        <v>15000</v>
      </c>
      <c r="F54" s="10">
        <v>7100</v>
      </c>
      <c r="G54" s="19">
        <f t="shared" si="0"/>
        <v>0.47333333333333333</v>
      </c>
      <c r="H54" s="9">
        <v>45</v>
      </c>
      <c r="I54" s="11"/>
      <c r="J54" s="12">
        <f t="shared" si="1"/>
        <v>0</v>
      </c>
      <c r="K54" s="13">
        <f t="shared" si="2"/>
        <v>0</v>
      </c>
    </row>
    <row r="55" spans="1:11" ht="30" customHeight="1" x14ac:dyDescent="0.3">
      <c r="A55" s="6">
        <v>49</v>
      </c>
      <c r="B55" s="7" t="s">
        <v>121</v>
      </c>
      <c r="C55" s="6" t="s">
        <v>57</v>
      </c>
      <c r="D55" s="8" t="s">
        <v>203</v>
      </c>
      <c r="E55" s="10">
        <v>46000</v>
      </c>
      <c r="F55" s="10">
        <v>23340</v>
      </c>
      <c r="G55" s="19">
        <f t="shared" si="0"/>
        <v>0.50739130434782609</v>
      </c>
      <c r="H55" s="9">
        <v>84</v>
      </c>
      <c r="I55" s="11"/>
      <c r="J55" s="12">
        <f t="shared" si="1"/>
        <v>0</v>
      </c>
      <c r="K55" s="13">
        <f t="shared" si="2"/>
        <v>0</v>
      </c>
    </row>
    <row r="56" spans="1:11" ht="30" customHeight="1" x14ac:dyDescent="0.3">
      <c r="A56" s="6">
        <v>50</v>
      </c>
      <c r="B56" s="7">
        <v>8809563069446</v>
      </c>
      <c r="C56" s="6" t="s">
        <v>58</v>
      </c>
      <c r="D56" s="8" t="s">
        <v>204</v>
      </c>
      <c r="E56" s="10">
        <v>12000</v>
      </c>
      <c r="F56" s="10">
        <v>5979.9999999999991</v>
      </c>
      <c r="G56" s="19">
        <f t="shared" si="0"/>
        <v>0.49833333333333324</v>
      </c>
      <c r="H56" s="9">
        <v>28</v>
      </c>
      <c r="I56" s="11"/>
      <c r="J56" s="12">
        <f t="shared" si="1"/>
        <v>0</v>
      </c>
      <c r="K56" s="13">
        <f t="shared" si="2"/>
        <v>0</v>
      </c>
    </row>
    <row r="57" spans="1:11" ht="30" customHeight="1" x14ac:dyDescent="0.3">
      <c r="A57" s="6">
        <v>51</v>
      </c>
      <c r="B57" s="7">
        <v>8809563069507</v>
      </c>
      <c r="C57" s="6" t="s">
        <v>59</v>
      </c>
      <c r="D57" s="8" t="s">
        <v>205</v>
      </c>
      <c r="E57" s="10">
        <v>9000</v>
      </c>
      <c r="F57" s="10">
        <v>4310</v>
      </c>
      <c r="G57" s="19">
        <f t="shared" si="0"/>
        <v>0.47888888888888886</v>
      </c>
      <c r="H57" s="9">
        <v>56</v>
      </c>
      <c r="I57" s="11"/>
      <c r="J57" s="12">
        <f t="shared" si="1"/>
        <v>0</v>
      </c>
      <c r="K57" s="13">
        <f t="shared" si="2"/>
        <v>0</v>
      </c>
    </row>
    <row r="58" spans="1:11" ht="30" customHeight="1" x14ac:dyDescent="0.3">
      <c r="A58" s="6">
        <v>52</v>
      </c>
      <c r="B58" s="7" t="s">
        <v>122</v>
      </c>
      <c r="C58" s="6" t="s">
        <v>60</v>
      </c>
      <c r="D58" s="8" t="s">
        <v>206</v>
      </c>
      <c r="E58" s="10">
        <v>7000</v>
      </c>
      <c r="F58" s="10">
        <v>3530.0000000000005</v>
      </c>
      <c r="G58" s="19">
        <f t="shared" si="0"/>
        <v>0.50428571428571434</v>
      </c>
      <c r="H58" s="9">
        <v>40</v>
      </c>
      <c r="I58" s="11"/>
      <c r="J58" s="12">
        <f t="shared" si="1"/>
        <v>0</v>
      </c>
      <c r="K58" s="13">
        <f t="shared" si="2"/>
        <v>0</v>
      </c>
    </row>
    <row r="59" spans="1:11" ht="30" customHeight="1" x14ac:dyDescent="0.3">
      <c r="A59" s="6">
        <v>53</v>
      </c>
      <c r="B59" s="7" t="s">
        <v>123</v>
      </c>
      <c r="C59" s="6" t="s">
        <v>61</v>
      </c>
      <c r="D59" s="8" t="s">
        <v>207</v>
      </c>
      <c r="E59" s="10">
        <v>6000</v>
      </c>
      <c r="F59" s="10">
        <v>3189.9999999999995</v>
      </c>
      <c r="G59" s="19">
        <f t="shared" si="0"/>
        <v>0.53166666666666662</v>
      </c>
      <c r="H59" s="9">
        <v>70</v>
      </c>
      <c r="I59" s="11"/>
      <c r="J59" s="12">
        <f t="shared" si="1"/>
        <v>0</v>
      </c>
      <c r="K59" s="13">
        <f t="shared" si="2"/>
        <v>0</v>
      </c>
    </row>
    <row r="60" spans="1:11" ht="30" customHeight="1" x14ac:dyDescent="0.3">
      <c r="A60" s="6">
        <v>54</v>
      </c>
      <c r="B60" s="7" t="s">
        <v>124</v>
      </c>
      <c r="C60" s="6" t="s">
        <v>62</v>
      </c>
      <c r="D60" s="8" t="s">
        <v>208</v>
      </c>
      <c r="E60" s="10">
        <v>7000</v>
      </c>
      <c r="F60" s="10">
        <v>4230</v>
      </c>
      <c r="G60" s="19">
        <f t="shared" si="0"/>
        <v>0.60428571428571431</v>
      </c>
      <c r="H60" s="9">
        <v>144</v>
      </c>
      <c r="I60" s="11"/>
      <c r="J60" s="12">
        <f t="shared" si="1"/>
        <v>0</v>
      </c>
      <c r="K60" s="13">
        <f t="shared" si="2"/>
        <v>0</v>
      </c>
    </row>
    <row r="61" spans="1:11" ht="30" customHeight="1" x14ac:dyDescent="0.3">
      <c r="A61" s="6">
        <v>55</v>
      </c>
      <c r="B61" s="7" t="s">
        <v>125</v>
      </c>
      <c r="C61" s="6" t="s">
        <v>63</v>
      </c>
      <c r="D61" s="8" t="s">
        <v>209</v>
      </c>
      <c r="E61" s="10">
        <v>1500</v>
      </c>
      <c r="F61" s="10">
        <v>780</v>
      </c>
      <c r="G61" s="19">
        <f t="shared" si="0"/>
        <v>0.52</v>
      </c>
      <c r="H61" s="9">
        <v>300</v>
      </c>
      <c r="I61" s="11"/>
      <c r="J61" s="12">
        <f t="shared" si="1"/>
        <v>0</v>
      </c>
      <c r="K61" s="13">
        <f t="shared" si="2"/>
        <v>0</v>
      </c>
    </row>
    <row r="62" spans="1:11" ht="30" customHeight="1" x14ac:dyDescent="0.3">
      <c r="A62" s="6">
        <v>56</v>
      </c>
      <c r="B62" s="7">
        <v>8809331313252</v>
      </c>
      <c r="C62" s="6" t="s">
        <v>64</v>
      </c>
      <c r="D62" s="8" t="s">
        <v>210</v>
      </c>
      <c r="E62" s="10">
        <v>8000</v>
      </c>
      <c r="F62" s="10">
        <v>3920</v>
      </c>
      <c r="G62" s="19">
        <f t="shared" si="0"/>
        <v>0.49</v>
      </c>
      <c r="H62" s="9">
        <v>60</v>
      </c>
      <c r="I62" s="11"/>
      <c r="J62" s="12">
        <f t="shared" si="1"/>
        <v>0</v>
      </c>
      <c r="K62" s="13">
        <f t="shared" si="2"/>
        <v>0</v>
      </c>
    </row>
    <row r="63" spans="1:11" ht="30" customHeight="1" x14ac:dyDescent="0.3">
      <c r="A63" s="6">
        <v>57</v>
      </c>
      <c r="B63" s="7" t="s">
        <v>126</v>
      </c>
      <c r="C63" s="6" t="s">
        <v>65</v>
      </c>
      <c r="D63" s="8" t="s">
        <v>211</v>
      </c>
      <c r="E63" s="10">
        <v>14000</v>
      </c>
      <c r="F63" s="10">
        <v>7110.0000000000009</v>
      </c>
      <c r="G63" s="19">
        <f t="shared" si="0"/>
        <v>0.5078571428571429</v>
      </c>
      <c r="H63" s="9">
        <v>24</v>
      </c>
      <c r="I63" s="11"/>
      <c r="J63" s="12">
        <f t="shared" si="1"/>
        <v>0</v>
      </c>
      <c r="K63" s="13">
        <f t="shared" si="2"/>
        <v>0</v>
      </c>
    </row>
    <row r="64" spans="1:11" ht="30" customHeight="1" x14ac:dyDescent="0.3">
      <c r="A64" s="6">
        <v>58</v>
      </c>
      <c r="B64" s="7">
        <v>8809331313375</v>
      </c>
      <c r="C64" s="6" t="s">
        <v>66</v>
      </c>
      <c r="D64" s="8" t="s">
        <v>212</v>
      </c>
      <c r="E64" s="10">
        <v>8000</v>
      </c>
      <c r="F64" s="10">
        <v>3219.9999999999995</v>
      </c>
      <c r="G64" s="19">
        <f t="shared" si="0"/>
        <v>0.40249999999999997</v>
      </c>
      <c r="H64" s="9">
        <v>60</v>
      </c>
      <c r="I64" s="11"/>
      <c r="J64" s="12">
        <f t="shared" si="1"/>
        <v>0</v>
      </c>
      <c r="K64" s="13">
        <f t="shared" si="2"/>
        <v>0</v>
      </c>
    </row>
    <row r="65" spans="1:11" ht="30" customHeight="1" x14ac:dyDescent="0.3">
      <c r="A65" s="6">
        <v>59</v>
      </c>
      <c r="B65" s="7">
        <v>8809331313818</v>
      </c>
      <c r="C65" s="6" t="s">
        <v>67</v>
      </c>
      <c r="D65" s="8" t="s">
        <v>213</v>
      </c>
      <c r="E65" s="10">
        <v>9000</v>
      </c>
      <c r="F65" s="10">
        <v>4560</v>
      </c>
      <c r="G65" s="19">
        <f t="shared" si="0"/>
        <v>0.50666666666666671</v>
      </c>
      <c r="H65" s="9">
        <v>96</v>
      </c>
      <c r="I65" s="11"/>
      <c r="J65" s="12">
        <f t="shared" si="1"/>
        <v>0</v>
      </c>
      <c r="K65" s="13">
        <f t="shared" si="2"/>
        <v>0</v>
      </c>
    </row>
    <row r="66" spans="1:11" ht="30" customHeight="1" x14ac:dyDescent="0.3">
      <c r="A66" s="6">
        <v>60</v>
      </c>
      <c r="B66" s="7" t="s">
        <v>127</v>
      </c>
      <c r="C66" s="6" t="s">
        <v>68</v>
      </c>
      <c r="D66" s="8" t="s">
        <v>214</v>
      </c>
      <c r="E66" s="10">
        <v>14000</v>
      </c>
      <c r="F66" s="10">
        <v>7060.0000000000009</v>
      </c>
      <c r="G66" s="19">
        <f t="shared" si="0"/>
        <v>0.50428571428571434</v>
      </c>
      <c r="H66" s="9">
        <v>96</v>
      </c>
      <c r="I66" s="11"/>
      <c r="J66" s="12">
        <f t="shared" si="1"/>
        <v>0</v>
      </c>
      <c r="K66" s="13">
        <f t="shared" si="2"/>
        <v>0</v>
      </c>
    </row>
    <row r="67" spans="1:11" ht="30" customHeight="1" x14ac:dyDescent="0.3">
      <c r="A67" s="6">
        <v>61</v>
      </c>
      <c r="B67" s="7" t="s">
        <v>128</v>
      </c>
      <c r="C67" s="6" t="s">
        <v>69</v>
      </c>
      <c r="D67" s="8" t="s">
        <v>215</v>
      </c>
      <c r="E67" s="10">
        <v>8000</v>
      </c>
      <c r="F67" s="10">
        <v>3969.9999999999995</v>
      </c>
      <c r="G67" s="19">
        <f t="shared" si="0"/>
        <v>0.49624999999999997</v>
      </c>
      <c r="H67" s="9">
        <v>56</v>
      </c>
      <c r="I67" s="11"/>
      <c r="J67" s="12">
        <f t="shared" si="1"/>
        <v>0</v>
      </c>
      <c r="K67" s="13">
        <f t="shared" si="2"/>
        <v>0</v>
      </c>
    </row>
    <row r="68" spans="1:11" ht="30" customHeight="1" x14ac:dyDescent="0.3">
      <c r="A68" s="6">
        <v>62</v>
      </c>
      <c r="B68" s="7" t="s">
        <v>129</v>
      </c>
      <c r="C68" s="6" t="s">
        <v>70</v>
      </c>
      <c r="D68" s="8" t="s">
        <v>216</v>
      </c>
      <c r="E68" s="10">
        <v>9000</v>
      </c>
      <c r="F68" s="10">
        <v>4510.0000000000009</v>
      </c>
      <c r="G68" s="19">
        <f t="shared" si="0"/>
        <v>0.50111111111111117</v>
      </c>
      <c r="H68" s="9">
        <v>56</v>
      </c>
      <c r="I68" s="11"/>
      <c r="J68" s="12">
        <f t="shared" si="1"/>
        <v>0</v>
      </c>
      <c r="K68" s="13">
        <f t="shared" si="2"/>
        <v>0</v>
      </c>
    </row>
    <row r="69" spans="1:11" ht="30" customHeight="1" x14ac:dyDescent="0.3">
      <c r="A69" s="6">
        <v>63</v>
      </c>
      <c r="B69" s="7" t="s">
        <v>130</v>
      </c>
      <c r="C69" s="6" t="s">
        <v>71</v>
      </c>
      <c r="D69" s="8" t="s">
        <v>217</v>
      </c>
      <c r="E69" s="10">
        <v>6800</v>
      </c>
      <c r="F69" s="10">
        <v>3572</v>
      </c>
      <c r="G69" s="19">
        <f t="shared" si="0"/>
        <v>0.5252941176470588</v>
      </c>
      <c r="H69" s="9">
        <v>55</v>
      </c>
      <c r="I69" s="11"/>
      <c r="J69" s="12">
        <f t="shared" si="1"/>
        <v>0</v>
      </c>
      <c r="K69" s="13">
        <f t="shared" si="2"/>
        <v>0</v>
      </c>
    </row>
    <row r="70" spans="1:11" ht="30" customHeight="1" x14ac:dyDescent="0.3">
      <c r="A70" s="6">
        <v>64</v>
      </c>
      <c r="B70" s="7" t="s">
        <v>131</v>
      </c>
      <c r="C70" s="6" t="s">
        <v>72</v>
      </c>
      <c r="D70" s="8" t="s">
        <v>218</v>
      </c>
      <c r="E70" s="10">
        <v>7800</v>
      </c>
      <c r="F70" s="10">
        <v>4012</v>
      </c>
      <c r="G70" s="19">
        <f t="shared" si="0"/>
        <v>0.51435897435897437</v>
      </c>
      <c r="H70" s="9">
        <v>78</v>
      </c>
      <c r="I70" s="11"/>
      <c r="J70" s="12">
        <f t="shared" si="1"/>
        <v>0</v>
      </c>
      <c r="K70" s="13">
        <f t="shared" si="2"/>
        <v>0</v>
      </c>
    </row>
    <row r="71" spans="1:11" ht="30" customHeight="1" x14ac:dyDescent="0.3">
      <c r="A71" s="6">
        <v>65</v>
      </c>
      <c r="B71" s="7" t="s">
        <v>132</v>
      </c>
      <c r="C71" s="6" t="s">
        <v>73</v>
      </c>
      <c r="D71" s="8" t="s">
        <v>219</v>
      </c>
      <c r="E71" s="10">
        <v>7800</v>
      </c>
      <c r="F71" s="10">
        <v>4012</v>
      </c>
      <c r="G71" s="19">
        <f t="shared" si="0"/>
        <v>0.51435897435897437</v>
      </c>
      <c r="H71" s="9">
        <v>56</v>
      </c>
      <c r="I71" s="11"/>
      <c r="J71" s="12">
        <f t="shared" si="1"/>
        <v>0</v>
      </c>
      <c r="K71" s="13">
        <f t="shared" si="2"/>
        <v>0</v>
      </c>
    </row>
    <row r="72" spans="1:11" ht="30" customHeight="1" x14ac:dyDescent="0.3">
      <c r="A72" s="6">
        <v>66</v>
      </c>
      <c r="B72" s="7" t="s">
        <v>133</v>
      </c>
      <c r="C72" s="6" t="s">
        <v>74</v>
      </c>
      <c r="D72" s="8" t="s">
        <v>220</v>
      </c>
      <c r="E72" s="10">
        <v>7800</v>
      </c>
      <c r="F72" s="10">
        <v>4012</v>
      </c>
      <c r="G72" s="19">
        <f t="shared" ref="G72:G95" si="3">F72/E72</f>
        <v>0.51435897435897437</v>
      </c>
      <c r="H72" s="9">
        <v>56</v>
      </c>
      <c r="I72" s="11"/>
      <c r="J72" s="12">
        <f t="shared" ref="J72:J95" si="4">I72*H72</f>
        <v>0</v>
      </c>
      <c r="K72" s="13">
        <f t="shared" ref="K72:K95" si="5">IF($F72&gt;0,$J72*$F72,"")</f>
        <v>0</v>
      </c>
    </row>
    <row r="73" spans="1:11" ht="30" customHeight="1" x14ac:dyDescent="0.3">
      <c r="A73" s="6">
        <v>67</v>
      </c>
      <c r="B73" s="7" t="s">
        <v>134</v>
      </c>
      <c r="C73" s="6" t="s">
        <v>75</v>
      </c>
      <c r="D73" s="8" t="s">
        <v>221</v>
      </c>
      <c r="E73" s="10">
        <v>10000</v>
      </c>
      <c r="F73" s="10">
        <v>5250</v>
      </c>
      <c r="G73" s="19">
        <f t="shared" si="3"/>
        <v>0.52500000000000002</v>
      </c>
      <c r="H73" s="9">
        <v>44</v>
      </c>
      <c r="I73" s="11"/>
      <c r="J73" s="12">
        <f t="shared" si="4"/>
        <v>0</v>
      </c>
      <c r="K73" s="13">
        <f t="shared" si="5"/>
        <v>0</v>
      </c>
    </row>
    <row r="74" spans="1:11" ht="30" customHeight="1" x14ac:dyDescent="0.3">
      <c r="A74" s="6">
        <v>68</v>
      </c>
      <c r="B74" s="7" t="s">
        <v>135</v>
      </c>
      <c r="C74" s="6" t="s">
        <v>76</v>
      </c>
      <c r="D74" s="8" t="s">
        <v>222</v>
      </c>
      <c r="E74" s="10">
        <v>15000</v>
      </c>
      <c r="F74" s="10">
        <v>7450</v>
      </c>
      <c r="G74" s="19">
        <f t="shared" si="3"/>
        <v>0.49666666666666665</v>
      </c>
      <c r="H74" s="9">
        <v>60</v>
      </c>
      <c r="I74" s="11"/>
      <c r="J74" s="12">
        <f t="shared" si="4"/>
        <v>0</v>
      </c>
      <c r="K74" s="13">
        <f t="shared" si="5"/>
        <v>0</v>
      </c>
    </row>
    <row r="75" spans="1:11" ht="30" customHeight="1" x14ac:dyDescent="0.3">
      <c r="A75" s="6">
        <v>69</v>
      </c>
      <c r="B75" s="7" t="s">
        <v>136</v>
      </c>
      <c r="C75" s="6" t="s">
        <v>77</v>
      </c>
      <c r="D75" s="8" t="s">
        <v>223</v>
      </c>
      <c r="E75" s="10">
        <v>9000</v>
      </c>
      <c r="F75" s="10">
        <v>4560</v>
      </c>
      <c r="G75" s="19">
        <f t="shared" si="3"/>
        <v>0.50666666666666671</v>
      </c>
      <c r="H75" s="9">
        <v>170</v>
      </c>
      <c r="I75" s="11"/>
      <c r="J75" s="12">
        <f t="shared" si="4"/>
        <v>0</v>
      </c>
      <c r="K75" s="13">
        <f t="shared" si="5"/>
        <v>0</v>
      </c>
    </row>
    <row r="76" spans="1:11" ht="30" customHeight="1" x14ac:dyDescent="0.3">
      <c r="A76" s="6">
        <v>70</v>
      </c>
      <c r="B76" s="7" t="s">
        <v>137</v>
      </c>
      <c r="C76" s="6" t="s">
        <v>78</v>
      </c>
      <c r="D76" s="8" t="s">
        <v>224</v>
      </c>
      <c r="E76" s="10">
        <v>9000</v>
      </c>
      <c r="F76" s="10">
        <v>4560</v>
      </c>
      <c r="G76" s="19">
        <f t="shared" si="3"/>
        <v>0.50666666666666671</v>
      </c>
      <c r="H76" s="9">
        <v>77</v>
      </c>
      <c r="I76" s="11"/>
      <c r="J76" s="12">
        <f t="shared" si="4"/>
        <v>0</v>
      </c>
      <c r="K76" s="13">
        <f t="shared" si="5"/>
        <v>0</v>
      </c>
    </row>
    <row r="77" spans="1:11" ht="30" customHeight="1" x14ac:dyDescent="0.3">
      <c r="A77" s="6">
        <v>71</v>
      </c>
      <c r="B77" s="7" t="s">
        <v>138</v>
      </c>
      <c r="C77" s="6" t="s">
        <v>79</v>
      </c>
      <c r="D77" s="8" t="s">
        <v>225</v>
      </c>
      <c r="E77" s="10">
        <v>38000</v>
      </c>
      <c r="F77" s="10">
        <v>15070</v>
      </c>
      <c r="G77" s="19">
        <f t="shared" si="3"/>
        <v>0.39657894736842103</v>
      </c>
      <c r="H77" s="9">
        <v>50</v>
      </c>
      <c r="I77" s="11"/>
      <c r="J77" s="12">
        <f t="shared" si="4"/>
        <v>0</v>
      </c>
      <c r="K77" s="13">
        <f t="shared" si="5"/>
        <v>0</v>
      </c>
    </row>
    <row r="78" spans="1:11" ht="30" customHeight="1" x14ac:dyDescent="0.3">
      <c r="A78" s="6">
        <v>72</v>
      </c>
      <c r="B78" s="7" t="s">
        <v>139</v>
      </c>
      <c r="C78" s="6" t="s">
        <v>80</v>
      </c>
      <c r="D78" s="8" t="s">
        <v>226</v>
      </c>
      <c r="E78" s="10">
        <v>8000</v>
      </c>
      <c r="F78" s="10">
        <v>4270.0000000000009</v>
      </c>
      <c r="G78" s="19">
        <f t="shared" si="3"/>
        <v>0.53375000000000017</v>
      </c>
      <c r="H78" s="9">
        <v>112</v>
      </c>
      <c r="I78" s="11"/>
      <c r="J78" s="12">
        <f t="shared" si="4"/>
        <v>0</v>
      </c>
      <c r="K78" s="13">
        <f t="shared" si="5"/>
        <v>0</v>
      </c>
    </row>
    <row r="79" spans="1:11" ht="30" customHeight="1" x14ac:dyDescent="0.3">
      <c r="A79" s="6">
        <v>73</v>
      </c>
      <c r="B79" s="7" t="s">
        <v>140</v>
      </c>
      <c r="C79" s="6" t="s">
        <v>81</v>
      </c>
      <c r="D79" s="8" t="s">
        <v>227</v>
      </c>
      <c r="E79" s="10">
        <v>10000</v>
      </c>
      <c r="F79" s="10">
        <v>5150</v>
      </c>
      <c r="G79" s="19">
        <f t="shared" si="3"/>
        <v>0.51500000000000001</v>
      </c>
      <c r="H79" s="9">
        <v>129</v>
      </c>
      <c r="I79" s="11"/>
      <c r="J79" s="12">
        <f t="shared" si="4"/>
        <v>0</v>
      </c>
      <c r="K79" s="13">
        <f t="shared" si="5"/>
        <v>0</v>
      </c>
    </row>
    <row r="80" spans="1:11" ht="30" customHeight="1" x14ac:dyDescent="0.3">
      <c r="A80" s="6">
        <v>74</v>
      </c>
      <c r="B80" s="7" t="s">
        <v>141</v>
      </c>
      <c r="C80" s="6" t="s">
        <v>82</v>
      </c>
      <c r="D80" s="8" t="s">
        <v>228</v>
      </c>
      <c r="E80" s="10">
        <v>20000</v>
      </c>
      <c r="F80" s="10">
        <v>10300</v>
      </c>
      <c r="G80" s="19">
        <f t="shared" si="3"/>
        <v>0.51500000000000001</v>
      </c>
      <c r="H80" s="9">
        <v>96</v>
      </c>
      <c r="I80" s="11"/>
      <c r="J80" s="12">
        <f t="shared" si="4"/>
        <v>0</v>
      </c>
      <c r="K80" s="13">
        <f t="shared" si="5"/>
        <v>0</v>
      </c>
    </row>
    <row r="81" spans="1:11" ht="30" customHeight="1" x14ac:dyDescent="0.3">
      <c r="A81" s="6">
        <v>75</v>
      </c>
      <c r="B81" s="7" t="s">
        <v>142</v>
      </c>
      <c r="C81" s="6" t="s">
        <v>83</v>
      </c>
      <c r="D81" s="8" t="s">
        <v>229</v>
      </c>
      <c r="E81" s="10">
        <v>9000</v>
      </c>
      <c r="F81" s="10">
        <v>4560</v>
      </c>
      <c r="G81" s="19">
        <f t="shared" si="3"/>
        <v>0.50666666666666671</v>
      </c>
      <c r="H81" s="9">
        <v>209</v>
      </c>
      <c r="I81" s="11"/>
      <c r="J81" s="12">
        <f t="shared" si="4"/>
        <v>0</v>
      </c>
      <c r="K81" s="13">
        <f t="shared" si="5"/>
        <v>0</v>
      </c>
    </row>
    <row r="82" spans="1:11" ht="30" customHeight="1" x14ac:dyDescent="0.3">
      <c r="A82" s="6">
        <v>76</v>
      </c>
      <c r="B82" s="7" t="s">
        <v>143</v>
      </c>
      <c r="C82" s="6" t="s">
        <v>84</v>
      </c>
      <c r="D82" s="8" t="s">
        <v>230</v>
      </c>
      <c r="E82" s="10">
        <v>16000</v>
      </c>
      <c r="F82" s="10">
        <v>8290.0000000000018</v>
      </c>
      <c r="G82" s="19">
        <f t="shared" si="3"/>
        <v>0.51812500000000017</v>
      </c>
      <c r="H82" s="9">
        <v>112</v>
      </c>
      <c r="I82" s="11"/>
      <c r="J82" s="12">
        <f t="shared" si="4"/>
        <v>0</v>
      </c>
      <c r="K82" s="13">
        <f t="shared" si="5"/>
        <v>0</v>
      </c>
    </row>
    <row r="83" spans="1:11" ht="30" customHeight="1" x14ac:dyDescent="0.3">
      <c r="A83" s="6">
        <v>77</v>
      </c>
      <c r="B83" s="7" t="s">
        <v>144</v>
      </c>
      <c r="C83" s="6" t="s">
        <v>85</v>
      </c>
      <c r="D83" s="8" t="s">
        <v>231</v>
      </c>
      <c r="E83" s="10">
        <v>13000</v>
      </c>
      <c r="F83" s="10">
        <v>6670</v>
      </c>
      <c r="G83" s="19">
        <f t="shared" si="3"/>
        <v>0.5130769230769231</v>
      </c>
      <c r="H83" s="9">
        <v>28</v>
      </c>
      <c r="I83" s="11"/>
      <c r="J83" s="12">
        <f t="shared" si="4"/>
        <v>0</v>
      </c>
      <c r="K83" s="13">
        <f t="shared" si="5"/>
        <v>0</v>
      </c>
    </row>
    <row r="84" spans="1:11" ht="30" customHeight="1" x14ac:dyDescent="0.3">
      <c r="A84" s="6">
        <v>78</v>
      </c>
      <c r="B84" s="7" t="s">
        <v>145</v>
      </c>
      <c r="C84" s="6" t="s">
        <v>86</v>
      </c>
      <c r="D84" s="8" t="s">
        <v>232</v>
      </c>
      <c r="E84" s="10">
        <v>16000</v>
      </c>
      <c r="F84" s="10">
        <v>8140.0000000000009</v>
      </c>
      <c r="G84" s="19">
        <f t="shared" si="3"/>
        <v>0.50875000000000004</v>
      </c>
      <c r="H84" s="9">
        <v>65</v>
      </c>
      <c r="I84" s="11"/>
      <c r="J84" s="12">
        <f t="shared" si="4"/>
        <v>0</v>
      </c>
      <c r="K84" s="13">
        <f t="shared" si="5"/>
        <v>0</v>
      </c>
    </row>
    <row r="85" spans="1:11" ht="30" customHeight="1" x14ac:dyDescent="0.3">
      <c r="A85" s="6">
        <v>79</v>
      </c>
      <c r="B85" s="7" t="s">
        <v>146</v>
      </c>
      <c r="C85" s="6" t="s">
        <v>87</v>
      </c>
      <c r="D85" s="8" t="s">
        <v>233</v>
      </c>
      <c r="E85" s="10">
        <v>5500</v>
      </c>
      <c r="F85" s="10">
        <v>2920</v>
      </c>
      <c r="G85" s="19">
        <f t="shared" si="3"/>
        <v>0.53090909090909089</v>
      </c>
      <c r="H85" s="9">
        <v>56</v>
      </c>
      <c r="I85" s="11"/>
      <c r="J85" s="12">
        <f t="shared" si="4"/>
        <v>0</v>
      </c>
      <c r="K85" s="13">
        <f t="shared" si="5"/>
        <v>0</v>
      </c>
    </row>
    <row r="86" spans="1:11" ht="30" customHeight="1" x14ac:dyDescent="0.3">
      <c r="A86" s="6">
        <v>80</v>
      </c>
      <c r="B86" s="7" t="s">
        <v>147</v>
      </c>
      <c r="C86" s="6" t="s">
        <v>88</v>
      </c>
      <c r="D86" s="8" t="s">
        <v>234</v>
      </c>
      <c r="E86" s="10">
        <v>10000</v>
      </c>
      <c r="F86" s="10">
        <v>4900</v>
      </c>
      <c r="G86" s="19">
        <f t="shared" si="3"/>
        <v>0.49</v>
      </c>
      <c r="H86" s="9">
        <v>170</v>
      </c>
      <c r="I86" s="11"/>
      <c r="J86" s="12">
        <f t="shared" si="4"/>
        <v>0</v>
      </c>
      <c r="K86" s="13">
        <f t="shared" si="5"/>
        <v>0</v>
      </c>
    </row>
    <row r="87" spans="1:11" ht="30" customHeight="1" x14ac:dyDescent="0.3">
      <c r="A87" s="6">
        <v>81</v>
      </c>
      <c r="B87" s="7" t="s">
        <v>148</v>
      </c>
      <c r="C87" s="6" t="s">
        <v>89</v>
      </c>
      <c r="D87" s="8" t="s">
        <v>235</v>
      </c>
      <c r="E87" s="10">
        <v>12000</v>
      </c>
      <c r="F87" s="10">
        <v>5979.9999999999991</v>
      </c>
      <c r="G87" s="19">
        <f t="shared" si="3"/>
        <v>0.49833333333333324</v>
      </c>
      <c r="H87" s="9">
        <v>170</v>
      </c>
      <c r="I87" s="11"/>
      <c r="J87" s="12">
        <f t="shared" si="4"/>
        <v>0</v>
      </c>
      <c r="K87" s="13">
        <f t="shared" si="5"/>
        <v>0</v>
      </c>
    </row>
    <row r="88" spans="1:11" ht="30" customHeight="1" x14ac:dyDescent="0.3">
      <c r="A88" s="6">
        <v>82</v>
      </c>
      <c r="B88" s="7">
        <v>8809331318981</v>
      </c>
      <c r="C88" s="6" t="s">
        <v>90</v>
      </c>
      <c r="D88" s="8" t="s">
        <v>236</v>
      </c>
      <c r="E88" s="10">
        <v>10000</v>
      </c>
      <c r="F88" s="10">
        <v>5100</v>
      </c>
      <c r="G88" s="19">
        <f t="shared" si="3"/>
        <v>0.51</v>
      </c>
      <c r="H88" s="9">
        <v>45</v>
      </c>
      <c r="I88" s="11"/>
      <c r="J88" s="12">
        <f t="shared" si="4"/>
        <v>0</v>
      </c>
      <c r="K88" s="13">
        <f t="shared" si="5"/>
        <v>0</v>
      </c>
    </row>
    <row r="89" spans="1:11" ht="30" customHeight="1" x14ac:dyDescent="0.3">
      <c r="A89" s="6">
        <v>83</v>
      </c>
      <c r="B89" s="7">
        <v>8809331319193</v>
      </c>
      <c r="C89" s="6" t="s">
        <v>91</v>
      </c>
      <c r="D89" s="8" t="s">
        <v>237</v>
      </c>
      <c r="E89" s="10">
        <v>9000</v>
      </c>
      <c r="F89" s="10">
        <v>4560</v>
      </c>
      <c r="G89" s="19">
        <f t="shared" si="3"/>
        <v>0.50666666666666671</v>
      </c>
      <c r="H89" s="9">
        <v>60</v>
      </c>
      <c r="I89" s="11"/>
      <c r="J89" s="12">
        <f t="shared" si="4"/>
        <v>0</v>
      </c>
      <c r="K89" s="13">
        <f t="shared" si="5"/>
        <v>0</v>
      </c>
    </row>
    <row r="90" spans="1:11" ht="30" customHeight="1" x14ac:dyDescent="0.3">
      <c r="A90" s="6">
        <v>84</v>
      </c>
      <c r="B90" s="7">
        <v>8809331319377</v>
      </c>
      <c r="C90" s="6" t="s">
        <v>92</v>
      </c>
      <c r="D90" s="8" t="s">
        <v>238</v>
      </c>
      <c r="E90" s="10">
        <v>9000</v>
      </c>
      <c r="F90" s="10">
        <v>4560</v>
      </c>
      <c r="G90" s="19">
        <f t="shared" si="3"/>
        <v>0.50666666666666671</v>
      </c>
      <c r="H90" s="9">
        <v>28</v>
      </c>
      <c r="I90" s="11"/>
      <c r="J90" s="12">
        <f t="shared" si="4"/>
        <v>0</v>
      </c>
      <c r="K90" s="13">
        <f t="shared" si="5"/>
        <v>0</v>
      </c>
    </row>
    <row r="91" spans="1:11" ht="30" customHeight="1" x14ac:dyDescent="0.3">
      <c r="A91" s="6">
        <v>85</v>
      </c>
      <c r="B91" s="7">
        <v>809331319131</v>
      </c>
      <c r="C91" s="6" t="s">
        <v>93</v>
      </c>
      <c r="D91" s="8" t="s">
        <v>239</v>
      </c>
      <c r="E91" s="10">
        <v>8000</v>
      </c>
      <c r="F91" s="10">
        <v>4120</v>
      </c>
      <c r="G91" s="19">
        <f t="shared" si="3"/>
        <v>0.51500000000000001</v>
      </c>
      <c r="H91" s="9">
        <v>170</v>
      </c>
      <c r="I91" s="11"/>
      <c r="J91" s="12">
        <f t="shared" si="4"/>
        <v>0</v>
      </c>
      <c r="K91" s="13">
        <f t="shared" si="5"/>
        <v>0</v>
      </c>
    </row>
    <row r="92" spans="1:11" ht="30" customHeight="1" x14ac:dyDescent="0.3">
      <c r="A92" s="6">
        <v>86</v>
      </c>
      <c r="B92" s="7">
        <v>8809331319360</v>
      </c>
      <c r="C92" s="6" t="s">
        <v>94</v>
      </c>
      <c r="D92" s="8" t="s">
        <v>240</v>
      </c>
      <c r="E92" s="10">
        <v>12000</v>
      </c>
      <c r="F92" s="10">
        <v>6130</v>
      </c>
      <c r="G92" s="19">
        <f t="shared" si="3"/>
        <v>0.51083333333333336</v>
      </c>
      <c r="H92" s="9">
        <v>90</v>
      </c>
      <c r="I92" s="11"/>
      <c r="J92" s="12">
        <f t="shared" si="4"/>
        <v>0</v>
      </c>
      <c r="K92" s="13">
        <f t="shared" si="5"/>
        <v>0</v>
      </c>
    </row>
    <row r="93" spans="1:11" ht="30" customHeight="1" x14ac:dyDescent="0.3">
      <c r="A93" s="6">
        <v>87</v>
      </c>
      <c r="B93" s="7" t="s">
        <v>149</v>
      </c>
      <c r="C93" s="6" t="s">
        <v>95</v>
      </c>
      <c r="D93" s="8" t="s">
        <v>241</v>
      </c>
      <c r="E93" s="10">
        <v>7000</v>
      </c>
      <c r="F93" s="10">
        <v>3680</v>
      </c>
      <c r="G93" s="19">
        <f t="shared" si="3"/>
        <v>0.52571428571428569</v>
      </c>
      <c r="H93" s="9">
        <v>198</v>
      </c>
      <c r="I93" s="11"/>
      <c r="J93" s="12">
        <f t="shared" si="4"/>
        <v>0</v>
      </c>
      <c r="K93" s="13">
        <f t="shared" si="5"/>
        <v>0</v>
      </c>
    </row>
    <row r="94" spans="1:11" ht="30" customHeight="1" x14ac:dyDescent="0.3">
      <c r="A94" s="6">
        <v>88</v>
      </c>
      <c r="B94" s="7" t="s">
        <v>150</v>
      </c>
      <c r="C94" s="6" t="s">
        <v>96</v>
      </c>
      <c r="D94" s="8" t="s">
        <v>242</v>
      </c>
      <c r="E94" s="10">
        <v>38000</v>
      </c>
      <c r="F94" s="10">
        <v>15070</v>
      </c>
      <c r="G94" s="19">
        <f t="shared" si="3"/>
        <v>0.39657894736842103</v>
      </c>
      <c r="H94" s="9">
        <v>50</v>
      </c>
      <c r="I94" s="11"/>
      <c r="J94" s="12">
        <f t="shared" si="4"/>
        <v>0</v>
      </c>
      <c r="K94" s="13">
        <f t="shared" si="5"/>
        <v>0</v>
      </c>
    </row>
    <row r="95" spans="1:11" ht="30" customHeight="1" x14ac:dyDescent="0.3">
      <c r="A95" s="6">
        <v>89</v>
      </c>
      <c r="B95" s="7" t="s">
        <v>151</v>
      </c>
      <c r="C95" s="6" t="s">
        <v>97</v>
      </c>
      <c r="D95" s="8" t="s">
        <v>243</v>
      </c>
      <c r="E95" s="10">
        <v>10000</v>
      </c>
      <c r="F95" s="10">
        <v>5150</v>
      </c>
      <c r="G95" s="19">
        <f t="shared" si="3"/>
        <v>0.51500000000000001</v>
      </c>
      <c r="H95" s="9">
        <v>112</v>
      </c>
      <c r="I95" s="11"/>
      <c r="J95" s="12">
        <f t="shared" si="4"/>
        <v>0</v>
      </c>
      <c r="K95" s="13">
        <f t="shared" si="5"/>
        <v>0</v>
      </c>
    </row>
  </sheetData>
  <mergeCells count="2">
    <mergeCell ref="A1:C1"/>
    <mergeCell ref="E6:G6"/>
  </mergeCells>
  <phoneticPr fontId="2" type="noConversion"/>
  <conditionalFormatting sqref="J7:J95">
    <cfRule type="expression" dxfId="5" priority="1">
      <formula>#REF!="품절"</formula>
    </cfRule>
    <cfRule type="expression" dxfId="4" priority="2">
      <formula>#REF!="단종"</formula>
    </cfRule>
  </conditionalFormatting>
  <conditionalFormatting sqref="E5:G5 I5:K5 A5:D6 H5:H6 K7:K95">
    <cfRule type="expression" dxfId="3" priority="3">
      <formula>#REF!="품절"</formula>
    </cfRule>
    <cfRule type="expression" dxfId="2" priority="4">
      <formula>#REF!="단종"</formula>
    </cfRule>
  </conditionalFormatting>
  <conditionalFormatting sqref="E6:K6">
    <cfRule type="expression" dxfId="1" priority="5">
      <formula>#REF!="품절"</formula>
    </cfRule>
    <cfRule type="expression" dxfId="0" priority="6">
      <formula>#REF!="단종"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Sun Jin</cp:lastModifiedBy>
  <dcterms:created xsi:type="dcterms:W3CDTF">2026-01-07T03:25:48Z</dcterms:created>
  <dcterms:modified xsi:type="dcterms:W3CDTF">2026-07-01T05:33:18Z</dcterms:modified>
</cp:coreProperties>
</file>
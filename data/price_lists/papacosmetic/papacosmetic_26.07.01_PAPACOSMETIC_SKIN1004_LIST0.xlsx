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user\Desktop\Papa cos\files\Buyers\2026\Russia\Price list to send\AFTERCHECK\"/>
    </mc:Choice>
  </mc:AlternateContent>
  <xr:revisionPtr revIDLastSave="0" documentId="13_ncr:1_{7A321048-ABD6-4EEB-8F9E-D7B07C55DFB3}" xr6:coauthVersionLast="47" xr6:coauthVersionMax="47" xr10:uidLastSave="{00000000-0000-0000-0000-000000000000}"/>
  <bookViews>
    <workbookView xWindow="-28920" yWindow="555" windowWidth="29040" windowHeight="15720" xr2:uid="{9999AC61-8E5C-480F-B905-95BDE599E29F}"/>
  </bookViews>
  <sheets>
    <sheet name="Sheet1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J6" i="2" l="1"/>
  <c r="I6" i="2"/>
  <c r="J101" i="2" l="1"/>
  <c r="K101" i="2" s="1"/>
  <c r="G101" i="2"/>
  <c r="J100" i="2"/>
  <c r="K100" i="2" s="1"/>
  <c r="G100" i="2"/>
  <c r="J99" i="2"/>
  <c r="K99" i="2" s="1"/>
  <c r="G99" i="2"/>
  <c r="J98" i="2"/>
  <c r="K98" i="2" s="1"/>
  <c r="G98" i="2"/>
  <c r="J97" i="2"/>
  <c r="K97" i="2" s="1"/>
  <c r="G97" i="2"/>
  <c r="J96" i="2"/>
  <c r="K96" i="2" s="1"/>
  <c r="G96" i="2"/>
  <c r="J95" i="2"/>
  <c r="K95" i="2" s="1"/>
  <c r="G95" i="2"/>
  <c r="J94" i="2"/>
  <c r="K94" i="2" s="1"/>
  <c r="G94" i="2"/>
  <c r="J93" i="2"/>
  <c r="K93" i="2" s="1"/>
  <c r="G93" i="2"/>
  <c r="J92" i="2"/>
  <c r="K92" i="2" s="1"/>
  <c r="G92" i="2"/>
  <c r="J91" i="2"/>
  <c r="K91" i="2" s="1"/>
  <c r="G91" i="2"/>
  <c r="J90" i="2"/>
  <c r="K90" i="2" s="1"/>
  <c r="G90" i="2"/>
  <c r="J89" i="2"/>
  <c r="K89" i="2" s="1"/>
  <c r="G89" i="2"/>
  <c r="J88" i="2"/>
  <c r="K88" i="2" s="1"/>
  <c r="G88" i="2"/>
  <c r="J87" i="2"/>
  <c r="K87" i="2" s="1"/>
  <c r="G87" i="2"/>
  <c r="J86" i="2"/>
  <c r="K86" i="2" s="1"/>
  <c r="G86" i="2"/>
  <c r="J85" i="2"/>
  <c r="K85" i="2" s="1"/>
  <c r="G85" i="2"/>
  <c r="J84" i="2"/>
  <c r="K84" i="2" s="1"/>
  <c r="G84" i="2"/>
  <c r="J83" i="2"/>
  <c r="K83" i="2" s="1"/>
  <c r="G83" i="2"/>
  <c r="J82" i="2"/>
  <c r="K82" i="2" s="1"/>
  <c r="G82" i="2"/>
  <c r="J81" i="2"/>
  <c r="K81" i="2" s="1"/>
  <c r="G81" i="2"/>
  <c r="J80" i="2"/>
  <c r="K80" i="2" s="1"/>
  <c r="G80" i="2"/>
  <c r="J79" i="2"/>
  <c r="K79" i="2" s="1"/>
  <c r="G79" i="2"/>
  <c r="J78" i="2"/>
  <c r="K78" i="2" s="1"/>
  <c r="G78" i="2"/>
  <c r="J77" i="2"/>
  <c r="K77" i="2" s="1"/>
  <c r="G77" i="2"/>
  <c r="J76" i="2"/>
  <c r="K76" i="2" s="1"/>
  <c r="G76" i="2"/>
  <c r="J75" i="2"/>
  <c r="K75" i="2" s="1"/>
  <c r="G75" i="2"/>
  <c r="J74" i="2"/>
  <c r="K74" i="2" s="1"/>
  <c r="G74" i="2"/>
  <c r="J73" i="2"/>
  <c r="K73" i="2" s="1"/>
  <c r="G73" i="2"/>
  <c r="J72" i="2"/>
  <c r="K72" i="2" s="1"/>
  <c r="G72" i="2"/>
  <c r="J71" i="2"/>
  <c r="K71" i="2" s="1"/>
  <c r="G71" i="2"/>
  <c r="J70" i="2"/>
  <c r="K70" i="2" s="1"/>
  <c r="G70" i="2"/>
  <c r="J69" i="2"/>
  <c r="K69" i="2" s="1"/>
  <c r="G69" i="2"/>
  <c r="J68" i="2"/>
  <c r="K68" i="2" s="1"/>
  <c r="G68" i="2"/>
  <c r="J67" i="2"/>
  <c r="K67" i="2" s="1"/>
  <c r="G67" i="2"/>
  <c r="J66" i="2"/>
  <c r="K66" i="2" s="1"/>
  <c r="G66" i="2"/>
  <c r="J65" i="2"/>
  <c r="K65" i="2" s="1"/>
  <c r="G65" i="2"/>
  <c r="J64" i="2"/>
  <c r="K64" i="2" s="1"/>
  <c r="G64" i="2"/>
  <c r="J63" i="2"/>
  <c r="K63" i="2" s="1"/>
  <c r="G63" i="2"/>
  <c r="J62" i="2"/>
  <c r="K62" i="2" s="1"/>
  <c r="G62" i="2"/>
  <c r="J61" i="2"/>
  <c r="K61" i="2" s="1"/>
  <c r="G61" i="2"/>
  <c r="J60" i="2"/>
  <c r="K60" i="2" s="1"/>
  <c r="G60" i="2"/>
  <c r="J59" i="2"/>
  <c r="K59" i="2" s="1"/>
  <c r="G59" i="2"/>
  <c r="J58" i="2"/>
  <c r="K58" i="2" s="1"/>
  <c r="G58" i="2"/>
  <c r="J57" i="2"/>
  <c r="K57" i="2" s="1"/>
  <c r="G57" i="2"/>
  <c r="J56" i="2"/>
  <c r="K56" i="2" s="1"/>
  <c r="G56" i="2"/>
  <c r="J55" i="2"/>
  <c r="K55" i="2" s="1"/>
  <c r="G55" i="2"/>
  <c r="J54" i="2"/>
  <c r="K54" i="2" s="1"/>
  <c r="G54" i="2"/>
  <c r="J53" i="2"/>
  <c r="K53" i="2" s="1"/>
  <c r="G53" i="2"/>
  <c r="J52" i="2"/>
  <c r="K52" i="2" s="1"/>
  <c r="G52" i="2"/>
  <c r="J51" i="2"/>
  <c r="K51" i="2" s="1"/>
  <c r="G51" i="2"/>
  <c r="J50" i="2"/>
  <c r="K50" i="2" s="1"/>
  <c r="G50" i="2"/>
  <c r="J49" i="2"/>
  <c r="K49" i="2" s="1"/>
  <c r="G49" i="2"/>
  <c r="J48" i="2"/>
  <c r="K48" i="2" s="1"/>
  <c r="G48" i="2"/>
  <c r="J47" i="2"/>
  <c r="K47" i="2" s="1"/>
  <c r="G47" i="2"/>
  <c r="J46" i="2"/>
  <c r="K46" i="2" s="1"/>
  <c r="G46" i="2"/>
  <c r="J45" i="2"/>
  <c r="K45" i="2" s="1"/>
  <c r="G45" i="2"/>
  <c r="J44" i="2"/>
  <c r="K44" i="2" s="1"/>
  <c r="G44" i="2"/>
  <c r="J43" i="2"/>
  <c r="K43" i="2" s="1"/>
  <c r="G43" i="2"/>
  <c r="J42" i="2"/>
  <c r="K42" i="2" s="1"/>
  <c r="G42" i="2"/>
  <c r="J41" i="2"/>
  <c r="K41" i="2" s="1"/>
  <c r="G41" i="2"/>
  <c r="J40" i="2"/>
  <c r="K40" i="2" s="1"/>
  <c r="G40" i="2"/>
  <c r="J39" i="2"/>
  <c r="K39" i="2" s="1"/>
  <c r="G39" i="2"/>
  <c r="J38" i="2"/>
  <c r="K38" i="2" s="1"/>
  <c r="G38" i="2"/>
  <c r="J37" i="2"/>
  <c r="K37" i="2" s="1"/>
  <c r="G37" i="2"/>
  <c r="J36" i="2"/>
  <c r="K36" i="2" s="1"/>
  <c r="G36" i="2"/>
  <c r="J35" i="2"/>
  <c r="K35" i="2" s="1"/>
  <c r="G35" i="2"/>
  <c r="J34" i="2"/>
  <c r="K34" i="2" s="1"/>
  <c r="G34" i="2"/>
  <c r="J33" i="2"/>
  <c r="K33" i="2" s="1"/>
  <c r="G33" i="2"/>
  <c r="J32" i="2"/>
  <c r="K32" i="2" s="1"/>
  <c r="G32" i="2"/>
  <c r="J31" i="2"/>
  <c r="K31" i="2" s="1"/>
  <c r="G31" i="2"/>
  <c r="J30" i="2"/>
  <c r="K30" i="2" s="1"/>
  <c r="G30" i="2"/>
  <c r="J29" i="2"/>
  <c r="K29" i="2" s="1"/>
  <c r="G29" i="2"/>
  <c r="J28" i="2"/>
  <c r="K28" i="2" s="1"/>
  <c r="G28" i="2"/>
  <c r="J27" i="2"/>
  <c r="K27" i="2" s="1"/>
  <c r="G27" i="2"/>
  <c r="J26" i="2"/>
  <c r="K26" i="2" s="1"/>
  <c r="G26" i="2"/>
  <c r="J25" i="2"/>
  <c r="K25" i="2" s="1"/>
  <c r="G25" i="2"/>
  <c r="J24" i="2"/>
  <c r="K24" i="2" s="1"/>
  <c r="G24" i="2"/>
  <c r="J23" i="2"/>
  <c r="K23" i="2" s="1"/>
  <c r="G23" i="2"/>
  <c r="J22" i="2"/>
  <c r="K22" i="2" s="1"/>
  <c r="G22" i="2"/>
  <c r="J21" i="2"/>
  <c r="K21" i="2" s="1"/>
  <c r="G21" i="2"/>
  <c r="J20" i="2"/>
  <c r="K20" i="2" s="1"/>
  <c r="G20" i="2"/>
  <c r="J19" i="2"/>
  <c r="K19" i="2" s="1"/>
  <c r="G19" i="2"/>
  <c r="J18" i="2"/>
  <c r="K18" i="2" s="1"/>
  <c r="G18" i="2"/>
  <c r="J17" i="2"/>
  <c r="K17" i="2" s="1"/>
  <c r="G17" i="2"/>
  <c r="J16" i="2"/>
  <c r="K16" i="2" s="1"/>
  <c r="G16" i="2"/>
  <c r="J15" i="2"/>
  <c r="K15" i="2" s="1"/>
  <c r="G15" i="2"/>
  <c r="J14" i="2"/>
  <c r="K14" i="2" s="1"/>
  <c r="G14" i="2"/>
  <c r="J13" i="2"/>
  <c r="K13" i="2" s="1"/>
  <c r="G13" i="2"/>
  <c r="J12" i="2"/>
  <c r="K12" i="2" s="1"/>
  <c r="G12" i="2"/>
  <c r="J11" i="2"/>
  <c r="K11" i="2" s="1"/>
  <c r="G11" i="2"/>
  <c r="J10" i="2"/>
  <c r="K10" i="2" s="1"/>
  <c r="G10" i="2"/>
  <c r="J9" i="2"/>
  <c r="K9" i="2" s="1"/>
  <c r="G9" i="2"/>
  <c r="J8" i="2"/>
  <c r="K8" i="2" s="1"/>
  <c r="G8" i="2"/>
  <c r="J7" i="2"/>
  <c r="K7" i="2" s="1"/>
  <c r="G7" i="2"/>
  <c r="K6" i="2" l="1"/>
</calcChain>
</file>

<file path=xl/sharedStrings.xml><?xml version="1.0" encoding="utf-8"?>
<sst xmlns="http://schemas.openxmlformats.org/spreadsheetml/2006/main" count="203" uniqueCount="202">
  <si>
    <t>NO</t>
    <phoneticPr fontId="4" type="noConversion"/>
  </si>
  <si>
    <t>Bar Code</t>
    <phoneticPr fontId="2" type="noConversion"/>
  </si>
  <si>
    <t>Product Name(EN)</t>
    <phoneticPr fontId="5" type="noConversion"/>
  </si>
  <si>
    <t>PCS / 
OUTBOX</t>
    <phoneticPr fontId="5" type="noConversion"/>
  </si>
  <si>
    <t>ORDER 
BOXES</t>
    <phoneticPr fontId="5" type="noConversion"/>
  </si>
  <si>
    <t>TOTAL 
QUANTITIES</t>
    <phoneticPr fontId="5" type="noConversion"/>
  </si>
  <si>
    <t>Total Supply Price</t>
    <phoneticPr fontId="2" type="noConversion"/>
  </si>
  <si>
    <t>TOTAL</t>
    <phoneticPr fontId="2" type="noConversion"/>
  </si>
  <si>
    <t>Product Name(KR)</t>
    <phoneticPr fontId="5" type="noConversion"/>
  </si>
  <si>
    <t>마다가스카르 센텔라 라이트 클렌징 오일 200ml</t>
  </si>
  <si>
    <t>SKIN1004 Madagascar Centella Light Cleansing Oil 200ml</t>
  </si>
  <si>
    <t>마다가스카르 센텔라 라이트 클렌징 오일 30ml</t>
  </si>
  <si>
    <t>SKIN1004 Madagascar Centella Light Cleansing Oil 30ml</t>
  </si>
  <si>
    <t>마다가스카르 센텔라 앰플폼 125ml</t>
  </si>
  <si>
    <t>SKIN1004 Madagascar Centella Ampoule Foam 125ml</t>
  </si>
  <si>
    <t>마다가스카르 센텔라 앰플폼 20ml</t>
  </si>
  <si>
    <t>SKIN1004 Madagascar Centella Ampoule Foam 20ml</t>
  </si>
  <si>
    <t>마다가스카르 센텔라 토닝토너 400ml</t>
  </si>
  <si>
    <t>SKIN1004 Madagascar Centella Toning Toner 400ml</t>
  </si>
  <si>
    <t>마다가스카르 센텔라 토닝토너 210ml</t>
  </si>
  <si>
    <t>SKIN1004 Madagascar Centella Toning Toner 210ml</t>
  </si>
  <si>
    <t>마다가스카르 센텔라 토닝 토너 30ml</t>
  </si>
  <si>
    <t>SKIN1004 Madagascar Centella Toning Toner 30ml</t>
  </si>
  <si>
    <t>마다가스카르 센텔라 앰플 100ml</t>
  </si>
  <si>
    <t>SKIN1004 Madagascar Centella Ampoule 100ml</t>
  </si>
  <si>
    <t>마다가스카르 센텔라 앰플 55ml</t>
  </si>
  <si>
    <t>SKIN1004 Madagascar Centella Ampoule 55ml</t>
  </si>
  <si>
    <t>마다가스카르 센텔라 앰플 30ml</t>
  </si>
  <si>
    <t>SKIN1004 Madagascar Centella Ampoule 30ml</t>
  </si>
  <si>
    <t>마다가스카르 센텔라 퀵 카밍 패드 70ea</t>
  </si>
  <si>
    <t>SKIN1004 Madagascar Centella Quick Calming Pad</t>
  </si>
  <si>
    <t>마다가스카르 센텔라 워터겔시트 앰플 마스크 (1매)</t>
  </si>
  <si>
    <t>SKIN1004 Madagascar Centella Watergel Sheet Ampoule Mask (1ea)</t>
  </si>
  <si>
    <t>마다가스카르 센텔라 워터겔시트 앰플 마스크 (5매)</t>
  </si>
  <si>
    <t>SKIN1004 Madagascar Centella Watergel Sheet Ampoule Mask (5ea)</t>
  </si>
  <si>
    <t>마다가스카르 센텔라 수딩크림 75ml</t>
  </si>
  <si>
    <t>SKIN1004 Madagascar Centella Soothing Cream 75ml</t>
  </si>
  <si>
    <t>마다가스카르 센텔라 수딩 크림 30ml</t>
  </si>
  <si>
    <t>SKIN1004 Madagascar Centella Soothing Cream 30ml</t>
  </si>
  <si>
    <t>마다가스카르 센텔라 크림 75ml</t>
  </si>
  <si>
    <t>SKIN1004 Madagascar Centella Cream 75ml</t>
  </si>
  <si>
    <t>마다가스카르 센텔라 크림 30ml</t>
  </si>
  <si>
    <t>SKIN1004 Madagascar Centella Cream 30ml</t>
  </si>
  <si>
    <t>마다가스카르 센텔라 에어핏 선크림 라이트 50ml SPF30 PA++++</t>
  </si>
  <si>
    <t>SKIN1004 Madagascar Centella Air-Fit Suncream Light 50ml</t>
  </si>
  <si>
    <t>마다가스카르 센텔라 에어핏 선크림 플러스 50ml</t>
  </si>
  <si>
    <t>SKIN1004 Madagascar Centella Air-Fit Suncream Plus 50ml</t>
  </si>
  <si>
    <t>마다가스카르  센텔라  히알루-시카  광채  토너 210ml</t>
  </si>
  <si>
    <t>SKIN1004 Madagascar Centella Hyalu-Cica Brightening Toner 210ml</t>
  </si>
  <si>
    <t>마다가스카르  센텔라  히알루-시카  광채  토너 30ml</t>
  </si>
  <si>
    <t>SKIN1004 Madagascar Centella Hyalu-Cica Brightening Toner 30ml</t>
  </si>
  <si>
    <t>마다가스카르 센텔라 히알루-시카 클라우디 미스트 120ml</t>
  </si>
  <si>
    <t>SKIN1004 Madagascar Centella Hyalu-Cica Cloudy Mist 120ml</t>
  </si>
  <si>
    <t>마다가스카르 센텔라 히알루 시카 퍼스트 앰플 100ml</t>
  </si>
  <si>
    <t>SKIN1004 Madagascar Centella Hyalu-Cica First Ampoule 100ml</t>
  </si>
  <si>
    <t>마다가스카르 센텔라 히알루 시카 퍼스트 앰플 50ml</t>
  </si>
  <si>
    <t>SKIN1004 Madagascar Centella Hyalu-Cica First Ampoule 50ml</t>
  </si>
  <si>
    <t>마다가스카르 센텔라 히알루 시카 블루 세럼 50ml</t>
  </si>
  <si>
    <t>SKIN1004 Madagascar Centella Hyalu-Cica Blue Serum 50ml</t>
  </si>
  <si>
    <t>마다가스카르 센텔라 히알루-시카 블루 세럼 30ml</t>
  </si>
  <si>
    <t>SKIN1004 Madagascar Centella Hyalu-Cica Blue Serum 30ml</t>
  </si>
  <si>
    <t>마다가스카르 센텔라 히알루 시카 슬리핑 팩 100ml</t>
  </si>
  <si>
    <t>SKIN1004 Madagascar Centella Hyalu-Cica Sleeping Pack 100ml</t>
  </si>
  <si>
    <t>마다가스카르 센텔라 히알루 시카 슬리핑 팩 30ml</t>
  </si>
  <si>
    <t>SKIN1004 Madagascar Centella Hyalu-Cica Sleeping Pack 30ml</t>
  </si>
  <si>
    <t>마다가스카르 센텔라 히알루 시카 모이스처 크림 75ml</t>
  </si>
  <si>
    <t>SKIN1004 Madagascar Centella Hyalu-Cica Moisture Cream 75ml</t>
  </si>
  <si>
    <t>스킨1004 마다가스카르 센텔라 히알루시카 워터핏 선세럼 100ml</t>
  </si>
  <si>
    <t>SKIN1004 Madagascar Centella Hyalu-Cica Water-Fit Sun Serum 100ml</t>
  </si>
  <si>
    <t>마다가스카르 히알루-시카 워터핏 선 세럼 50ml SPF50+ PA++++</t>
  </si>
  <si>
    <t>SKIN1004 Madagascar Centella Hyalu-Cica Water-Fit Sun Serum 50ml</t>
  </si>
  <si>
    <t>마다가스카르 히알루-시카 워터핏 선 세럼 15ml SPF50+ PA++++</t>
  </si>
  <si>
    <t>SKIN1004 Madagascar Centella Hyalu-Cica Water-Fit Sun Serum 15ml</t>
  </si>
  <si>
    <t>마다가스카르 히알루-시카 워터핏 선 세럼 듀얼 팩</t>
  </si>
  <si>
    <t>SKIN1004 Madagascar Centella Hyalu-Cica Water-Fit Sun Serum Twin Pack (50ml*2)</t>
  </si>
  <si>
    <t>마다가스카르 센텔라 히알루-시카 실키핏 선 스틱 20g(SPF50+, PA++++)</t>
  </si>
  <si>
    <t>SKIN1004 Madagascar Centella Hyalu-Cica Silky-Fit Sun Stick 20g</t>
  </si>
  <si>
    <t>스킨1004 마다가스카르 센텔라 히알루-시카 하이드레이팅 마스크 23ml (1ea)</t>
  </si>
  <si>
    <t>SKIN1004 Madagascar Centella Hyalu-Cica Hydrating Mask 23ml (1ea)</t>
  </si>
  <si>
    <t>스킨1004 마다가스카르 센텔라 히알루-시카 하이드레이팅 마스크 23ml (5ea)</t>
  </si>
  <si>
    <t>SKIN1004 Madagascar Centella Hyalu-Cica Hydrating Mask 23ml (5ea)</t>
  </si>
  <si>
    <t>마다가스카르 톤 브라이트닝 클렌징 젤 폼 125ml</t>
  </si>
  <si>
    <t>SKIN1004 Madagascar Centella Tone Brightening Cleansing Gel Foam 125ml</t>
  </si>
  <si>
    <t>마다가스카르 톤 브라이트닝 부스팅 토너 210ml</t>
  </si>
  <si>
    <t>SKIN1004 Madagascar Centella Tone Brightening Boosting Toner 210ml</t>
  </si>
  <si>
    <t>마다가스카르 톤 브라이트닝 캡슐 앰플 100ml</t>
  </si>
  <si>
    <t>SKIN1004 Madagascar Centella Tone Brightening Capsule Ampoule 100ml</t>
  </si>
  <si>
    <t>스킨1004 마다가스카르 센텔라 톤 브라이트닝 캡슐 앰플 50ml</t>
  </si>
  <si>
    <t>SKIN1004 Madagascar Centella Tone Brightening Capsule Ampoule 50ml</t>
  </si>
  <si>
    <t>마다가스카르 톤 브라이트닝 캡슐 앰플 30ml</t>
  </si>
  <si>
    <t>SKIN1004 Madagascar Centella Tone Brightening Capsule Ampoule 30ml</t>
  </si>
  <si>
    <t>마다가스카르 톤 브라이트닝 캡슐 크림 75ml</t>
  </si>
  <si>
    <t>SKIN1004 Madagascar Centella Tone Brightening Capsule Cream 75ml</t>
  </si>
  <si>
    <t>SKIN1004 마다가스카르 센텔라 톤 브라이트닝 글로우 마스크 25ml</t>
  </si>
  <si>
    <t>SKIN1004 Madagascar Centella Tone Brightening Glow Mask 25ml (1ea)</t>
  </si>
  <si>
    <t>SKIN1004 Madagascar Centella Tone Brightening Glow Mask 25ml (5ea)</t>
  </si>
  <si>
    <t>마다가스카르 센텔라 톤 브라이트닝 톤업 선 스크린 50ml</t>
  </si>
  <si>
    <t>SKIN1004 Madagascar Centella Tone Brightening Tone-Up Sunscreen 50ml</t>
  </si>
  <si>
    <t>마다가스카르 센텔라 포어마이징 딥 클렌징폼 125ml</t>
  </si>
  <si>
    <t>SKIN1004 Madagascar Centella Poremizing Deep Cleansing Foam 125ml</t>
  </si>
  <si>
    <t>마다가스카르 센텔라 포어마이징 클리어 토너 210ml</t>
  </si>
  <si>
    <t>SKIN1004 Madagascar Centella Poremizing Clear Toner 210ml</t>
  </si>
  <si>
    <t>마다가스카르 센텔라 포어마이징 프레시 앰플 100ml</t>
  </si>
  <si>
    <t>SKIN1004 Madagascar Centella Poremizing Fresh Ampoule 100ml</t>
  </si>
  <si>
    <t>마다가스카르 센텔라 포어마이징 프레시 앰플 50ml</t>
  </si>
  <si>
    <t>SKIN1004 Madagascar Centella Poremizing Fresh Ampoule 50ml</t>
  </si>
  <si>
    <t>마다가스카르 센텔라 포어마이징 프레시 앰플 30ml</t>
  </si>
  <si>
    <t>SKIN1004 Madagascar Centella Poremizing Fresh Ampoule 30ml</t>
  </si>
  <si>
    <t>마다가스카르 센텔라 포어마이징 라이트 젤 크림 75ml</t>
  </si>
  <si>
    <t>SKIN1004 Madagascar Centella Poremizing Light Gel Cream 75ml</t>
  </si>
  <si>
    <t>마다가스카르 센텔라 포어마이징 퀵 클레이 스틱 마스크 27g</t>
  </si>
  <si>
    <t>SKIN1004 Madagascar Centella Poremizing Quick Clay Stick Mask 27g</t>
  </si>
  <si>
    <t>스킨1004 마다가스카르 센텔라 포어마이징 클래리파잉 마스크 23ml (1ea)</t>
  </si>
  <si>
    <t>SKIN1004 Madagascar Centella Poremizing Clarifying Mask 23ml (1ea)</t>
  </si>
  <si>
    <t>스킨1004 마다가스카르 센텔라 포어마이징 클래리파잉 마스크 23ml (5ea)</t>
  </si>
  <si>
    <t>SKIN1004 Madagascar Centella Poremizing Clarifying Mask 23ml (5ea)</t>
  </si>
  <si>
    <t>마다가스카르 센텔라 포어마이징 벨벳 피니쉬 선스크린 50ml</t>
  </si>
  <si>
    <t>SKIN1004 Madagascar Centella Poremizing Velvet Finish Sunscreen 50ml</t>
  </si>
  <si>
    <t>마다가스카르 센텔라 티트리카 바하 폼 125ml</t>
  </si>
  <si>
    <t>SKIN1004 Madagascar Centella Tea-Trica Bha Foam 125ml</t>
  </si>
  <si>
    <t>마다가스카르 센텔라 티트리카 퓨리파잉 토너 210ml</t>
  </si>
  <si>
    <t>SKIN1004 Madagascar Centella Tea-Trica Purifying Toner 210ml</t>
  </si>
  <si>
    <t>마다가스카르 센텔라 티트리카 릴리프 앰플 100ml</t>
  </si>
  <si>
    <t>SKIN1004 Madagascar Centella Tea-Trica Relief Ampoule 100ml</t>
  </si>
  <si>
    <t>마다가스카르 센텔라 티트리카 릴리프 앰플 30ml</t>
  </si>
  <si>
    <t>SKIN1004 Madagascar Centella Tea-Trica Relief Ampoule 30ml</t>
  </si>
  <si>
    <t>마다가스카르 센텔라 티트리카 B5 크림 75ml</t>
  </si>
  <si>
    <t>SKIN1004 Madagascar Centella Tea-Trica B5 Cream 75ml</t>
  </si>
  <si>
    <t>스킨1004 마다가스카르 센텔라 티트리카 스팟 크림 20ml</t>
  </si>
  <si>
    <t>SKIN1004 Madagascar Centella Tea-Trica Spot Cream 20ml</t>
  </si>
  <si>
    <t>스킨1004 마다가스카르 센텔라 티트리카 수딩 선 밀크 50ml</t>
  </si>
  <si>
    <t>SKIN1004 Madagascar Centella Tea-Trica Soothing Sun Milk 50ml</t>
  </si>
  <si>
    <t>마다가스카르 센텔라 티트리카 릴렉싱 마스크 24ml (1ea)</t>
  </si>
  <si>
    <t>SKIN1004 Madagascar Centella Tea-Trica Relaxing Mask (1ea)</t>
  </si>
  <si>
    <t>마다가스카르 센텔라 티트리카 릴렉싱 마스크 24ml (5ea)</t>
  </si>
  <si>
    <t>SKIN1004 Madagascar Centella Tea-Trica Relaxing Mask (5ea)</t>
  </si>
  <si>
    <t>마다가스카르 센텔라 프로바이오시카 에센스 토너 210ml</t>
  </si>
  <si>
    <t>SKIN1004 Madagascar Centella Probio-Cica Essense Toner 210ml</t>
  </si>
  <si>
    <t>마다가스카르 센텔라 프로바이오시카 인텐시브 앰플 30ml</t>
  </si>
  <si>
    <t>SKIN1004 Madagascar Centella Probio-Cica Intensive Ampoule 30ml</t>
  </si>
  <si>
    <t>마다가스카르 센텔라 프로바이오시카 인텐시브 앰플 50ml</t>
  </si>
  <si>
    <t>SKIN1004 Madagascar Centella Probio-Cica Intensive Ampoule 50ml</t>
  </si>
  <si>
    <t>마다가스카르 센텔라 프로바이오시카 인텐시브 앰플 95ml</t>
  </si>
  <si>
    <t>SKIN1004 Madagascar Centella Probio-Cica Intensive Ampoule 95ml</t>
  </si>
  <si>
    <t>마다가스카르 센텔라 프로바이오시카 인리치 크림 50ml</t>
  </si>
  <si>
    <t>SKIN1004 Madagascar Centella Probio-Cica Enrich Cream 50ml</t>
  </si>
  <si>
    <t>마다가스카르 센텔라 프로바이오시카 인리치 크림 15ml</t>
  </si>
  <si>
    <t>SKIN1004 Madagascar Centella Probio-Cica Enrich Cream 15ml</t>
  </si>
  <si>
    <t>마다가스카르 센텔라 프로바이오시카 바쿠치올 아이 크림 20ml</t>
  </si>
  <si>
    <t>SKIN1004 Madagascar Centella Probio-Cica Bakuchiol Eye Cream 20ml</t>
  </si>
  <si>
    <t>스킨1004 마다가스카르 센텔라 프로비오-시카 바쿠치올 아이 크림 트윈 팩 (20ml*2)</t>
  </si>
  <si>
    <t>SKIN1004 Madagascar Centella Probio-Cica Bakuchiol Eye Cream Twin Pack (20ml*2)</t>
  </si>
  <si>
    <t>스킨1004 마다가스카르 센텔라 프로바이오시카 글로우 선 앰플 50ml</t>
  </si>
  <si>
    <t>SKIN1004 Madagascar Centella Probio-cica Glow Sun Ampoule 50ml</t>
  </si>
  <si>
    <t>스킨1004 마다가스카르 센텔라 프로바이오시카 너리싱 마스크 22ml (1ea)</t>
  </si>
  <si>
    <t>SKIN1004 Madagascar Centella Probio-Cica Nourishing Mask 23ml (1ea)</t>
  </si>
  <si>
    <t>스킨1004 마다가스카르 센텔라 프로바이오시카 너리싱 마스크 22ml (5ea)</t>
  </si>
  <si>
    <t>SKIN1004 Madagascar Centella Probio-Cica Nourishing Mask 23ml (5ea)</t>
  </si>
  <si>
    <t>좀비 뷰티 스킨1004 블러디필</t>
  </si>
  <si>
    <t>ZOMBIE BEAUTY by SKIN1004 Bloody Peel</t>
  </si>
  <si>
    <t>ZOMBIE BEAUTY by SKIN1004 Cocoon Soap Mask</t>
  </si>
  <si>
    <t>좀비 뷰티 스킨1004 펌킨팩</t>
  </si>
  <si>
    <t>ZOMBIE BEAUTY BY SKIN1004 Pumpkin PACK</t>
  </si>
  <si>
    <t>좀비 뷰티 스킨1004 마녀팩</t>
  </si>
  <si>
    <t>ZOMBIE BEAUTY by SKIN1004 Witch Pack</t>
  </si>
  <si>
    <t>좀비뷰티 좀비팩 &amp; 엑티베이터 키트</t>
  </si>
  <si>
    <t>ZOMBIE BEAUTY by SKIN1004 Zombie Pack &amp; Activator Kit</t>
  </si>
  <si>
    <t>좀비 뷰티 스킨1004 머미팩 2g*8ea</t>
  </si>
  <si>
    <t>ZOMBIE BEAUTY by SKIN1004 Mummy Pack &amp; Activator Kit</t>
  </si>
  <si>
    <t>마다가스카르 센텔라 앰플 키트</t>
  </si>
  <si>
    <t>SKIN1004 Madagascar Centella Ampoule Kit</t>
  </si>
  <si>
    <t>마다가스카르 센텔라 트래블 키트</t>
  </si>
  <si>
    <t>SKIN1004 Madagascar Centella Travel Kit</t>
  </si>
  <si>
    <t>스킨1004 마다가스카르 센텔라 클렌징 듀오</t>
  </si>
  <si>
    <t>SKIN1004 Madagascar Centella Double Cleansing Duo</t>
  </si>
  <si>
    <t>마다가스카르 센텔라 퀵 카밍 듀오</t>
  </si>
  <si>
    <t>SKIN1004 Madagascar Centella Quick Calming Duo</t>
  </si>
  <si>
    <t>마다가스카르 센텔라 글로우 1004 듀오</t>
  </si>
  <si>
    <t>SKIN1004 Madagascar Centella Glow Duo</t>
  </si>
  <si>
    <t>마다가스카르 센텔라 매트릭실 10 부스팅샷 앰플 30ml</t>
  </si>
  <si>
    <t>SKIN1004 Madagascar Centella Matrixyl 10 Boosting Shot Ampoule 30ml</t>
  </si>
  <si>
    <t>마다가스카르 센텔라 나이아신아마이드 10 부스팅샷 앰플 30ml</t>
  </si>
  <si>
    <t>SKIN1004 Madagascar Centella Niacinamide 10 Boosting Shot Ampoule 30ml</t>
  </si>
  <si>
    <t>마다가스카르 센텔라 레티놀 0.2 부스팅샷 앰플 30ml</t>
  </si>
  <si>
    <t>SKIN1004 Madagascar Centella Retinol 0.2 Boosting Shot Ampoule 30ml</t>
  </si>
  <si>
    <t>마다가스카르 센텔라 히알루-시카 실키핏 선 스틱 7g(SPF50+, PA++++)</t>
  </si>
  <si>
    <t>SKIN1004 Madagascar Centella Hyalu-Cica Silky-Fit Sun Stick 7g</t>
  </si>
  <si>
    <t>마다가스카르 센텔라 히알루-시카 젠틀 클렌징 밀크 200ml</t>
  </si>
  <si>
    <t>SKIN1004 Madagascar Centella Hyalu-Cica Gentle Cleansing Milk 200ml</t>
  </si>
  <si>
    <t>마다가스카르 센텔라-히알루 시카 젤리핏 앰플 패드 60매</t>
  </si>
  <si>
    <t>SKIN1004 Madagascar Centella Hyalu-Cica Jelly-Fit Ampoule Pad</t>
  </si>
  <si>
    <t>마다가스카르 센텔라 톤 브라이트닝 다크 스팟 앰플 패드 60매</t>
  </si>
  <si>
    <t>SKIN1004 Madagascar Centella Tone Brightening Dark Spot Ampoule Pad</t>
  </si>
  <si>
    <t xml:space="preserve">마다가스카르 센텔라 티트리카 마일드 필링 젤 125ml </t>
  </si>
  <si>
    <t>SKIN1004 Madagascar Centella Tea-Trica Mild Peeling Gel 125ml</t>
  </si>
  <si>
    <t>마다가스카르 히알루-시카 워터핏 선 세럼 50ml_OTC SPF50+ PA++++</t>
  </si>
  <si>
    <t>SKIN1004 Madagascar Centella Hyalu-Cica Water-Fit Sun Serum UV 50ml_OTC</t>
  </si>
  <si>
    <t>MSRP
(KRW)</t>
    <phoneticPr fontId="5" type="noConversion"/>
  </si>
  <si>
    <t>Supply Price
(KRW)</t>
    <phoneticPr fontId="5" type="noConversion"/>
  </si>
  <si>
    <t>Supply Rate</t>
    <phoneticPr fontId="5" type="noConversion"/>
  </si>
  <si>
    <t>PAPACOSMETIC SKIN 1004 PRICE LIST</t>
    <phoneticPr fontId="2" type="noConversion"/>
  </si>
  <si>
    <r>
      <t xml:space="preserve">MOA : </t>
    </r>
    <r>
      <rPr>
        <b/>
        <sz val="14"/>
        <color theme="1"/>
        <rFont val="맑은 고딕"/>
        <family val="3"/>
        <charset val="129"/>
      </rPr>
      <t>\1</t>
    </r>
    <r>
      <rPr>
        <b/>
        <sz val="14"/>
        <color theme="1"/>
        <rFont val="맑은 고딕"/>
        <family val="3"/>
        <charset val="129"/>
        <scheme val="minor"/>
      </rPr>
      <t>00,000,000</t>
    </r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</si>
</sst>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76" formatCode="_-[$₩-412]* #,##0_-;\-[$₩-412]* #,##0_-;_-[$₩-412]* &quot;-&quot;??_-;_-@_-"/>
    <numFmt numFmtId="177" formatCode="#,##0_ "/>
    <numFmt numFmtId="178" formatCode="_-* #,##0_-;\-* #,##0_-;_-* &quot;-&quot;_-;_-@_-"/>
    <numFmt numFmtId="179" formatCode="&quot;₩&quot;#,##0_);[Red]\(&quot;₩&quot;#,##0\)"/>
    <numFmt numFmtId="180" formatCode="0_);[Red]\(0\)"/>
    <numFmt numFmtId="181" formatCode="_-[$₩-412]* #,##0.00_-;\-[$₩-412]* #,##0.00_-;_-[$₩-412]* &quot;-&quot;??_-;_-@_-"/>
  </numFmts>
  <fonts count="14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8"/>
      <name val="맑은 고딕"/>
      <family val="3"/>
      <charset val="129"/>
      <scheme val="minor"/>
    </font>
    <font>
      <b/>
      <sz val="14"/>
      <color rgb="FF00B0F0"/>
      <name val="맑은 고딕"/>
      <family val="3"/>
      <charset val="129"/>
      <scheme val="minor"/>
    </font>
    <font>
      <b/>
      <sz val="11"/>
      <color theme="5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b/>
      <sz val="11"/>
      <color theme="0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theme="9" tint="0.79998168889431442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6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1" fillId="2" borderId="0" applyNumberFormat="0" applyBorder="0" applyAlignment="0" applyProtection="0">
      <alignment vertical="center"/>
    </xf>
  </cellStyleXfs>
  <cellXfs count="24">
    <xf numFmtId="0" fontId="0" fillId="0" borderId="0" xfId="0">
      <alignment vertical="center"/>
    </xf>
    <xf numFmtId="176" fontId="0" fillId="0" borderId="0" xfId="0" applyNumberFormat="1">
      <alignment vertical="center"/>
    </xf>
    <xf numFmtId="0" fontId="3" fillId="3" borderId="1" xfId="1" applyFont="1" applyFill="1" applyBorder="1" applyAlignment="1">
      <alignment horizontal="center" vertical="center"/>
    </xf>
    <xf numFmtId="178" fontId="7" fillId="4" borderId="1" xfId="1" applyNumberFormat="1" applyFont="1" applyFill="1" applyBorder="1" applyAlignment="1">
      <alignment horizontal="center" vertical="center"/>
    </xf>
    <xf numFmtId="178" fontId="7" fillId="0" borderId="1" xfId="1" applyNumberFormat="1" applyFont="1" applyFill="1" applyBorder="1" applyAlignment="1">
      <alignment horizontal="center" vertical="center"/>
    </xf>
    <xf numFmtId="179" fontId="7" fillId="0" borderId="1" xfId="1" applyNumberFormat="1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180" fontId="8" fillId="0" borderId="1" xfId="0" applyNumberFormat="1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/>
    </xf>
    <xf numFmtId="180" fontId="9" fillId="0" borderId="1" xfId="0" applyNumberFormat="1" applyFont="1" applyBorder="1" applyAlignment="1">
      <alignment horizontal="center" vertical="center" wrapText="1"/>
    </xf>
    <xf numFmtId="179" fontId="9" fillId="0" borderId="1" xfId="0" applyNumberFormat="1" applyFont="1" applyBorder="1" applyAlignment="1">
      <alignment horizontal="center" vertical="center" wrapText="1"/>
    </xf>
    <xf numFmtId="0" fontId="0" fillId="4" borderId="1" xfId="0" applyFill="1" applyBorder="1">
      <alignment vertical="center"/>
    </xf>
    <xf numFmtId="178" fontId="8" fillId="0" borderId="1" xfId="0" applyNumberFormat="1" applyFont="1" applyBorder="1" applyAlignment="1">
      <alignment horizontal="center" vertical="center"/>
    </xf>
    <xf numFmtId="179" fontId="8" fillId="0" borderId="1" xfId="0" applyNumberFormat="1" applyFont="1" applyBorder="1" applyAlignment="1">
      <alignment horizontal="center" vertical="center"/>
    </xf>
    <xf numFmtId="0" fontId="10" fillId="5" borderId="1" xfId="1" applyFont="1" applyFill="1" applyBorder="1" applyAlignment="1">
      <alignment horizontal="center" vertical="center"/>
    </xf>
    <xf numFmtId="0" fontId="10" fillId="5" borderId="1" xfId="1" applyFont="1" applyFill="1" applyBorder="1" applyAlignment="1">
      <alignment horizontal="center" vertical="center" wrapText="1"/>
    </xf>
    <xf numFmtId="177" fontId="10" fillId="5" borderId="1" xfId="1" applyNumberFormat="1" applyFont="1" applyFill="1" applyBorder="1" applyAlignment="1">
      <alignment horizontal="center" vertical="center" wrapText="1"/>
    </xf>
    <xf numFmtId="176" fontId="10" fillId="5" borderId="1" xfId="1" applyNumberFormat="1" applyFont="1" applyFill="1" applyBorder="1" applyAlignment="1">
      <alignment horizontal="center" vertical="center" wrapText="1"/>
    </xf>
    <xf numFmtId="176" fontId="10" fillId="5" borderId="1" xfId="1" applyNumberFormat="1" applyFont="1" applyFill="1" applyBorder="1" applyAlignment="1">
      <alignment horizontal="center" vertical="center"/>
    </xf>
    <xf numFmtId="10" fontId="8" fillId="0" borderId="1" xfId="0" applyNumberFormat="1" applyFont="1" applyBorder="1" applyAlignment="1">
      <alignment horizontal="center" vertical="center" wrapText="1"/>
    </xf>
    <xf numFmtId="181" fontId="11" fillId="0" borderId="0" xfId="0" applyNumberFormat="1" applyFont="1" applyAlignment="1">
      <alignment horizontal="center" vertical="center"/>
    </xf>
    <xf numFmtId="0" fontId="12" fillId="6" borderId="0" xfId="0" quotePrefix="1" applyFont="1" applyFill="1" applyAlignment="1">
      <alignment horizontal="center" vertical="center"/>
    </xf>
    <xf numFmtId="0" fontId="12" fillId="6" borderId="0" xfId="0" applyFont="1" applyFill="1" applyAlignment="1">
      <alignment horizontal="center" vertical="center"/>
    </xf>
    <xf numFmtId="0" fontId="6" fillId="0" borderId="1" xfId="0" applyFont="1" applyBorder="1" applyAlignment="1">
      <alignment horizontal="center" vertical="center" wrapText="1" shrinkToFit="1"/>
    </xf>
  </cellXfs>
  <cellStyles count="2">
    <cellStyle name="20% - Accent6" xfId="1" builtinId="50"/>
    <cellStyle name="Normal" xfId="0" builtinId="0"/>
  </cellStyles>
  <dxfs count="8"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CC94DF-3364-4264-AA36-11354323CB11}">
  <dimension ref="A1:K101"/>
  <sheetViews>
    <sheetView tabSelected="1" topLeftCell="A85" zoomScale="85" zoomScaleNormal="85" workbookViewId="0">
      <selection activeCell="M91" sqref="M91"/>
    </sheetView>
  </sheetViews>
  <sheetFormatPr defaultRowHeight="16.5" x14ac:dyDescent="0.3"/>
  <cols>
    <col min="2" max="2" width="15.625" bestFit="1" customWidth="1"/>
    <col min="3" max="3" width="42.125" customWidth="1"/>
    <col min="4" max="4" width="65.75" customWidth="1"/>
    <col min="5" max="6" width="9.25" bestFit="1" customWidth="1"/>
    <col min="7" max="7" width="9.625" customWidth="1"/>
    <col min="9" max="9" width="16.875" bestFit="1" customWidth="1"/>
    <col min="10" max="10" width="22.5" bestFit="1" customWidth="1"/>
    <col min="11" max="11" width="20.125" bestFit="1" customWidth="1"/>
  </cols>
  <sheetData>
    <row r="1" spans="1:11" ht="41.25" customHeight="1" x14ac:dyDescent="0.3">
      <c r="A1" s="21" t="s">
        <v>200</v>
      </c>
      <c r="B1" s="22"/>
      <c r="C1" s="22"/>
      <c r="D1" s="20" t="s">
        <v>201</v>
      </c>
    </row>
    <row r="4" spans="1:11" x14ac:dyDescent="0.3">
      <c r="F4" s="1"/>
      <c r="G4" s="1"/>
    </row>
    <row r="5" spans="1:11" ht="30" customHeight="1" x14ac:dyDescent="0.3">
      <c r="A5" s="14" t="s">
        <v>0</v>
      </c>
      <c r="B5" s="14" t="s">
        <v>1</v>
      </c>
      <c r="C5" s="14" t="s">
        <v>8</v>
      </c>
      <c r="D5" s="14" t="s">
        <v>2</v>
      </c>
      <c r="E5" s="16" t="s">
        <v>197</v>
      </c>
      <c r="F5" s="16" t="s">
        <v>198</v>
      </c>
      <c r="G5" s="17" t="s">
        <v>199</v>
      </c>
      <c r="H5" s="15" t="s">
        <v>3</v>
      </c>
      <c r="I5" s="18" t="s">
        <v>4</v>
      </c>
      <c r="J5" s="18" t="s">
        <v>5</v>
      </c>
      <c r="K5" s="18" t="s">
        <v>6</v>
      </c>
    </row>
    <row r="6" spans="1:11" ht="30" customHeight="1" x14ac:dyDescent="0.3">
      <c r="A6" s="2"/>
      <c r="B6" s="2"/>
      <c r="C6" s="2"/>
      <c r="D6" s="2"/>
      <c r="E6" s="23" t="s">
        <v>7</v>
      </c>
      <c r="F6" s="23"/>
      <c r="G6" s="23"/>
      <c r="H6" s="2"/>
      <c r="I6" s="3">
        <f>SUM(I7:I101)</f>
        <v>0</v>
      </c>
      <c r="J6" s="4">
        <f>SUM(J7:J101)</f>
        <v>0</v>
      </c>
      <c r="K6" s="5">
        <f>SUM(K7:K101)</f>
        <v>0</v>
      </c>
    </row>
    <row r="7" spans="1:11" ht="30" customHeight="1" x14ac:dyDescent="0.3">
      <c r="A7" s="6">
        <v>1</v>
      </c>
      <c r="B7" s="7">
        <v>8809657115387</v>
      </c>
      <c r="C7" s="6" t="s">
        <v>9</v>
      </c>
      <c r="D7" s="8" t="s">
        <v>10</v>
      </c>
      <c r="E7" s="10">
        <v>22000</v>
      </c>
      <c r="F7" s="10">
        <v>9600</v>
      </c>
      <c r="G7" s="19">
        <f>F7/E7</f>
        <v>0.43636363636363634</v>
      </c>
      <c r="H7" s="9">
        <v>40</v>
      </c>
      <c r="I7" s="11"/>
      <c r="J7" s="12">
        <f>I7*H7</f>
        <v>0</v>
      </c>
      <c r="K7" s="13">
        <f>IF($F7&gt;0,$J7*$F7,"")</f>
        <v>0</v>
      </c>
    </row>
    <row r="8" spans="1:11" ht="30" customHeight="1" x14ac:dyDescent="0.3">
      <c r="A8" s="6">
        <v>2</v>
      </c>
      <c r="B8" s="7">
        <v>8809657114731</v>
      </c>
      <c r="C8" s="6" t="s">
        <v>11</v>
      </c>
      <c r="D8" s="8" t="s">
        <v>12</v>
      </c>
      <c r="E8" s="10">
        <v>5500</v>
      </c>
      <c r="F8" s="10">
        <v>3524.9999999999995</v>
      </c>
      <c r="G8" s="19">
        <f t="shared" ref="G8:G71" si="0">F8/E8</f>
        <v>0.64090909090909087</v>
      </c>
      <c r="H8" s="9">
        <v>200</v>
      </c>
      <c r="I8" s="11"/>
      <c r="J8" s="12">
        <f t="shared" ref="J8:J71" si="1">I8*H8</f>
        <v>0</v>
      </c>
      <c r="K8" s="13">
        <f t="shared" ref="K8:K71" si="2">IF($F8&gt;0,$J8*$F8,"")</f>
        <v>0</v>
      </c>
    </row>
    <row r="9" spans="1:11" ht="30" customHeight="1" x14ac:dyDescent="0.3">
      <c r="A9" s="6">
        <v>3</v>
      </c>
      <c r="B9" s="7">
        <v>8809657114748</v>
      </c>
      <c r="C9" s="6" t="s">
        <v>13</v>
      </c>
      <c r="D9" s="8" t="s">
        <v>14</v>
      </c>
      <c r="E9" s="10">
        <v>14000</v>
      </c>
      <c r="F9" s="10">
        <v>7763.6363636363631</v>
      </c>
      <c r="G9" s="19">
        <f t="shared" si="0"/>
        <v>0.55454545454545445</v>
      </c>
      <c r="H9" s="9">
        <v>40</v>
      </c>
      <c r="I9" s="11"/>
      <c r="J9" s="12">
        <f t="shared" si="1"/>
        <v>0</v>
      </c>
      <c r="K9" s="13">
        <f t="shared" si="2"/>
        <v>0</v>
      </c>
    </row>
    <row r="10" spans="1:11" ht="30" customHeight="1" x14ac:dyDescent="0.3">
      <c r="A10" s="6">
        <v>4</v>
      </c>
      <c r="B10" s="7">
        <v>8809657114779</v>
      </c>
      <c r="C10" s="6" t="s">
        <v>15</v>
      </c>
      <c r="D10" s="8" t="s">
        <v>16</v>
      </c>
      <c r="E10" s="10">
        <v>4000</v>
      </c>
      <c r="F10" s="10">
        <v>2854.5454545454545</v>
      </c>
      <c r="G10" s="19">
        <f t="shared" si="0"/>
        <v>0.71363636363636362</v>
      </c>
      <c r="H10" s="9">
        <v>200</v>
      </c>
      <c r="I10" s="11"/>
      <c r="J10" s="12">
        <f t="shared" si="1"/>
        <v>0</v>
      </c>
      <c r="K10" s="13">
        <f t="shared" si="2"/>
        <v>0</v>
      </c>
    </row>
    <row r="11" spans="1:11" ht="30" customHeight="1" x14ac:dyDescent="0.3">
      <c r="A11" s="6">
        <v>5</v>
      </c>
      <c r="B11" s="7">
        <v>8809738600245</v>
      </c>
      <c r="C11" s="6" t="s">
        <v>17</v>
      </c>
      <c r="D11" s="8" t="s">
        <v>18</v>
      </c>
      <c r="E11" s="10">
        <v>27000</v>
      </c>
      <c r="F11" s="10">
        <v>14604.545454545454</v>
      </c>
      <c r="G11" s="19">
        <f t="shared" si="0"/>
        <v>0.54090909090909089</v>
      </c>
      <c r="H11" s="9">
        <v>25</v>
      </c>
      <c r="I11" s="11"/>
      <c r="J11" s="12">
        <f t="shared" si="1"/>
        <v>0</v>
      </c>
      <c r="K11" s="13">
        <f t="shared" si="2"/>
        <v>0</v>
      </c>
    </row>
    <row r="12" spans="1:11" ht="30" customHeight="1" x14ac:dyDescent="0.3">
      <c r="A12" s="6">
        <v>6</v>
      </c>
      <c r="B12" s="7">
        <v>8809738608364</v>
      </c>
      <c r="C12" s="6" t="s">
        <v>19</v>
      </c>
      <c r="D12" s="8" t="s">
        <v>20</v>
      </c>
      <c r="E12" s="10">
        <v>19000</v>
      </c>
      <c r="F12" s="10">
        <v>9672.7272727272739</v>
      </c>
      <c r="G12" s="19">
        <f t="shared" si="0"/>
        <v>0.50909090909090915</v>
      </c>
      <c r="H12" s="9">
        <v>40</v>
      </c>
      <c r="I12" s="11"/>
      <c r="J12" s="12">
        <f t="shared" si="1"/>
        <v>0</v>
      </c>
      <c r="K12" s="13">
        <f t="shared" si="2"/>
        <v>0</v>
      </c>
    </row>
    <row r="13" spans="1:11" ht="30" customHeight="1" x14ac:dyDescent="0.3">
      <c r="A13" s="6">
        <v>7</v>
      </c>
      <c r="B13" s="7">
        <v>8809738605677</v>
      </c>
      <c r="C13" s="6" t="s">
        <v>21</v>
      </c>
      <c r="D13" s="8" t="s">
        <v>22</v>
      </c>
      <c r="E13" s="10">
        <v>5000</v>
      </c>
      <c r="F13" s="10">
        <v>3818.181818181818</v>
      </c>
      <c r="G13" s="19">
        <f t="shared" si="0"/>
        <v>0.76363636363636356</v>
      </c>
      <c r="H13" s="9">
        <v>200</v>
      </c>
      <c r="I13" s="11"/>
      <c r="J13" s="12">
        <f t="shared" si="1"/>
        <v>0</v>
      </c>
      <c r="K13" s="13">
        <f t="shared" si="2"/>
        <v>0</v>
      </c>
    </row>
    <row r="14" spans="1:11" ht="30" customHeight="1" x14ac:dyDescent="0.3">
      <c r="A14" s="6">
        <v>8</v>
      </c>
      <c r="B14" s="7">
        <v>8809657115639</v>
      </c>
      <c r="C14" s="6" t="s">
        <v>23</v>
      </c>
      <c r="D14" s="8" t="s">
        <v>24</v>
      </c>
      <c r="E14" s="10">
        <v>23000</v>
      </c>
      <c r="F14" s="10">
        <v>12127.272727272724</v>
      </c>
      <c r="G14" s="19">
        <f t="shared" si="0"/>
        <v>0.52727272727272712</v>
      </c>
      <c r="H14" s="9">
        <v>50</v>
      </c>
      <c r="I14" s="11"/>
      <c r="J14" s="12">
        <f t="shared" si="1"/>
        <v>0</v>
      </c>
      <c r="K14" s="13">
        <f t="shared" si="2"/>
        <v>0</v>
      </c>
    </row>
    <row r="15" spans="1:11" ht="30" customHeight="1" x14ac:dyDescent="0.3">
      <c r="A15" s="6">
        <v>9</v>
      </c>
      <c r="B15" s="7">
        <v>8809657115479</v>
      </c>
      <c r="C15" s="6" t="s">
        <v>25</v>
      </c>
      <c r="D15" s="8" t="s">
        <v>26</v>
      </c>
      <c r="E15" s="10">
        <v>16500</v>
      </c>
      <c r="F15" s="10">
        <v>8174.9999999999991</v>
      </c>
      <c r="G15" s="19">
        <f t="shared" si="0"/>
        <v>0.49545454545454543</v>
      </c>
      <c r="H15" s="9">
        <v>50</v>
      </c>
      <c r="I15" s="11"/>
      <c r="J15" s="12">
        <f t="shared" si="1"/>
        <v>0</v>
      </c>
      <c r="K15" s="13">
        <f t="shared" si="2"/>
        <v>0</v>
      </c>
    </row>
    <row r="16" spans="1:11" ht="30" customHeight="1" x14ac:dyDescent="0.3">
      <c r="A16" s="6">
        <v>10</v>
      </c>
      <c r="B16" s="7">
        <v>8809738604755</v>
      </c>
      <c r="C16" s="6" t="s">
        <v>27</v>
      </c>
      <c r="D16" s="8" t="s">
        <v>28</v>
      </c>
      <c r="E16" s="10">
        <v>9500</v>
      </c>
      <c r="F16" s="10">
        <v>4922.727272727273</v>
      </c>
      <c r="G16" s="19">
        <f t="shared" si="0"/>
        <v>0.51818181818181819</v>
      </c>
      <c r="H16" s="9">
        <v>128</v>
      </c>
      <c r="I16" s="11"/>
      <c r="J16" s="12">
        <f t="shared" si="1"/>
        <v>0</v>
      </c>
      <c r="K16" s="13">
        <f t="shared" si="2"/>
        <v>0</v>
      </c>
    </row>
    <row r="17" spans="1:11" ht="30" customHeight="1" x14ac:dyDescent="0.3">
      <c r="A17" s="6">
        <v>11</v>
      </c>
      <c r="B17" s="7">
        <v>8809743540710</v>
      </c>
      <c r="C17" s="6" t="s">
        <v>29</v>
      </c>
      <c r="D17" s="8" t="s">
        <v>30</v>
      </c>
      <c r="E17" s="10">
        <v>22000</v>
      </c>
      <c r="F17" s="10">
        <v>10200</v>
      </c>
      <c r="G17" s="19">
        <f t="shared" si="0"/>
        <v>0.46363636363636362</v>
      </c>
      <c r="H17" s="9">
        <v>50</v>
      </c>
      <c r="I17" s="11"/>
      <c r="J17" s="12">
        <f t="shared" si="1"/>
        <v>0</v>
      </c>
      <c r="K17" s="13">
        <f t="shared" si="2"/>
        <v>0</v>
      </c>
    </row>
    <row r="18" spans="1:11" ht="30" customHeight="1" x14ac:dyDescent="0.3">
      <c r="A18" s="6">
        <v>12</v>
      </c>
      <c r="B18" s="7">
        <v>8809738591154</v>
      </c>
      <c r="C18" s="6" t="s">
        <v>31</v>
      </c>
      <c r="D18" s="8" t="s">
        <v>32</v>
      </c>
      <c r="E18" s="10">
        <v>3000</v>
      </c>
      <c r="F18" s="10">
        <v>1227.2727272727273</v>
      </c>
      <c r="G18" s="19">
        <f t="shared" si="0"/>
        <v>0.40909090909090906</v>
      </c>
      <c r="H18" s="9">
        <v>300</v>
      </c>
      <c r="I18" s="11"/>
      <c r="J18" s="12">
        <f t="shared" si="1"/>
        <v>0</v>
      </c>
      <c r="K18" s="13">
        <f t="shared" si="2"/>
        <v>0</v>
      </c>
    </row>
    <row r="19" spans="1:11" ht="30" customHeight="1" x14ac:dyDescent="0.3">
      <c r="A19" s="6">
        <v>13</v>
      </c>
      <c r="B19" s="7">
        <v>8809962542755</v>
      </c>
      <c r="C19" s="6" t="s">
        <v>33</v>
      </c>
      <c r="D19" s="8" t="s">
        <v>34</v>
      </c>
      <c r="E19" s="10">
        <v>15000</v>
      </c>
      <c r="F19" s="10">
        <v>6068.181818181818</v>
      </c>
      <c r="G19" s="19">
        <f t="shared" si="0"/>
        <v>0.40454545454545454</v>
      </c>
      <c r="H19" s="9">
        <v>60</v>
      </c>
      <c r="I19" s="11"/>
      <c r="J19" s="12">
        <f t="shared" si="1"/>
        <v>0</v>
      </c>
      <c r="K19" s="13">
        <f t="shared" si="2"/>
        <v>0</v>
      </c>
    </row>
    <row r="20" spans="1:11" ht="30" customHeight="1" x14ac:dyDescent="0.3">
      <c r="A20" s="6">
        <v>14</v>
      </c>
      <c r="B20" s="7">
        <v>8809743542684</v>
      </c>
      <c r="C20" s="6" t="s">
        <v>35</v>
      </c>
      <c r="D20" s="8" t="s">
        <v>36</v>
      </c>
      <c r="E20" s="10">
        <v>17000</v>
      </c>
      <c r="F20" s="10">
        <v>10277.272727272726</v>
      </c>
      <c r="G20" s="19">
        <f t="shared" si="0"/>
        <v>0.6045454545454545</v>
      </c>
      <c r="H20" s="9">
        <v>40</v>
      </c>
      <c r="I20" s="11"/>
      <c r="J20" s="12">
        <f t="shared" si="1"/>
        <v>0</v>
      </c>
      <c r="K20" s="13">
        <f t="shared" si="2"/>
        <v>0</v>
      </c>
    </row>
    <row r="21" spans="1:11" ht="30" customHeight="1" x14ac:dyDescent="0.3">
      <c r="A21" s="6">
        <v>15</v>
      </c>
      <c r="B21" s="7">
        <v>8809738599044</v>
      </c>
      <c r="C21" s="6" t="s">
        <v>37</v>
      </c>
      <c r="D21" s="8" t="s">
        <v>38</v>
      </c>
      <c r="E21" s="10">
        <v>7500</v>
      </c>
      <c r="F21" s="10">
        <v>3613.6363636363635</v>
      </c>
      <c r="G21" s="19">
        <f t="shared" si="0"/>
        <v>0.48181818181818181</v>
      </c>
      <c r="H21" s="9">
        <v>200</v>
      </c>
      <c r="I21" s="11"/>
      <c r="J21" s="12">
        <f t="shared" si="1"/>
        <v>0</v>
      </c>
      <c r="K21" s="13">
        <f t="shared" si="2"/>
        <v>0</v>
      </c>
    </row>
    <row r="22" spans="1:11" ht="30" customHeight="1" x14ac:dyDescent="0.3">
      <c r="A22" s="6">
        <v>16</v>
      </c>
      <c r="B22" s="7">
        <v>8809657129247</v>
      </c>
      <c r="C22" s="6" t="s">
        <v>39</v>
      </c>
      <c r="D22" s="8" t="s">
        <v>40</v>
      </c>
      <c r="E22" s="10">
        <v>21000</v>
      </c>
      <c r="F22" s="10">
        <v>11836.363636363636</v>
      </c>
      <c r="G22" s="19">
        <f t="shared" si="0"/>
        <v>0.5636363636363636</v>
      </c>
      <c r="H22" s="9">
        <v>52</v>
      </c>
      <c r="I22" s="11"/>
      <c r="J22" s="12">
        <f t="shared" si="1"/>
        <v>0</v>
      </c>
      <c r="K22" s="13">
        <f t="shared" si="2"/>
        <v>0</v>
      </c>
    </row>
    <row r="23" spans="1:11" ht="30" customHeight="1" x14ac:dyDescent="0.3">
      <c r="A23" s="6">
        <v>17</v>
      </c>
      <c r="B23" s="7">
        <v>8809657114632</v>
      </c>
      <c r="C23" s="6" t="s">
        <v>41</v>
      </c>
      <c r="D23" s="8" t="s">
        <v>42</v>
      </c>
      <c r="E23" s="10">
        <v>9000</v>
      </c>
      <c r="F23" s="10">
        <v>4581.818181818182</v>
      </c>
      <c r="G23" s="19">
        <f t="shared" si="0"/>
        <v>0.50909090909090915</v>
      </c>
      <c r="H23" s="9">
        <v>200</v>
      </c>
      <c r="I23" s="11"/>
      <c r="J23" s="12">
        <f t="shared" si="1"/>
        <v>0</v>
      </c>
      <c r="K23" s="13">
        <f t="shared" si="2"/>
        <v>0</v>
      </c>
    </row>
    <row r="24" spans="1:11" ht="30" customHeight="1" x14ac:dyDescent="0.3">
      <c r="A24" s="6">
        <v>18</v>
      </c>
      <c r="B24" s="7">
        <v>8809783321966</v>
      </c>
      <c r="C24" s="6" t="s">
        <v>43</v>
      </c>
      <c r="D24" s="8" t="s">
        <v>44</v>
      </c>
      <c r="E24" s="10">
        <v>17000</v>
      </c>
      <c r="F24" s="10">
        <v>9504.545454545454</v>
      </c>
      <c r="G24" s="19">
        <f t="shared" si="0"/>
        <v>0.55909090909090908</v>
      </c>
      <c r="H24" s="9">
        <v>50</v>
      </c>
      <c r="I24" s="11"/>
      <c r="J24" s="12">
        <f t="shared" si="1"/>
        <v>0</v>
      </c>
      <c r="K24" s="13">
        <f t="shared" si="2"/>
        <v>0</v>
      </c>
    </row>
    <row r="25" spans="1:11" ht="30" customHeight="1" x14ac:dyDescent="0.3">
      <c r="A25" s="6">
        <v>19</v>
      </c>
      <c r="B25" s="7">
        <v>8809782557298</v>
      </c>
      <c r="C25" s="6" t="s">
        <v>45</v>
      </c>
      <c r="D25" s="8" t="s">
        <v>46</v>
      </c>
      <c r="E25" s="10">
        <v>18000</v>
      </c>
      <c r="F25" s="10">
        <v>9736.363636363636</v>
      </c>
      <c r="G25" s="19">
        <f t="shared" si="0"/>
        <v>0.54090909090909089</v>
      </c>
      <c r="H25" s="9">
        <v>100</v>
      </c>
      <c r="I25" s="11"/>
      <c r="J25" s="12">
        <f t="shared" si="1"/>
        <v>0</v>
      </c>
      <c r="K25" s="13">
        <f t="shared" si="2"/>
        <v>0</v>
      </c>
    </row>
    <row r="26" spans="1:11" ht="30" customHeight="1" x14ac:dyDescent="0.3">
      <c r="A26" s="6">
        <v>20</v>
      </c>
      <c r="B26" s="7">
        <v>8809875901120</v>
      </c>
      <c r="C26" s="6" t="s">
        <v>47</v>
      </c>
      <c r="D26" s="8" t="s">
        <v>48</v>
      </c>
      <c r="E26" s="10">
        <v>20000</v>
      </c>
      <c r="F26" s="10">
        <v>10000</v>
      </c>
      <c r="G26" s="19">
        <f t="shared" si="0"/>
        <v>0.5</v>
      </c>
      <c r="H26" s="9">
        <v>40</v>
      </c>
      <c r="I26" s="11"/>
      <c r="J26" s="12">
        <f t="shared" si="1"/>
        <v>0</v>
      </c>
      <c r="K26" s="13">
        <f t="shared" si="2"/>
        <v>0</v>
      </c>
    </row>
    <row r="27" spans="1:11" ht="30" customHeight="1" x14ac:dyDescent="0.3">
      <c r="A27" s="6">
        <v>21</v>
      </c>
      <c r="B27" s="7">
        <v>8809738607343</v>
      </c>
      <c r="C27" s="6" t="s">
        <v>49</v>
      </c>
      <c r="D27" s="8" t="s">
        <v>50</v>
      </c>
      <c r="E27" s="10">
        <v>6000</v>
      </c>
      <c r="F27" s="10">
        <v>4009.0909090909086</v>
      </c>
      <c r="G27" s="19">
        <f t="shared" si="0"/>
        <v>0.6681818181818181</v>
      </c>
      <c r="H27" s="9">
        <v>120</v>
      </c>
      <c r="I27" s="11"/>
      <c r="J27" s="12">
        <f t="shared" si="1"/>
        <v>0</v>
      </c>
      <c r="K27" s="13">
        <f t="shared" si="2"/>
        <v>0</v>
      </c>
    </row>
    <row r="28" spans="1:11" ht="30" customHeight="1" x14ac:dyDescent="0.3">
      <c r="A28" s="6">
        <v>22</v>
      </c>
      <c r="B28" s="7">
        <v>8809657114243</v>
      </c>
      <c r="C28" s="6" t="s">
        <v>51</v>
      </c>
      <c r="D28" s="8" t="s">
        <v>52</v>
      </c>
      <c r="E28" s="10">
        <v>22000</v>
      </c>
      <c r="F28" s="10">
        <v>10000</v>
      </c>
      <c r="G28" s="19">
        <f t="shared" si="0"/>
        <v>0.45454545454545453</v>
      </c>
      <c r="H28" s="9">
        <v>50</v>
      </c>
      <c r="I28" s="11"/>
      <c r="J28" s="12">
        <f t="shared" si="1"/>
        <v>0</v>
      </c>
      <c r="K28" s="13">
        <f t="shared" si="2"/>
        <v>0</v>
      </c>
    </row>
    <row r="29" spans="1:11" ht="30" customHeight="1" x14ac:dyDescent="0.3">
      <c r="A29" s="6">
        <v>23</v>
      </c>
      <c r="B29" s="7">
        <v>8809962540270</v>
      </c>
      <c r="C29" s="6" t="s">
        <v>53</v>
      </c>
      <c r="D29" s="8" t="s">
        <v>54</v>
      </c>
      <c r="E29" s="10">
        <v>23000</v>
      </c>
      <c r="F29" s="10">
        <v>12545.454545454544</v>
      </c>
      <c r="G29" s="19">
        <f t="shared" si="0"/>
        <v>0.54545454545454541</v>
      </c>
      <c r="H29" s="9">
        <v>50</v>
      </c>
      <c r="I29" s="11"/>
      <c r="J29" s="12">
        <f t="shared" si="1"/>
        <v>0</v>
      </c>
      <c r="K29" s="13">
        <f t="shared" si="2"/>
        <v>0</v>
      </c>
    </row>
    <row r="30" spans="1:11" ht="30" customHeight="1" x14ac:dyDescent="0.3">
      <c r="A30" s="6">
        <v>24</v>
      </c>
      <c r="B30" s="7">
        <v>8809962541253</v>
      </c>
      <c r="C30" s="6" t="s">
        <v>55</v>
      </c>
      <c r="D30" s="8" t="s">
        <v>56</v>
      </c>
      <c r="E30" s="10">
        <v>16500</v>
      </c>
      <c r="F30" s="10">
        <v>8174.9999999999991</v>
      </c>
      <c r="G30" s="19">
        <f t="shared" si="0"/>
        <v>0.49545454545454543</v>
      </c>
      <c r="H30" s="9">
        <v>50</v>
      </c>
      <c r="I30" s="11"/>
      <c r="J30" s="12">
        <f t="shared" si="1"/>
        <v>0</v>
      </c>
      <c r="K30" s="13">
        <f t="shared" si="2"/>
        <v>0</v>
      </c>
    </row>
    <row r="31" spans="1:11" ht="30" customHeight="1" x14ac:dyDescent="0.3">
      <c r="A31" s="6">
        <v>25</v>
      </c>
      <c r="B31" s="7">
        <v>8809738600214</v>
      </c>
      <c r="C31" s="6" t="s">
        <v>57</v>
      </c>
      <c r="D31" s="8" t="s">
        <v>58</v>
      </c>
      <c r="E31" s="10">
        <v>22000</v>
      </c>
      <c r="F31" s="10">
        <v>10200</v>
      </c>
      <c r="G31" s="19">
        <f t="shared" si="0"/>
        <v>0.46363636363636362</v>
      </c>
      <c r="H31" s="9">
        <v>50</v>
      </c>
      <c r="I31" s="11"/>
      <c r="J31" s="12">
        <f t="shared" si="1"/>
        <v>0</v>
      </c>
      <c r="K31" s="13">
        <f t="shared" si="2"/>
        <v>0</v>
      </c>
    </row>
    <row r="32" spans="1:11" ht="30" customHeight="1" x14ac:dyDescent="0.3">
      <c r="A32" s="6">
        <v>26</v>
      </c>
      <c r="B32" s="7">
        <v>8809738600221</v>
      </c>
      <c r="C32" s="6" t="s">
        <v>59</v>
      </c>
      <c r="D32" s="8" t="s">
        <v>60</v>
      </c>
      <c r="E32" s="10">
        <v>14000</v>
      </c>
      <c r="F32" s="10">
        <v>6618.181818181818</v>
      </c>
      <c r="G32" s="19">
        <f t="shared" si="0"/>
        <v>0.47272727272727272</v>
      </c>
      <c r="H32" s="9">
        <v>120</v>
      </c>
      <c r="I32" s="11"/>
      <c r="J32" s="12">
        <f t="shared" si="1"/>
        <v>0</v>
      </c>
      <c r="K32" s="13">
        <f t="shared" si="2"/>
        <v>0</v>
      </c>
    </row>
    <row r="33" spans="1:11" ht="30" customHeight="1" x14ac:dyDescent="0.3">
      <c r="A33" s="6">
        <v>27</v>
      </c>
      <c r="B33" s="7">
        <v>8809738600238</v>
      </c>
      <c r="C33" s="6" t="s">
        <v>61</v>
      </c>
      <c r="D33" s="8" t="s">
        <v>62</v>
      </c>
      <c r="E33" s="10">
        <v>20000</v>
      </c>
      <c r="F33" s="10">
        <v>9818.181818181818</v>
      </c>
      <c r="G33" s="19">
        <f t="shared" si="0"/>
        <v>0.49090909090909091</v>
      </c>
      <c r="H33" s="9">
        <v>50</v>
      </c>
      <c r="I33" s="11"/>
      <c r="J33" s="12">
        <f t="shared" si="1"/>
        <v>0</v>
      </c>
      <c r="K33" s="13">
        <f t="shared" si="2"/>
        <v>0</v>
      </c>
    </row>
    <row r="34" spans="1:11" ht="30" customHeight="1" x14ac:dyDescent="0.3">
      <c r="A34" s="6">
        <v>28</v>
      </c>
      <c r="B34" s="7">
        <v>8809738604762</v>
      </c>
      <c r="C34" s="6" t="s">
        <v>63</v>
      </c>
      <c r="D34" s="8" t="s">
        <v>64</v>
      </c>
      <c r="E34" s="10">
        <v>7000</v>
      </c>
      <c r="F34" s="10">
        <v>4040.9090909090905</v>
      </c>
      <c r="G34" s="19">
        <f t="shared" si="0"/>
        <v>0.57727272727272727</v>
      </c>
      <c r="H34" s="9">
        <v>120</v>
      </c>
      <c r="I34" s="11"/>
      <c r="J34" s="12">
        <f t="shared" si="1"/>
        <v>0</v>
      </c>
      <c r="K34" s="13">
        <f t="shared" si="2"/>
        <v>0</v>
      </c>
    </row>
    <row r="35" spans="1:11" ht="30" customHeight="1" x14ac:dyDescent="0.3">
      <c r="A35" s="6">
        <v>29</v>
      </c>
      <c r="B35" s="7">
        <v>8809782553009</v>
      </c>
      <c r="C35" s="6" t="s">
        <v>65</v>
      </c>
      <c r="D35" s="8" t="s">
        <v>66</v>
      </c>
      <c r="E35" s="10">
        <v>21000</v>
      </c>
      <c r="F35" s="10">
        <v>11072.727272727272</v>
      </c>
      <c r="G35" s="19">
        <f t="shared" si="0"/>
        <v>0.52727272727272723</v>
      </c>
      <c r="H35" s="9">
        <v>40</v>
      </c>
      <c r="I35" s="11"/>
      <c r="J35" s="12">
        <f t="shared" si="1"/>
        <v>0</v>
      </c>
      <c r="K35" s="13">
        <f t="shared" si="2"/>
        <v>0</v>
      </c>
    </row>
    <row r="36" spans="1:11" ht="30" customHeight="1" x14ac:dyDescent="0.3">
      <c r="A36" s="6">
        <v>30</v>
      </c>
      <c r="B36" s="7">
        <v>8809614958712</v>
      </c>
      <c r="C36" s="6" t="s">
        <v>67</v>
      </c>
      <c r="D36" s="8" t="s">
        <v>68</v>
      </c>
      <c r="E36" s="10">
        <v>26000</v>
      </c>
      <c r="F36" s="10">
        <v>15954.545454545454</v>
      </c>
      <c r="G36" s="19">
        <f t="shared" si="0"/>
        <v>0.61363636363636365</v>
      </c>
      <c r="H36" s="9">
        <v>50</v>
      </c>
      <c r="I36" s="11"/>
      <c r="J36" s="12">
        <f t="shared" si="1"/>
        <v>0</v>
      </c>
      <c r="K36" s="13">
        <f t="shared" si="2"/>
        <v>0</v>
      </c>
    </row>
    <row r="37" spans="1:11" ht="30" customHeight="1" x14ac:dyDescent="0.3">
      <c r="A37" s="6">
        <v>31</v>
      </c>
      <c r="B37" s="7">
        <v>8809782551814</v>
      </c>
      <c r="C37" s="6" t="s">
        <v>69</v>
      </c>
      <c r="D37" s="8" t="s">
        <v>70</v>
      </c>
      <c r="E37" s="10">
        <v>19000</v>
      </c>
      <c r="F37" s="10">
        <v>9500</v>
      </c>
      <c r="G37" s="19">
        <f t="shared" si="0"/>
        <v>0.5</v>
      </c>
      <c r="H37" s="9">
        <v>50</v>
      </c>
      <c r="I37" s="11"/>
      <c r="J37" s="12">
        <f t="shared" si="1"/>
        <v>0</v>
      </c>
      <c r="K37" s="13">
        <f t="shared" si="2"/>
        <v>0</v>
      </c>
    </row>
    <row r="38" spans="1:11" ht="30" customHeight="1" x14ac:dyDescent="0.3">
      <c r="A38" s="6">
        <v>32</v>
      </c>
      <c r="B38" s="7">
        <v>8809624723157</v>
      </c>
      <c r="C38" s="6" t="s">
        <v>71</v>
      </c>
      <c r="D38" s="8" t="s">
        <v>72</v>
      </c>
      <c r="E38" s="10">
        <v>8000</v>
      </c>
      <c r="F38" s="10">
        <v>4145.454545454546</v>
      </c>
      <c r="G38" s="19">
        <f t="shared" si="0"/>
        <v>0.5181818181818183</v>
      </c>
      <c r="H38" s="9">
        <v>117</v>
      </c>
      <c r="I38" s="11"/>
      <c r="J38" s="12">
        <f t="shared" si="1"/>
        <v>0</v>
      </c>
      <c r="K38" s="13">
        <f t="shared" si="2"/>
        <v>0</v>
      </c>
    </row>
    <row r="39" spans="1:11" ht="30" customHeight="1" x14ac:dyDescent="0.3">
      <c r="A39" s="6">
        <v>33</v>
      </c>
      <c r="B39" s="7">
        <v>8809638307701</v>
      </c>
      <c r="C39" s="6" t="s">
        <v>73</v>
      </c>
      <c r="D39" s="8" t="s">
        <v>74</v>
      </c>
      <c r="E39" s="10">
        <v>27000</v>
      </c>
      <c r="F39" s="10">
        <v>16690.909090909088</v>
      </c>
      <c r="G39" s="19">
        <f t="shared" si="0"/>
        <v>0.61818181818181805</v>
      </c>
      <c r="H39" s="9">
        <v>24</v>
      </c>
      <c r="I39" s="11"/>
      <c r="J39" s="12">
        <f t="shared" si="1"/>
        <v>0</v>
      </c>
      <c r="K39" s="13">
        <f t="shared" si="2"/>
        <v>0</v>
      </c>
    </row>
    <row r="40" spans="1:11" ht="30" customHeight="1" x14ac:dyDescent="0.3">
      <c r="A40" s="6">
        <v>34</v>
      </c>
      <c r="B40" s="7">
        <v>8809864769977</v>
      </c>
      <c r="C40" s="6" t="s">
        <v>75</v>
      </c>
      <c r="D40" s="8" t="s">
        <v>76</v>
      </c>
      <c r="E40" s="10">
        <v>19000</v>
      </c>
      <c r="F40" s="10">
        <v>9586.3636363636379</v>
      </c>
      <c r="G40" s="19">
        <f t="shared" si="0"/>
        <v>0.50454545454545463</v>
      </c>
      <c r="H40" s="9">
        <v>80</v>
      </c>
      <c r="I40" s="11"/>
      <c r="J40" s="12">
        <f t="shared" si="1"/>
        <v>0</v>
      </c>
      <c r="K40" s="13">
        <f t="shared" si="2"/>
        <v>0</v>
      </c>
    </row>
    <row r="41" spans="1:11" ht="30" customHeight="1" x14ac:dyDescent="0.3">
      <c r="A41" s="6">
        <v>35</v>
      </c>
      <c r="B41" s="7">
        <v>8809782558523</v>
      </c>
      <c r="C41" s="6" t="s">
        <v>77</v>
      </c>
      <c r="D41" s="8" t="s">
        <v>78</v>
      </c>
      <c r="E41" s="10">
        <v>3000</v>
      </c>
      <c r="F41" s="10">
        <v>1227.2727272727273</v>
      </c>
      <c r="G41" s="19">
        <f t="shared" si="0"/>
        <v>0.40909090909090906</v>
      </c>
      <c r="H41" s="9">
        <v>300</v>
      </c>
      <c r="I41" s="11"/>
      <c r="J41" s="12">
        <f t="shared" si="1"/>
        <v>0</v>
      </c>
      <c r="K41" s="13">
        <f t="shared" si="2"/>
        <v>0</v>
      </c>
    </row>
    <row r="42" spans="1:11" ht="30" customHeight="1" x14ac:dyDescent="0.3">
      <c r="A42" s="6">
        <v>36</v>
      </c>
      <c r="B42" s="7">
        <v>8809875904459</v>
      </c>
      <c r="C42" s="6" t="s">
        <v>79</v>
      </c>
      <c r="D42" s="8" t="s">
        <v>80</v>
      </c>
      <c r="E42" s="10">
        <v>15000</v>
      </c>
      <c r="F42" s="10">
        <v>6068.181818181818</v>
      </c>
      <c r="G42" s="19">
        <f t="shared" si="0"/>
        <v>0.40454545454545454</v>
      </c>
      <c r="H42" s="9">
        <v>60</v>
      </c>
      <c r="I42" s="11"/>
      <c r="J42" s="12">
        <f t="shared" si="1"/>
        <v>0</v>
      </c>
      <c r="K42" s="13">
        <f t="shared" si="2"/>
        <v>0</v>
      </c>
    </row>
    <row r="43" spans="1:11" ht="30" customHeight="1" x14ac:dyDescent="0.3">
      <c r="A43" s="6">
        <v>37</v>
      </c>
      <c r="B43" s="7">
        <v>8809782556628</v>
      </c>
      <c r="C43" s="6" t="s">
        <v>81</v>
      </c>
      <c r="D43" s="8" t="s">
        <v>82</v>
      </c>
      <c r="E43" s="10">
        <v>14000</v>
      </c>
      <c r="F43" s="10">
        <v>7190.909090909091</v>
      </c>
      <c r="G43" s="19">
        <f t="shared" si="0"/>
        <v>0.51363636363636367</v>
      </c>
      <c r="H43" s="9">
        <v>40</v>
      </c>
      <c r="I43" s="11"/>
      <c r="J43" s="12">
        <f t="shared" si="1"/>
        <v>0</v>
      </c>
      <c r="K43" s="13">
        <f t="shared" si="2"/>
        <v>0</v>
      </c>
    </row>
    <row r="44" spans="1:11" ht="30" customHeight="1" x14ac:dyDescent="0.3">
      <c r="A44" s="6">
        <v>38</v>
      </c>
      <c r="B44" s="7">
        <v>8809864759480</v>
      </c>
      <c r="C44" s="6" t="s">
        <v>83</v>
      </c>
      <c r="D44" s="8" t="s">
        <v>84</v>
      </c>
      <c r="E44" s="10">
        <v>20000</v>
      </c>
      <c r="F44" s="10">
        <v>9818.181818181818</v>
      </c>
      <c r="G44" s="19">
        <f t="shared" si="0"/>
        <v>0.49090909090909091</v>
      </c>
      <c r="H44" s="9">
        <v>40</v>
      </c>
      <c r="I44" s="11"/>
      <c r="J44" s="12">
        <f t="shared" si="1"/>
        <v>0</v>
      </c>
      <c r="K44" s="13">
        <f t="shared" si="2"/>
        <v>0</v>
      </c>
    </row>
    <row r="45" spans="1:11" ht="30" customHeight="1" x14ac:dyDescent="0.3">
      <c r="A45" s="6">
        <v>39</v>
      </c>
      <c r="B45" s="7">
        <v>8809614958057</v>
      </c>
      <c r="C45" s="6" t="s">
        <v>85</v>
      </c>
      <c r="D45" s="8" t="s">
        <v>86</v>
      </c>
      <c r="E45" s="10">
        <v>24000</v>
      </c>
      <c r="F45" s="10">
        <v>10690.90909090909</v>
      </c>
      <c r="G45" s="19">
        <f t="shared" si="0"/>
        <v>0.44545454545454544</v>
      </c>
      <c r="H45" s="9">
        <v>50</v>
      </c>
      <c r="I45" s="11"/>
      <c r="J45" s="12">
        <f t="shared" si="1"/>
        <v>0</v>
      </c>
      <c r="K45" s="13">
        <f t="shared" si="2"/>
        <v>0</v>
      </c>
    </row>
    <row r="46" spans="1:11" ht="30" customHeight="1" x14ac:dyDescent="0.3">
      <c r="A46" s="6">
        <v>40</v>
      </c>
      <c r="B46" s="7">
        <v>8809962540713</v>
      </c>
      <c r="C46" s="6" t="s">
        <v>87</v>
      </c>
      <c r="D46" s="8" t="s">
        <v>88</v>
      </c>
      <c r="E46" s="10">
        <v>15000</v>
      </c>
      <c r="F46" s="10">
        <v>7363.636363636364</v>
      </c>
      <c r="G46" s="19">
        <f t="shared" si="0"/>
        <v>0.49090909090909091</v>
      </c>
      <c r="H46" s="9">
        <v>50</v>
      </c>
      <c r="I46" s="11"/>
      <c r="J46" s="12">
        <f t="shared" si="1"/>
        <v>0</v>
      </c>
      <c r="K46" s="13">
        <f t="shared" si="2"/>
        <v>0</v>
      </c>
    </row>
    <row r="47" spans="1:11" ht="30" customHeight="1" x14ac:dyDescent="0.3">
      <c r="A47" s="6">
        <v>41</v>
      </c>
      <c r="B47" s="7">
        <v>8809962540287</v>
      </c>
      <c r="C47" s="6" t="s">
        <v>89</v>
      </c>
      <c r="D47" s="8" t="s">
        <v>90</v>
      </c>
      <c r="E47" s="10">
        <v>9000</v>
      </c>
      <c r="F47" s="10">
        <v>5318.181818181818</v>
      </c>
      <c r="G47" s="19">
        <f t="shared" si="0"/>
        <v>0.59090909090909094</v>
      </c>
      <c r="H47" s="9">
        <v>144</v>
      </c>
      <c r="I47" s="11"/>
      <c r="J47" s="12">
        <f t="shared" si="1"/>
        <v>0</v>
      </c>
      <c r="K47" s="13">
        <f t="shared" si="2"/>
        <v>0</v>
      </c>
    </row>
    <row r="48" spans="1:11" ht="30" customHeight="1" x14ac:dyDescent="0.3">
      <c r="A48" s="6">
        <v>42</v>
      </c>
      <c r="B48" s="7">
        <v>8809962542397</v>
      </c>
      <c r="C48" s="6" t="s">
        <v>91</v>
      </c>
      <c r="D48" s="8" t="s">
        <v>92</v>
      </c>
      <c r="E48" s="10">
        <v>21000</v>
      </c>
      <c r="F48" s="10">
        <v>11836.363636363636</v>
      </c>
      <c r="G48" s="19">
        <f t="shared" si="0"/>
        <v>0.5636363636363636</v>
      </c>
      <c r="H48" s="9">
        <v>40</v>
      </c>
      <c r="I48" s="11"/>
      <c r="J48" s="12">
        <f t="shared" si="1"/>
        <v>0</v>
      </c>
      <c r="K48" s="13">
        <f t="shared" si="2"/>
        <v>0</v>
      </c>
    </row>
    <row r="49" spans="1:11" ht="30" customHeight="1" x14ac:dyDescent="0.3">
      <c r="A49" s="6">
        <v>43</v>
      </c>
      <c r="B49" s="7">
        <v>8809962542489</v>
      </c>
      <c r="C49" s="6" t="s">
        <v>93</v>
      </c>
      <c r="D49" s="8" t="s">
        <v>94</v>
      </c>
      <c r="E49" s="10">
        <v>3000</v>
      </c>
      <c r="F49" s="10">
        <v>1227.2727272727273</v>
      </c>
      <c r="G49" s="19">
        <f t="shared" si="0"/>
        <v>0.40909090909090906</v>
      </c>
      <c r="H49" s="9">
        <v>300</v>
      </c>
      <c r="I49" s="11"/>
      <c r="J49" s="12">
        <f t="shared" si="1"/>
        <v>0</v>
      </c>
      <c r="K49" s="13">
        <f t="shared" si="2"/>
        <v>0</v>
      </c>
    </row>
    <row r="50" spans="1:11" ht="30" customHeight="1" x14ac:dyDescent="0.3">
      <c r="A50" s="6">
        <v>44</v>
      </c>
      <c r="B50" s="7">
        <v>8809962542496</v>
      </c>
      <c r="C50" s="6" t="s">
        <v>93</v>
      </c>
      <c r="D50" s="8" t="s">
        <v>95</v>
      </c>
      <c r="E50" s="10">
        <v>15000</v>
      </c>
      <c r="F50" s="10">
        <v>6068.181818181818</v>
      </c>
      <c r="G50" s="19">
        <f t="shared" si="0"/>
        <v>0.40454545454545454</v>
      </c>
      <c r="H50" s="9">
        <v>60</v>
      </c>
      <c r="I50" s="11"/>
      <c r="J50" s="12">
        <f t="shared" si="1"/>
        <v>0</v>
      </c>
      <c r="K50" s="13">
        <f t="shared" si="2"/>
        <v>0</v>
      </c>
    </row>
    <row r="51" spans="1:11" ht="30" customHeight="1" x14ac:dyDescent="0.3">
      <c r="A51" s="6">
        <v>45</v>
      </c>
      <c r="B51" s="7">
        <v>8809738605714</v>
      </c>
      <c r="C51" s="6" t="s">
        <v>96</v>
      </c>
      <c r="D51" s="8" t="s">
        <v>97</v>
      </c>
      <c r="E51" s="10">
        <v>19000</v>
      </c>
      <c r="F51" s="10">
        <v>9586.3636363636379</v>
      </c>
      <c r="G51" s="19">
        <f t="shared" si="0"/>
        <v>0.50454545454545463</v>
      </c>
      <c r="H51" s="9">
        <v>50</v>
      </c>
      <c r="I51" s="11"/>
      <c r="J51" s="12">
        <f t="shared" si="1"/>
        <v>0</v>
      </c>
      <c r="K51" s="13">
        <f t="shared" si="2"/>
        <v>0</v>
      </c>
    </row>
    <row r="52" spans="1:11" ht="30" customHeight="1" x14ac:dyDescent="0.3">
      <c r="A52" s="6">
        <v>46</v>
      </c>
      <c r="B52" s="7">
        <v>8809738605721</v>
      </c>
      <c r="C52" s="6" t="s">
        <v>98</v>
      </c>
      <c r="D52" s="8" t="s">
        <v>99</v>
      </c>
      <c r="E52" s="10">
        <v>14000</v>
      </c>
      <c r="F52" s="10">
        <v>7509.0909090909081</v>
      </c>
      <c r="G52" s="19">
        <f t="shared" si="0"/>
        <v>0.53636363636363626</v>
      </c>
      <c r="H52" s="9">
        <v>40</v>
      </c>
      <c r="I52" s="11"/>
      <c r="J52" s="12">
        <f t="shared" si="1"/>
        <v>0</v>
      </c>
      <c r="K52" s="13">
        <f t="shared" si="2"/>
        <v>0</v>
      </c>
    </row>
    <row r="53" spans="1:11" ht="30" customHeight="1" x14ac:dyDescent="0.3">
      <c r="A53" s="6">
        <v>47</v>
      </c>
      <c r="B53" s="7">
        <v>8809738593080</v>
      </c>
      <c r="C53" s="6" t="s">
        <v>100</v>
      </c>
      <c r="D53" s="8" t="s">
        <v>101</v>
      </c>
      <c r="E53" s="10">
        <v>19000</v>
      </c>
      <c r="F53" s="10">
        <v>9327.2727272727261</v>
      </c>
      <c r="G53" s="19">
        <f t="shared" si="0"/>
        <v>0.49090909090909085</v>
      </c>
      <c r="H53" s="9">
        <v>40</v>
      </c>
      <c r="I53" s="11"/>
      <c r="J53" s="12">
        <f t="shared" si="1"/>
        <v>0</v>
      </c>
      <c r="K53" s="13">
        <f t="shared" si="2"/>
        <v>0</v>
      </c>
    </row>
    <row r="54" spans="1:11" ht="30" customHeight="1" x14ac:dyDescent="0.3">
      <c r="A54" s="6">
        <v>48</v>
      </c>
      <c r="B54" s="7">
        <v>8809738593103</v>
      </c>
      <c r="C54" s="6" t="s">
        <v>102</v>
      </c>
      <c r="D54" s="8" t="s">
        <v>103</v>
      </c>
      <c r="E54" s="10">
        <v>23000</v>
      </c>
      <c r="F54" s="10">
        <v>9304.545454545454</v>
      </c>
      <c r="G54" s="19">
        <f t="shared" si="0"/>
        <v>0.40454545454545454</v>
      </c>
      <c r="H54" s="9">
        <v>50</v>
      </c>
      <c r="I54" s="11"/>
      <c r="J54" s="12">
        <f t="shared" si="1"/>
        <v>0</v>
      </c>
      <c r="K54" s="13">
        <f t="shared" si="2"/>
        <v>0</v>
      </c>
    </row>
    <row r="55" spans="1:11" ht="30" customHeight="1" x14ac:dyDescent="0.3">
      <c r="A55" s="6">
        <v>49</v>
      </c>
      <c r="B55" s="7">
        <v>8809743544176</v>
      </c>
      <c r="C55" s="6" t="s">
        <v>104</v>
      </c>
      <c r="D55" s="8" t="s">
        <v>105</v>
      </c>
      <c r="E55" s="10">
        <v>17000</v>
      </c>
      <c r="F55" s="10">
        <v>7881.8181818181811</v>
      </c>
      <c r="G55" s="19">
        <f t="shared" si="0"/>
        <v>0.46363636363636357</v>
      </c>
      <c r="H55" s="9">
        <v>50</v>
      </c>
      <c r="I55" s="11"/>
      <c r="J55" s="12">
        <f t="shared" si="1"/>
        <v>0</v>
      </c>
      <c r="K55" s="13">
        <f t="shared" si="2"/>
        <v>0</v>
      </c>
    </row>
    <row r="56" spans="1:11" ht="30" customHeight="1" x14ac:dyDescent="0.3">
      <c r="A56" s="6">
        <v>50</v>
      </c>
      <c r="B56" s="7">
        <v>8809624723140</v>
      </c>
      <c r="C56" s="6" t="s">
        <v>106</v>
      </c>
      <c r="D56" s="8" t="s">
        <v>107</v>
      </c>
      <c r="E56" s="10">
        <v>9500</v>
      </c>
      <c r="F56" s="10">
        <v>5009.090909090909</v>
      </c>
      <c r="G56" s="19">
        <f t="shared" si="0"/>
        <v>0.52727272727272723</v>
      </c>
      <c r="H56" s="9">
        <v>200</v>
      </c>
      <c r="I56" s="11"/>
      <c r="J56" s="12">
        <f t="shared" si="1"/>
        <v>0</v>
      </c>
      <c r="K56" s="13">
        <f t="shared" si="2"/>
        <v>0</v>
      </c>
    </row>
    <row r="57" spans="1:11" ht="30" customHeight="1" x14ac:dyDescent="0.3">
      <c r="A57" s="6">
        <v>51</v>
      </c>
      <c r="B57" s="7">
        <v>8809738593240</v>
      </c>
      <c r="C57" s="6" t="s">
        <v>108</v>
      </c>
      <c r="D57" s="8" t="s">
        <v>109</v>
      </c>
      <c r="E57" s="10">
        <v>21000</v>
      </c>
      <c r="F57" s="10">
        <v>9545.4545454545441</v>
      </c>
      <c r="G57" s="19">
        <f t="shared" si="0"/>
        <v>0.45454545454545447</v>
      </c>
      <c r="H57" s="9">
        <v>40</v>
      </c>
      <c r="I57" s="11"/>
      <c r="J57" s="12">
        <f t="shared" si="1"/>
        <v>0</v>
      </c>
      <c r="K57" s="13">
        <f t="shared" si="2"/>
        <v>0</v>
      </c>
    </row>
    <row r="58" spans="1:11" ht="30" customHeight="1" x14ac:dyDescent="0.3">
      <c r="A58" s="6">
        <v>52</v>
      </c>
      <c r="B58" s="7">
        <v>8809624723133</v>
      </c>
      <c r="C58" s="6" t="s">
        <v>110</v>
      </c>
      <c r="D58" s="8" t="s">
        <v>111</v>
      </c>
      <c r="E58" s="10">
        <v>20000</v>
      </c>
      <c r="F58" s="10">
        <v>10181.818181818182</v>
      </c>
      <c r="G58" s="19">
        <f t="shared" si="0"/>
        <v>0.50909090909090915</v>
      </c>
      <c r="H58" s="9">
        <v>80</v>
      </c>
      <c r="I58" s="11"/>
      <c r="J58" s="12">
        <f t="shared" si="1"/>
        <v>0</v>
      </c>
      <c r="K58" s="13">
        <f t="shared" si="2"/>
        <v>0</v>
      </c>
    </row>
    <row r="59" spans="1:11" ht="30" customHeight="1" x14ac:dyDescent="0.3">
      <c r="A59" s="6">
        <v>53</v>
      </c>
      <c r="B59" s="7">
        <v>8809624726370</v>
      </c>
      <c r="C59" s="6" t="s">
        <v>112</v>
      </c>
      <c r="D59" s="8" t="s">
        <v>113</v>
      </c>
      <c r="E59" s="10">
        <v>3000</v>
      </c>
      <c r="F59" s="10">
        <v>1227.2727272727273</v>
      </c>
      <c r="G59" s="19">
        <f t="shared" si="0"/>
        <v>0.40909090909090906</v>
      </c>
      <c r="H59" s="9">
        <v>300</v>
      </c>
      <c r="I59" s="11"/>
      <c r="J59" s="12">
        <f t="shared" si="1"/>
        <v>0</v>
      </c>
      <c r="K59" s="13">
        <f t="shared" si="2"/>
        <v>0</v>
      </c>
    </row>
    <row r="60" spans="1:11" ht="30" customHeight="1" x14ac:dyDescent="0.3">
      <c r="A60" s="6">
        <v>54</v>
      </c>
      <c r="B60" s="7">
        <v>8809624726417</v>
      </c>
      <c r="C60" s="6" t="s">
        <v>114</v>
      </c>
      <c r="D60" s="8" t="s">
        <v>115</v>
      </c>
      <c r="E60" s="10">
        <v>15000</v>
      </c>
      <c r="F60" s="10">
        <v>6068.181818181818</v>
      </c>
      <c r="G60" s="19">
        <f t="shared" si="0"/>
        <v>0.40454545454545454</v>
      </c>
      <c r="H60" s="9">
        <v>60</v>
      </c>
      <c r="I60" s="11"/>
      <c r="J60" s="12">
        <f t="shared" si="1"/>
        <v>0</v>
      </c>
      <c r="K60" s="13">
        <f t="shared" si="2"/>
        <v>0</v>
      </c>
    </row>
    <row r="61" spans="1:11" ht="30" customHeight="1" x14ac:dyDescent="0.3">
      <c r="A61" s="6">
        <v>55</v>
      </c>
      <c r="B61" s="7">
        <v>8809783322369</v>
      </c>
      <c r="C61" s="6" t="s">
        <v>116</v>
      </c>
      <c r="D61" s="8" t="s">
        <v>117</v>
      </c>
      <c r="E61" s="10">
        <v>20000</v>
      </c>
      <c r="F61" s="10">
        <v>10090.909090909092</v>
      </c>
      <c r="G61" s="19">
        <f t="shared" si="0"/>
        <v>0.50454545454545463</v>
      </c>
      <c r="H61" s="9">
        <v>50</v>
      </c>
      <c r="I61" s="11"/>
      <c r="J61" s="12">
        <f t="shared" si="1"/>
        <v>0</v>
      </c>
      <c r="K61" s="13">
        <f t="shared" si="2"/>
        <v>0</v>
      </c>
    </row>
    <row r="62" spans="1:11" ht="30" customHeight="1" x14ac:dyDescent="0.3">
      <c r="A62" s="6">
        <v>56</v>
      </c>
      <c r="B62" s="7">
        <v>8809783322130</v>
      </c>
      <c r="C62" s="6" t="s">
        <v>118</v>
      </c>
      <c r="D62" s="8" t="s">
        <v>119</v>
      </c>
      <c r="E62" s="10">
        <v>15000</v>
      </c>
      <c r="F62" s="10">
        <v>7772.7272727272739</v>
      </c>
      <c r="G62" s="19">
        <f t="shared" si="0"/>
        <v>0.5181818181818183</v>
      </c>
      <c r="H62" s="9">
        <v>40</v>
      </c>
      <c r="I62" s="11"/>
      <c r="J62" s="12">
        <f t="shared" si="1"/>
        <v>0</v>
      </c>
      <c r="K62" s="13">
        <f t="shared" si="2"/>
        <v>0</v>
      </c>
    </row>
    <row r="63" spans="1:11" ht="30" customHeight="1" x14ac:dyDescent="0.3">
      <c r="A63" s="6">
        <v>57</v>
      </c>
      <c r="B63" s="7">
        <v>8809962541024</v>
      </c>
      <c r="C63" s="6" t="s">
        <v>120</v>
      </c>
      <c r="D63" s="8" t="s">
        <v>121</v>
      </c>
      <c r="E63" s="10">
        <v>20000</v>
      </c>
      <c r="F63" s="10">
        <v>10818.18181818182</v>
      </c>
      <c r="G63" s="19">
        <f t="shared" si="0"/>
        <v>0.54090909090909101</v>
      </c>
      <c r="H63" s="9">
        <v>40</v>
      </c>
      <c r="I63" s="11"/>
      <c r="J63" s="12">
        <f t="shared" si="1"/>
        <v>0</v>
      </c>
      <c r="K63" s="13">
        <f t="shared" si="2"/>
        <v>0</v>
      </c>
    </row>
    <row r="64" spans="1:11" ht="30" customHeight="1" x14ac:dyDescent="0.3">
      <c r="A64" s="6">
        <v>58</v>
      </c>
      <c r="B64" s="7">
        <v>8809875908075</v>
      </c>
      <c r="C64" s="6" t="s">
        <v>122</v>
      </c>
      <c r="D64" s="8" t="s">
        <v>123</v>
      </c>
      <c r="E64" s="10">
        <v>24000</v>
      </c>
      <c r="F64" s="10">
        <v>12218.181818181818</v>
      </c>
      <c r="G64" s="19">
        <f t="shared" si="0"/>
        <v>0.50909090909090904</v>
      </c>
      <c r="H64" s="9">
        <v>50</v>
      </c>
      <c r="I64" s="11"/>
      <c r="J64" s="12">
        <f t="shared" si="1"/>
        <v>0</v>
      </c>
      <c r="K64" s="13">
        <f t="shared" si="2"/>
        <v>0</v>
      </c>
    </row>
    <row r="65" spans="1:11" ht="30" customHeight="1" x14ac:dyDescent="0.3">
      <c r="A65" s="6">
        <v>59</v>
      </c>
      <c r="B65" s="7">
        <v>8809875907337</v>
      </c>
      <c r="C65" s="6" t="s">
        <v>124</v>
      </c>
      <c r="D65" s="8" t="s">
        <v>125</v>
      </c>
      <c r="E65" s="10">
        <v>9800</v>
      </c>
      <c r="F65" s="10">
        <v>4855.454545454545</v>
      </c>
      <c r="G65" s="19">
        <f t="shared" si="0"/>
        <v>0.49545454545454543</v>
      </c>
      <c r="H65" s="9">
        <v>200</v>
      </c>
      <c r="I65" s="11"/>
      <c r="J65" s="12">
        <f t="shared" si="1"/>
        <v>0</v>
      </c>
      <c r="K65" s="13">
        <f t="shared" si="2"/>
        <v>0</v>
      </c>
    </row>
    <row r="66" spans="1:11" ht="30" customHeight="1" x14ac:dyDescent="0.3">
      <c r="A66" s="6">
        <v>60</v>
      </c>
      <c r="B66" s="7">
        <v>8809849803634</v>
      </c>
      <c r="C66" s="6" t="s">
        <v>126</v>
      </c>
      <c r="D66" s="8" t="s">
        <v>127</v>
      </c>
      <c r="E66" s="10">
        <v>21000</v>
      </c>
      <c r="F66" s="10">
        <v>9736.363636363636</v>
      </c>
      <c r="G66" s="19">
        <f t="shared" si="0"/>
        <v>0.46363636363636362</v>
      </c>
      <c r="H66" s="9">
        <v>40</v>
      </c>
      <c r="I66" s="11"/>
      <c r="J66" s="12">
        <f t="shared" si="1"/>
        <v>0</v>
      </c>
      <c r="K66" s="13">
        <f t="shared" si="2"/>
        <v>0</v>
      </c>
    </row>
    <row r="67" spans="1:11" ht="30" customHeight="1" x14ac:dyDescent="0.3">
      <c r="A67" s="6">
        <v>61</v>
      </c>
      <c r="B67" s="7">
        <v>8809962541963</v>
      </c>
      <c r="C67" s="6" t="s">
        <v>128</v>
      </c>
      <c r="D67" s="8" t="s">
        <v>129</v>
      </c>
      <c r="E67" s="10">
        <v>17000</v>
      </c>
      <c r="F67" s="10">
        <v>10586.363636363636</v>
      </c>
      <c r="G67" s="19">
        <f t="shared" si="0"/>
        <v>0.62272727272727268</v>
      </c>
      <c r="H67" s="9">
        <v>80</v>
      </c>
      <c r="I67" s="11"/>
      <c r="J67" s="12">
        <f t="shared" si="1"/>
        <v>0</v>
      </c>
      <c r="K67" s="13">
        <f t="shared" si="2"/>
        <v>0</v>
      </c>
    </row>
    <row r="68" spans="1:11" ht="30" customHeight="1" x14ac:dyDescent="0.3">
      <c r="A68" s="6">
        <v>62</v>
      </c>
      <c r="B68" s="7">
        <v>8809962541970</v>
      </c>
      <c r="C68" s="6" t="s">
        <v>130</v>
      </c>
      <c r="D68" s="8" t="s">
        <v>131</v>
      </c>
      <c r="E68" s="10">
        <v>20000</v>
      </c>
      <c r="F68" s="10">
        <v>9909.0909090909081</v>
      </c>
      <c r="G68" s="19">
        <f t="shared" si="0"/>
        <v>0.49545454545454543</v>
      </c>
      <c r="H68" s="9">
        <v>50</v>
      </c>
      <c r="I68" s="11"/>
      <c r="J68" s="12">
        <f t="shared" si="1"/>
        <v>0</v>
      </c>
      <c r="K68" s="13">
        <f t="shared" si="2"/>
        <v>0</v>
      </c>
    </row>
    <row r="69" spans="1:11" ht="30" customHeight="1" x14ac:dyDescent="0.3">
      <c r="A69" s="6">
        <v>63</v>
      </c>
      <c r="B69" s="7">
        <v>8809783325674</v>
      </c>
      <c r="C69" s="6" t="s">
        <v>132</v>
      </c>
      <c r="D69" s="8" t="s">
        <v>133</v>
      </c>
      <c r="E69" s="10">
        <v>3000</v>
      </c>
      <c r="F69" s="10">
        <v>1227.2727272727273</v>
      </c>
      <c r="G69" s="19">
        <f t="shared" si="0"/>
        <v>0.40909090909090906</v>
      </c>
      <c r="H69" s="9">
        <v>300</v>
      </c>
      <c r="I69" s="11"/>
      <c r="J69" s="12">
        <f t="shared" si="1"/>
        <v>0</v>
      </c>
      <c r="K69" s="13">
        <f t="shared" si="2"/>
        <v>0</v>
      </c>
    </row>
    <row r="70" spans="1:11" ht="30" customHeight="1" x14ac:dyDescent="0.3">
      <c r="A70" s="6">
        <v>64</v>
      </c>
      <c r="B70" s="7">
        <v>8809783325667</v>
      </c>
      <c r="C70" s="6" t="s">
        <v>134</v>
      </c>
      <c r="D70" s="8" t="s">
        <v>135</v>
      </c>
      <c r="E70" s="10">
        <v>15000</v>
      </c>
      <c r="F70" s="10">
        <v>6068.181818181818</v>
      </c>
      <c r="G70" s="19">
        <f t="shared" si="0"/>
        <v>0.40454545454545454</v>
      </c>
      <c r="H70" s="9">
        <v>60</v>
      </c>
      <c r="I70" s="11"/>
      <c r="J70" s="12">
        <f t="shared" si="1"/>
        <v>0</v>
      </c>
      <c r="K70" s="13">
        <f t="shared" si="2"/>
        <v>0</v>
      </c>
    </row>
    <row r="71" spans="1:11" ht="30" customHeight="1" x14ac:dyDescent="0.3">
      <c r="A71" s="6">
        <v>65</v>
      </c>
      <c r="B71" s="7">
        <v>8809750462708</v>
      </c>
      <c r="C71" s="6" t="s">
        <v>136</v>
      </c>
      <c r="D71" s="8" t="s">
        <v>137</v>
      </c>
      <c r="E71" s="10">
        <v>21000</v>
      </c>
      <c r="F71" s="10">
        <v>9927.2727272727261</v>
      </c>
      <c r="G71" s="19">
        <f t="shared" si="0"/>
        <v>0.47272727272727266</v>
      </c>
      <c r="H71" s="9">
        <v>40</v>
      </c>
      <c r="I71" s="11"/>
      <c r="J71" s="12">
        <f t="shared" si="1"/>
        <v>0</v>
      </c>
      <c r="K71" s="13">
        <f t="shared" si="2"/>
        <v>0</v>
      </c>
    </row>
    <row r="72" spans="1:11" ht="30" customHeight="1" x14ac:dyDescent="0.3">
      <c r="A72" s="6">
        <v>66</v>
      </c>
      <c r="B72" s="7">
        <v>8809783325728</v>
      </c>
      <c r="C72" s="6" t="s">
        <v>138</v>
      </c>
      <c r="D72" s="8" t="s">
        <v>139</v>
      </c>
      <c r="E72" s="10">
        <v>22000</v>
      </c>
      <c r="F72" s="10">
        <v>5899.9999999999991</v>
      </c>
      <c r="G72" s="19">
        <f t="shared" ref="G72:G101" si="3">F72/E72</f>
        <v>0.26818181818181813</v>
      </c>
      <c r="H72" s="9">
        <v>144</v>
      </c>
      <c r="I72" s="11"/>
      <c r="J72" s="12">
        <f t="shared" ref="J72:J101" si="4">I72*H72</f>
        <v>0</v>
      </c>
      <c r="K72" s="13">
        <f t="shared" ref="K72:K101" si="5">IF($F72&gt;0,$J72*$F72,"")</f>
        <v>0</v>
      </c>
    </row>
    <row r="73" spans="1:11" ht="30" customHeight="1" x14ac:dyDescent="0.3">
      <c r="A73" s="6">
        <v>67</v>
      </c>
      <c r="B73" s="7">
        <v>8809783326718</v>
      </c>
      <c r="C73" s="6" t="s">
        <v>140</v>
      </c>
      <c r="D73" s="8" t="s">
        <v>141</v>
      </c>
      <c r="E73" s="10">
        <v>22000</v>
      </c>
      <c r="F73" s="10">
        <v>10300</v>
      </c>
      <c r="G73" s="19">
        <f t="shared" si="3"/>
        <v>0.4681818181818182</v>
      </c>
      <c r="H73" s="9">
        <v>50</v>
      </c>
      <c r="I73" s="11"/>
      <c r="J73" s="12">
        <f t="shared" si="4"/>
        <v>0</v>
      </c>
      <c r="K73" s="13">
        <f t="shared" si="5"/>
        <v>0</v>
      </c>
    </row>
    <row r="74" spans="1:11" ht="30" customHeight="1" x14ac:dyDescent="0.3">
      <c r="A74" s="6">
        <v>68</v>
      </c>
      <c r="B74" s="7">
        <v>8809783326725</v>
      </c>
      <c r="C74" s="6" t="s">
        <v>142</v>
      </c>
      <c r="D74" s="8" t="s">
        <v>143</v>
      </c>
      <c r="E74" s="10">
        <v>30000</v>
      </c>
      <c r="F74" s="10">
        <v>14590.909090909092</v>
      </c>
      <c r="G74" s="19">
        <f t="shared" si="3"/>
        <v>0.48636363636363639</v>
      </c>
      <c r="H74" s="9">
        <v>50</v>
      </c>
      <c r="I74" s="11"/>
      <c r="J74" s="12">
        <f t="shared" si="4"/>
        <v>0</v>
      </c>
      <c r="K74" s="13">
        <f t="shared" si="5"/>
        <v>0</v>
      </c>
    </row>
    <row r="75" spans="1:11" ht="30" customHeight="1" x14ac:dyDescent="0.3">
      <c r="A75" s="6">
        <v>69</v>
      </c>
      <c r="B75" s="7">
        <v>8809864754126</v>
      </c>
      <c r="C75" s="6" t="s">
        <v>144</v>
      </c>
      <c r="D75" s="8" t="s">
        <v>145</v>
      </c>
      <c r="E75" s="10">
        <v>24000</v>
      </c>
      <c r="F75" s="10">
        <v>11454.545454545454</v>
      </c>
      <c r="G75" s="19">
        <f t="shared" si="3"/>
        <v>0.47727272727272724</v>
      </c>
      <c r="H75" s="9">
        <v>50</v>
      </c>
      <c r="I75" s="11"/>
      <c r="J75" s="12">
        <f t="shared" si="4"/>
        <v>0</v>
      </c>
      <c r="K75" s="13">
        <f t="shared" si="5"/>
        <v>0</v>
      </c>
    </row>
    <row r="76" spans="1:11" ht="30" customHeight="1" x14ac:dyDescent="0.3">
      <c r="A76" s="6">
        <v>70</v>
      </c>
      <c r="B76" s="7">
        <v>8809849802408</v>
      </c>
      <c r="C76" s="6" t="s">
        <v>146</v>
      </c>
      <c r="D76" s="8" t="s">
        <v>147</v>
      </c>
      <c r="E76" s="10">
        <v>10000</v>
      </c>
      <c r="F76" s="10">
        <v>4409.090909090909</v>
      </c>
      <c r="G76" s="19">
        <f t="shared" si="3"/>
        <v>0.44090909090909092</v>
      </c>
      <c r="H76" s="9">
        <v>200</v>
      </c>
      <c r="I76" s="11"/>
      <c r="J76" s="12">
        <f t="shared" si="4"/>
        <v>0</v>
      </c>
      <c r="K76" s="13">
        <f t="shared" si="5"/>
        <v>0</v>
      </c>
    </row>
    <row r="77" spans="1:11" ht="30" customHeight="1" x14ac:dyDescent="0.3">
      <c r="A77" s="6">
        <v>71</v>
      </c>
      <c r="B77" s="7">
        <v>8809962540294</v>
      </c>
      <c r="C77" s="6" t="s">
        <v>148</v>
      </c>
      <c r="D77" s="8" t="s">
        <v>149</v>
      </c>
      <c r="E77" s="10">
        <v>21000</v>
      </c>
      <c r="F77" s="10">
        <v>9259.0909090909081</v>
      </c>
      <c r="G77" s="19">
        <f t="shared" si="3"/>
        <v>0.44090909090909086</v>
      </c>
      <c r="H77" s="9">
        <v>80</v>
      </c>
      <c r="I77" s="11"/>
      <c r="J77" s="12">
        <f t="shared" si="4"/>
        <v>0</v>
      </c>
      <c r="K77" s="13">
        <f t="shared" si="5"/>
        <v>0</v>
      </c>
    </row>
    <row r="78" spans="1:11" ht="30" customHeight="1" x14ac:dyDescent="0.3">
      <c r="A78" s="6">
        <v>72</v>
      </c>
      <c r="B78" s="7">
        <v>8809962542137</v>
      </c>
      <c r="C78" s="6" t="s">
        <v>150</v>
      </c>
      <c r="D78" s="8" t="s">
        <v>151</v>
      </c>
      <c r="E78" s="10">
        <v>42000</v>
      </c>
      <c r="F78" s="10">
        <v>16800</v>
      </c>
      <c r="G78" s="19">
        <f t="shared" si="3"/>
        <v>0.4</v>
      </c>
      <c r="H78" s="9">
        <v>45</v>
      </c>
      <c r="I78" s="11"/>
      <c r="J78" s="12">
        <f t="shared" si="4"/>
        <v>0</v>
      </c>
      <c r="K78" s="13">
        <f t="shared" si="5"/>
        <v>0</v>
      </c>
    </row>
    <row r="79" spans="1:11" ht="30" customHeight="1" x14ac:dyDescent="0.3">
      <c r="A79" s="6">
        <v>73</v>
      </c>
      <c r="B79" s="7">
        <v>8809962542403</v>
      </c>
      <c r="C79" s="6" t="s">
        <v>152</v>
      </c>
      <c r="D79" s="8" t="s">
        <v>153</v>
      </c>
      <c r="E79" s="10">
        <v>20000</v>
      </c>
      <c r="F79" s="10">
        <v>9909.0909090909081</v>
      </c>
      <c r="G79" s="19">
        <f t="shared" si="3"/>
        <v>0.49545454545454543</v>
      </c>
      <c r="H79" s="9">
        <v>50</v>
      </c>
      <c r="I79" s="11"/>
      <c r="J79" s="12">
        <f t="shared" si="4"/>
        <v>0</v>
      </c>
      <c r="K79" s="13">
        <f t="shared" si="5"/>
        <v>0</v>
      </c>
    </row>
    <row r="80" spans="1:11" ht="30" customHeight="1" x14ac:dyDescent="0.3">
      <c r="A80" s="6">
        <v>74</v>
      </c>
      <c r="B80" s="7">
        <v>8809962540652</v>
      </c>
      <c r="C80" s="6" t="s">
        <v>154</v>
      </c>
      <c r="D80" s="8" t="s">
        <v>155</v>
      </c>
      <c r="E80" s="10">
        <v>3000</v>
      </c>
      <c r="F80" s="10">
        <v>1268.181818181818</v>
      </c>
      <c r="G80" s="19">
        <f t="shared" si="3"/>
        <v>0.42272727272727267</v>
      </c>
      <c r="H80" s="9">
        <v>300</v>
      </c>
      <c r="I80" s="11"/>
      <c r="J80" s="12">
        <f t="shared" si="4"/>
        <v>0</v>
      </c>
      <c r="K80" s="13">
        <f t="shared" si="5"/>
        <v>0</v>
      </c>
    </row>
    <row r="81" spans="1:11" ht="30" customHeight="1" x14ac:dyDescent="0.3">
      <c r="A81" s="6">
        <v>75</v>
      </c>
      <c r="B81" s="7">
        <v>8809962540690</v>
      </c>
      <c r="C81" s="6" t="s">
        <v>156</v>
      </c>
      <c r="D81" s="8" t="s">
        <v>157</v>
      </c>
      <c r="E81" s="10">
        <v>15000</v>
      </c>
      <c r="F81" s="10">
        <v>6340.9090909090901</v>
      </c>
      <c r="G81" s="19">
        <f t="shared" si="3"/>
        <v>0.42272727272727267</v>
      </c>
      <c r="H81" s="9">
        <v>60</v>
      </c>
      <c r="I81" s="11"/>
      <c r="J81" s="12">
        <f t="shared" si="4"/>
        <v>0</v>
      </c>
      <c r="K81" s="13">
        <f t="shared" si="5"/>
        <v>0</v>
      </c>
    </row>
    <row r="82" spans="1:11" ht="30" customHeight="1" x14ac:dyDescent="0.3">
      <c r="A82" s="6">
        <v>76</v>
      </c>
      <c r="B82" s="7">
        <v>8809962540775</v>
      </c>
      <c r="C82" s="6" t="s">
        <v>158</v>
      </c>
      <c r="D82" s="8" t="s">
        <v>159</v>
      </c>
      <c r="E82" s="10">
        <v>11900</v>
      </c>
      <c r="F82" s="10">
        <v>3732.272727272727</v>
      </c>
      <c r="G82" s="19">
        <f t="shared" si="3"/>
        <v>0.3136363636363636</v>
      </c>
      <c r="H82" s="9">
        <v>100</v>
      </c>
      <c r="I82" s="11"/>
      <c r="J82" s="12">
        <f t="shared" si="4"/>
        <v>0</v>
      </c>
      <c r="K82" s="13">
        <f t="shared" si="5"/>
        <v>0</v>
      </c>
    </row>
    <row r="83" spans="1:11" ht="30" customHeight="1" x14ac:dyDescent="0.3">
      <c r="A83" s="6">
        <v>77</v>
      </c>
      <c r="B83" s="7">
        <v>8809962540584</v>
      </c>
      <c r="C83" s="6"/>
      <c r="D83" s="8" t="s">
        <v>160</v>
      </c>
      <c r="E83" s="10">
        <v>6900</v>
      </c>
      <c r="F83" s="10">
        <v>2101.363636363636</v>
      </c>
      <c r="G83" s="19">
        <f t="shared" si="3"/>
        <v>0.30454545454545451</v>
      </c>
      <c r="H83" s="9">
        <v>100</v>
      </c>
      <c r="I83" s="11"/>
      <c r="J83" s="12">
        <f t="shared" si="4"/>
        <v>0</v>
      </c>
      <c r="K83" s="13">
        <f t="shared" si="5"/>
        <v>0</v>
      </c>
    </row>
    <row r="84" spans="1:11" ht="30" customHeight="1" x14ac:dyDescent="0.3">
      <c r="A84" s="6">
        <v>78</v>
      </c>
      <c r="B84" s="7">
        <v>8809962540591</v>
      </c>
      <c r="C84" s="6" t="s">
        <v>161</v>
      </c>
      <c r="D84" s="8" t="s">
        <v>162</v>
      </c>
      <c r="E84" s="10">
        <v>15000</v>
      </c>
      <c r="F84" s="10">
        <v>4568.181818181818</v>
      </c>
      <c r="G84" s="19">
        <f t="shared" si="3"/>
        <v>0.30454545454545451</v>
      </c>
      <c r="H84" s="9">
        <v>40</v>
      </c>
      <c r="I84" s="11"/>
      <c r="J84" s="12">
        <f t="shared" si="4"/>
        <v>0</v>
      </c>
      <c r="K84" s="13">
        <f t="shared" si="5"/>
        <v>0</v>
      </c>
    </row>
    <row r="85" spans="1:11" ht="30" customHeight="1" x14ac:dyDescent="0.3">
      <c r="A85" s="6">
        <v>79</v>
      </c>
      <c r="B85" s="7">
        <v>8809962540539</v>
      </c>
      <c r="C85" s="6" t="s">
        <v>163</v>
      </c>
      <c r="D85" s="8" t="s">
        <v>164</v>
      </c>
      <c r="E85" s="10">
        <v>14000</v>
      </c>
      <c r="F85" s="10">
        <v>4136.363636363636</v>
      </c>
      <c r="G85" s="19">
        <f t="shared" si="3"/>
        <v>0.29545454545454541</v>
      </c>
      <c r="H85" s="9">
        <v>40</v>
      </c>
      <c r="I85" s="11"/>
      <c r="J85" s="12">
        <f t="shared" si="4"/>
        <v>0</v>
      </c>
      <c r="K85" s="13">
        <f t="shared" si="5"/>
        <v>0</v>
      </c>
    </row>
    <row r="86" spans="1:11" ht="30" customHeight="1" x14ac:dyDescent="0.3">
      <c r="A86" s="6">
        <v>80</v>
      </c>
      <c r="B86" s="7">
        <v>8809962540546</v>
      </c>
      <c r="C86" s="6" t="s">
        <v>165</v>
      </c>
      <c r="D86" s="8" t="s">
        <v>166</v>
      </c>
      <c r="E86" s="10">
        <v>26600</v>
      </c>
      <c r="F86" s="10">
        <v>11365.454545454544</v>
      </c>
      <c r="G86" s="19">
        <f t="shared" si="3"/>
        <v>0.42727272727272725</v>
      </c>
      <c r="H86" s="9">
        <v>40</v>
      </c>
      <c r="I86" s="11"/>
      <c r="J86" s="12">
        <f t="shared" si="4"/>
        <v>0</v>
      </c>
      <c r="K86" s="13">
        <f t="shared" si="5"/>
        <v>0</v>
      </c>
    </row>
    <row r="87" spans="1:11" ht="30" customHeight="1" x14ac:dyDescent="0.3">
      <c r="A87" s="6">
        <v>81</v>
      </c>
      <c r="B87" s="7">
        <v>8809962540805</v>
      </c>
      <c r="C87" s="6" t="s">
        <v>167</v>
      </c>
      <c r="D87" s="8" t="s">
        <v>168</v>
      </c>
      <c r="E87" s="10">
        <v>26600</v>
      </c>
      <c r="F87" s="10">
        <v>8463.6363636363621</v>
      </c>
      <c r="G87" s="19">
        <f t="shared" si="3"/>
        <v>0.31818181818181812</v>
      </c>
      <c r="H87" s="9">
        <v>40</v>
      </c>
      <c r="I87" s="11"/>
      <c r="J87" s="12">
        <f t="shared" si="4"/>
        <v>0</v>
      </c>
      <c r="K87" s="13">
        <f t="shared" si="5"/>
        <v>0</v>
      </c>
    </row>
    <row r="88" spans="1:11" ht="30" customHeight="1" x14ac:dyDescent="0.3">
      <c r="A88" s="6">
        <v>82</v>
      </c>
      <c r="B88" s="7">
        <v>8809962540812</v>
      </c>
      <c r="C88" s="6" t="s">
        <v>169</v>
      </c>
      <c r="D88" s="8" t="s">
        <v>170</v>
      </c>
      <c r="E88" s="10">
        <v>28000</v>
      </c>
      <c r="F88" s="10">
        <v>18963.63636363636</v>
      </c>
      <c r="G88" s="19">
        <f t="shared" si="3"/>
        <v>0.67727272727272714</v>
      </c>
      <c r="H88" s="9">
        <v>30</v>
      </c>
      <c r="I88" s="11"/>
      <c r="J88" s="12">
        <f t="shared" si="4"/>
        <v>0</v>
      </c>
      <c r="K88" s="13">
        <f t="shared" si="5"/>
        <v>0</v>
      </c>
    </row>
    <row r="89" spans="1:11" ht="30" customHeight="1" x14ac:dyDescent="0.3">
      <c r="A89" s="6">
        <v>83</v>
      </c>
      <c r="B89" s="7">
        <v>8809962541048</v>
      </c>
      <c r="C89" s="6" t="s">
        <v>171</v>
      </c>
      <c r="D89" s="8" t="s">
        <v>172</v>
      </c>
      <c r="E89" s="10">
        <v>26000</v>
      </c>
      <c r="F89" s="10">
        <v>16427.272727272724</v>
      </c>
      <c r="G89" s="19">
        <f t="shared" si="3"/>
        <v>0.63181818181818172</v>
      </c>
      <c r="H89" s="9">
        <v>40</v>
      </c>
      <c r="I89" s="11"/>
      <c r="J89" s="12">
        <f t="shared" si="4"/>
        <v>0</v>
      </c>
      <c r="K89" s="13">
        <f t="shared" si="5"/>
        <v>0</v>
      </c>
    </row>
    <row r="90" spans="1:11" ht="30" customHeight="1" x14ac:dyDescent="0.3">
      <c r="A90" s="6">
        <v>84</v>
      </c>
      <c r="B90" s="7">
        <v>8809962541031</v>
      </c>
      <c r="C90" s="6" t="s">
        <v>173</v>
      </c>
      <c r="D90" s="8" t="s">
        <v>174</v>
      </c>
      <c r="E90" s="10">
        <v>28000</v>
      </c>
      <c r="F90" s="10">
        <v>15654.545454545454</v>
      </c>
      <c r="G90" s="19">
        <f t="shared" si="3"/>
        <v>0.55909090909090908</v>
      </c>
      <c r="H90" s="9">
        <v>24</v>
      </c>
      <c r="I90" s="11"/>
      <c r="J90" s="12">
        <f t="shared" si="4"/>
        <v>0</v>
      </c>
      <c r="K90" s="13">
        <f t="shared" si="5"/>
        <v>0</v>
      </c>
    </row>
    <row r="91" spans="1:11" ht="30" customHeight="1" x14ac:dyDescent="0.3">
      <c r="A91" s="6">
        <v>85</v>
      </c>
      <c r="B91" s="7">
        <v>8809962541284</v>
      </c>
      <c r="C91" s="6" t="s">
        <v>175</v>
      </c>
      <c r="D91" s="8" t="s">
        <v>176</v>
      </c>
      <c r="E91" s="10">
        <v>31000</v>
      </c>
      <c r="F91" s="10">
        <v>17050</v>
      </c>
      <c r="G91" s="19">
        <f t="shared" si="3"/>
        <v>0.55000000000000004</v>
      </c>
      <c r="H91" s="9">
        <v>16</v>
      </c>
      <c r="I91" s="11"/>
      <c r="J91" s="12">
        <f t="shared" si="4"/>
        <v>0</v>
      </c>
      <c r="K91" s="13">
        <f t="shared" si="5"/>
        <v>0</v>
      </c>
    </row>
    <row r="92" spans="1:11" ht="30" customHeight="1" x14ac:dyDescent="0.3">
      <c r="A92" s="6">
        <v>86</v>
      </c>
      <c r="B92" s="7">
        <v>8809962541383</v>
      </c>
      <c r="C92" s="6" t="s">
        <v>177</v>
      </c>
      <c r="D92" s="8" t="s">
        <v>178</v>
      </c>
      <c r="E92" s="10">
        <v>28000</v>
      </c>
      <c r="F92" s="10">
        <v>18836.363636363636</v>
      </c>
      <c r="G92" s="19">
        <f t="shared" si="3"/>
        <v>0.67272727272727273</v>
      </c>
      <c r="H92" s="9">
        <v>50</v>
      </c>
      <c r="I92" s="11"/>
      <c r="J92" s="12">
        <f t="shared" si="4"/>
        <v>0</v>
      </c>
      <c r="K92" s="13">
        <f t="shared" si="5"/>
        <v>0</v>
      </c>
    </row>
    <row r="93" spans="1:11" ht="30" customHeight="1" x14ac:dyDescent="0.3">
      <c r="A93" s="6">
        <v>87</v>
      </c>
      <c r="B93" s="7">
        <v>8809962541857</v>
      </c>
      <c r="C93" s="6" t="s">
        <v>179</v>
      </c>
      <c r="D93" s="8" t="s">
        <v>180</v>
      </c>
      <c r="E93" s="10">
        <v>35000</v>
      </c>
      <c r="F93" s="10">
        <v>12886.363636363638</v>
      </c>
      <c r="G93" s="19">
        <f t="shared" si="3"/>
        <v>0.36818181818181822</v>
      </c>
      <c r="H93" s="9">
        <v>45</v>
      </c>
      <c r="I93" s="11"/>
      <c r="J93" s="12">
        <f t="shared" si="4"/>
        <v>0</v>
      </c>
      <c r="K93" s="13">
        <f t="shared" si="5"/>
        <v>0</v>
      </c>
    </row>
    <row r="94" spans="1:11" ht="30" customHeight="1" x14ac:dyDescent="0.3">
      <c r="A94" s="6">
        <v>88</v>
      </c>
      <c r="B94" s="7">
        <v>8809962541840</v>
      </c>
      <c r="C94" s="6" t="s">
        <v>181</v>
      </c>
      <c r="D94" s="8" t="s">
        <v>182</v>
      </c>
      <c r="E94" s="10">
        <v>30000</v>
      </c>
      <c r="F94" s="10">
        <v>9136.363636363636</v>
      </c>
      <c r="G94" s="19">
        <f t="shared" si="3"/>
        <v>0.30454545454545451</v>
      </c>
      <c r="H94" s="9">
        <v>45</v>
      </c>
      <c r="I94" s="11"/>
      <c r="J94" s="12">
        <f t="shared" si="4"/>
        <v>0</v>
      </c>
      <c r="K94" s="13">
        <f t="shared" si="5"/>
        <v>0</v>
      </c>
    </row>
    <row r="95" spans="1:11" ht="30" customHeight="1" x14ac:dyDescent="0.3">
      <c r="A95" s="6">
        <v>89</v>
      </c>
      <c r="B95" s="7">
        <v>8809962542212</v>
      </c>
      <c r="C95" s="6" t="s">
        <v>183</v>
      </c>
      <c r="D95" s="8" t="s">
        <v>184</v>
      </c>
      <c r="E95" s="10">
        <v>31000</v>
      </c>
      <c r="F95" s="10">
        <v>10568.181818181818</v>
      </c>
      <c r="G95" s="19">
        <f t="shared" si="3"/>
        <v>0.34090909090909088</v>
      </c>
      <c r="H95" s="9">
        <v>45</v>
      </c>
      <c r="I95" s="11"/>
      <c r="J95" s="12">
        <f t="shared" si="4"/>
        <v>0</v>
      </c>
      <c r="K95" s="13">
        <f t="shared" si="5"/>
        <v>0</v>
      </c>
    </row>
    <row r="96" spans="1:11" ht="30" customHeight="1" x14ac:dyDescent="0.3">
      <c r="A96" s="6">
        <v>90</v>
      </c>
      <c r="B96" s="7">
        <v>8809962542861</v>
      </c>
      <c r="C96" s="6" t="s">
        <v>185</v>
      </c>
      <c r="D96" s="8" t="s">
        <v>186</v>
      </c>
      <c r="E96" s="10">
        <v>0</v>
      </c>
      <c r="F96" s="10">
        <v>5400.454545454545</v>
      </c>
      <c r="G96" s="19" t="e">
        <f t="shared" si="3"/>
        <v>#DIV/0!</v>
      </c>
      <c r="H96" s="9">
        <v>96</v>
      </c>
      <c r="I96" s="11"/>
      <c r="J96" s="12">
        <f t="shared" si="4"/>
        <v>0</v>
      </c>
      <c r="K96" s="13">
        <f t="shared" si="5"/>
        <v>0</v>
      </c>
    </row>
    <row r="97" spans="1:11" ht="30" customHeight="1" x14ac:dyDescent="0.3">
      <c r="A97" s="6">
        <v>91</v>
      </c>
      <c r="B97" s="7">
        <v>8809962541222</v>
      </c>
      <c r="C97" s="6" t="s">
        <v>187</v>
      </c>
      <c r="D97" s="8" t="s">
        <v>188</v>
      </c>
      <c r="E97" s="10">
        <v>24000</v>
      </c>
      <c r="F97" s="10">
        <v>10690.90909090909</v>
      </c>
      <c r="G97" s="19">
        <f t="shared" si="3"/>
        <v>0.44545454545454544</v>
      </c>
      <c r="H97" s="9">
        <v>40</v>
      </c>
      <c r="I97" s="11"/>
      <c r="J97" s="12">
        <f t="shared" si="4"/>
        <v>0</v>
      </c>
      <c r="K97" s="13">
        <f t="shared" si="5"/>
        <v>0</v>
      </c>
    </row>
    <row r="98" spans="1:11" ht="30" customHeight="1" x14ac:dyDescent="0.3">
      <c r="A98" s="6">
        <v>92</v>
      </c>
      <c r="B98" s="7">
        <v>8809962541239</v>
      </c>
      <c r="C98" s="6" t="s">
        <v>189</v>
      </c>
      <c r="D98" s="8" t="s">
        <v>190</v>
      </c>
      <c r="E98" s="10">
        <v>27000</v>
      </c>
      <c r="F98" s="10">
        <v>12640.90909090909</v>
      </c>
      <c r="G98" s="19">
        <f t="shared" si="3"/>
        <v>0.46818181818181814</v>
      </c>
      <c r="H98" s="9">
        <v>50</v>
      </c>
      <c r="I98" s="11"/>
      <c r="J98" s="12">
        <f t="shared" si="4"/>
        <v>0</v>
      </c>
      <c r="K98" s="13">
        <f t="shared" si="5"/>
        <v>0</v>
      </c>
    </row>
    <row r="99" spans="1:11" ht="30" customHeight="1" x14ac:dyDescent="0.3">
      <c r="A99" s="6">
        <v>93</v>
      </c>
      <c r="B99" s="7">
        <v>8809962541246</v>
      </c>
      <c r="C99" s="6" t="s">
        <v>191</v>
      </c>
      <c r="D99" s="8" t="s">
        <v>192</v>
      </c>
      <c r="E99" s="10">
        <v>28000</v>
      </c>
      <c r="F99" s="10">
        <v>13363.636363636362</v>
      </c>
      <c r="G99" s="19">
        <f t="shared" si="3"/>
        <v>0.47727272727272724</v>
      </c>
      <c r="H99" s="9">
        <v>50</v>
      </c>
      <c r="I99" s="11"/>
      <c r="J99" s="12">
        <f t="shared" si="4"/>
        <v>0</v>
      </c>
      <c r="K99" s="13">
        <f t="shared" si="5"/>
        <v>0</v>
      </c>
    </row>
    <row r="100" spans="1:11" ht="30" customHeight="1" x14ac:dyDescent="0.3">
      <c r="A100" s="6">
        <v>94</v>
      </c>
      <c r="B100" s="7">
        <v>8809962541635</v>
      </c>
      <c r="C100" s="6" t="s">
        <v>193</v>
      </c>
      <c r="D100" s="8" t="s">
        <v>194</v>
      </c>
      <c r="E100" s="10">
        <v>21000</v>
      </c>
      <c r="F100" s="10">
        <v>10118.181818181818</v>
      </c>
      <c r="G100" s="19">
        <f t="shared" si="3"/>
        <v>0.48181818181818181</v>
      </c>
      <c r="H100" s="9">
        <v>40</v>
      </c>
      <c r="I100" s="11"/>
      <c r="J100" s="12">
        <f t="shared" si="4"/>
        <v>0</v>
      </c>
      <c r="K100" s="13">
        <f t="shared" si="5"/>
        <v>0</v>
      </c>
    </row>
    <row r="101" spans="1:11" ht="30" customHeight="1" x14ac:dyDescent="0.3">
      <c r="A101" s="6">
        <v>95</v>
      </c>
      <c r="B101" s="7">
        <v>8809962541628</v>
      </c>
      <c r="C101" s="6" t="s">
        <v>195</v>
      </c>
      <c r="D101" s="8" t="s">
        <v>196</v>
      </c>
      <c r="E101" s="10">
        <v>0</v>
      </c>
      <c r="F101" s="10">
        <v>9978.454545454546</v>
      </c>
      <c r="G101" s="19" t="e">
        <f t="shared" si="3"/>
        <v>#DIV/0!</v>
      </c>
      <c r="H101" s="9">
        <v>50</v>
      </c>
      <c r="I101" s="11"/>
      <c r="J101" s="12">
        <f t="shared" si="4"/>
        <v>0</v>
      </c>
      <c r="K101" s="13">
        <f t="shared" si="5"/>
        <v>0</v>
      </c>
    </row>
  </sheetData>
  <mergeCells count="2">
    <mergeCell ref="A1:C1"/>
    <mergeCell ref="E6:G6"/>
  </mergeCells>
  <phoneticPr fontId="2" type="noConversion"/>
  <conditionalFormatting sqref="E5:G5">
    <cfRule type="expression" dxfId="7" priority="1">
      <formula>#REF!="품절"</formula>
    </cfRule>
    <cfRule type="expression" dxfId="6" priority="2">
      <formula>#REF!="단종"</formula>
    </cfRule>
  </conditionalFormatting>
  <conditionalFormatting sqref="J7:J101">
    <cfRule type="expression" dxfId="5" priority="3">
      <formula>#REF!="품절"</formula>
    </cfRule>
    <cfRule type="expression" dxfId="4" priority="4">
      <formula>#REF!="단종"</formula>
    </cfRule>
  </conditionalFormatting>
  <conditionalFormatting sqref="I5:L5 A5:D6 K7:L7 H5:H6 K8:K101">
    <cfRule type="expression" dxfId="3" priority="5">
      <formula>#REF!="품절"</formula>
    </cfRule>
    <cfRule type="expression" dxfId="2" priority="6">
      <formula>#REF!="단종"</formula>
    </cfRule>
  </conditionalFormatting>
  <conditionalFormatting sqref="E6:L6">
    <cfRule type="expression" dxfId="1" priority="19">
      <formula>#REF!="품절"</formula>
    </cfRule>
    <cfRule type="expression" dxfId="0" priority="20">
      <formula>#REF!="단종"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Jin Sun</dc:creator>
  <cp:lastModifiedBy>Sun Jin</cp:lastModifiedBy>
  <dcterms:created xsi:type="dcterms:W3CDTF">2026-01-07T03:25:48Z</dcterms:created>
  <dcterms:modified xsi:type="dcterms:W3CDTF">2026-07-01T06:32:22Z</dcterms:modified>
</cp:coreProperties>
</file>
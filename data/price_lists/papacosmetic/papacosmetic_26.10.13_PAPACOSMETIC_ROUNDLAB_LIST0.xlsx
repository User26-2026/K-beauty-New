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APACOSMETIC\Desktop\"/>
    </mc:Choice>
  </mc:AlternateContent>
  <xr:revisionPtr revIDLastSave="0" documentId="8_{C46441F2-4012-4C5D-929F-5993AD77988F}" xr6:coauthVersionLast="47" xr6:coauthVersionMax="47" xr10:uidLastSave="{00000000-0000-0000-0000-000000000000}"/>
  <bookViews>
    <workbookView xWindow="29595" yWindow="480" windowWidth="26310" windowHeight="14925" activeTab="1" xr2:uid="{9999AC61-8E5C-480F-B905-95BDE599E29F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6" i="2" l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J112" i="2"/>
  <c r="I112" i="2"/>
  <c r="I111" i="2"/>
  <c r="J111" i="2" s="1"/>
  <c r="I110" i="2"/>
  <c r="J110" i="2" s="1"/>
  <c r="I109" i="2"/>
  <c r="J109" i="2" s="1"/>
  <c r="I108" i="2"/>
  <c r="J108" i="2" s="1"/>
  <c r="I107" i="2"/>
  <c r="J107" i="2" s="1"/>
  <c r="I106" i="2"/>
  <c r="J106" i="2" s="1"/>
  <c r="I105" i="2"/>
  <c r="J105" i="2" s="1"/>
  <c r="I104" i="2"/>
  <c r="J104" i="2" s="1"/>
  <c r="I103" i="2"/>
  <c r="J103" i="2" s="1"/>
  <c r="J102" i="2"/>
  <c r="I102" i="2"/>
  <c r="I101" i="2"/>
  <c r="J101" i="2" s="1"/>
  <c r="J100" i="2"/>
  <c r="I100" i="2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J93" i="2"/>
  <c r="I93" i="2"/>
  <c r="J92" i="2"/>
  <c r="I92" i="2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J82" i="2"/>
  <c r="I82" i="2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J72" i="2"/>
  <c r="I72" i="2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J62" i="2"/>
  <c r="I62" i="2"/>
  <c r="I61" i="2"/>
  <c r="J61" i="2" s="1"/>
  <c r="I60" i="2" l="1"/>
  <c r="J60" i="2" s="1"/>
  <c r="I59" i="2"/>
  <c r="J59" i="2" s="1"/>
  <c r="I58" i="2"/>
  <c r="J58" i="2" s="1"/>
  <c r="I57" i="2"/>
  <c r="J57" i="2" s="1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I7" i="2"/>
  <c r="J7" i="2" l="1"/>
  <c r="J6" i="2" s="1"/>
  <c r="I6" i="2"/>
  <c r="J8" i="2"/>
  <c r="I6" i="1" l="1"/>
  <c r="J49" i="1" l="1"/>
  <c r="K49" i="1"/>
  <c r="J50" i="1"/>
  <c r="K50" i="1" s="1"/>
  <c r="J51" i="1"/>
  <c r="K51" i="1" s="1"/>
  <c r="J52" i="1"/>
  <c r="K52" i="1"/>
  <c r="J53" i="1"/>
  <c r="K53" i="1"/>
  <c r="J54" i="1"/>
  <c r="K54" i="1"/>
  <c r="J55" i="1"/>
  <c r="K55" i="1"/>
  <c r="J56" i="1"/>
  <c r="K56" i="1"/>
  <c r="J57" i="1"/>
  <c r="K57" i="1"/>
  <c r="J58" i="1"/>
  <c r="K58" i="1" s="1"/>
  <c r="J59" i="1"/>
  <c r="K59" i="1" s="1"/>
  <c r="J60" i="1"/>
  <c r="K60" i="1" s="1"/>
  <c r="G49" i="1"/>
  <c r="G50" i="1"/>
  <c r="G51" i="1"/>
  <c r="G52" i="1"/>
  <c r="G53" i="1"/>
  <c r="G54" i="1"/>
  <c r="G55" i="1"/>
  <c r="G56" i="1"/>
  <c r="G57" i="1"/>
  <c r="G58" i="1"/>
  <c r="G59" i="1"/>
  <c r="G60" i="1"/>
  <c r="J8" i="1"/>
  <c r="K8" i="1"/>
  <c r="J9" i="1"/>
  <c r="K9" i="1"/>
  <c r="J10" i="1"/>
  <c r="K10" i="1"/>
  <c r="J11" i="1"/>
  <c r="K11" i="1" s="1"/>
  <c r="J12" i="1"/>
  <c r="K12" i="1"/>
  <c r="J13" i="1"/>
  <c r="K13" i="1"/>
  <c r="J14" i="1"/>
  <c r="K14" i="1" s="1"/>
  <c r="J15" i="1"/>
  <c r="K15" i="1"/>
  <c r="J16" i="1"/>
  <c r="K16" i="1"/>
  <c r="J17" i="1"/>
  <c r="K17" i="1"/>
  <c r="J18" i="1"/>
  <c r="K18" i="1" s="1"/>
  <c r="J19" i="1"/>
  <c r="K19" i="1"/>
  <c r="J20" i="1"/>
  <c r="K20" i="1" s="1"/>
  <c r="J21" i="1"/>
  <c r="K21" i="1"/>
  <c r="J22" i="1"/>
  <c r="K22" i="1" s="1"/>
  <c r="J23" i="1"/>
  <c r="K23" i="1" s="1"/>
  <c r="J24" i="1"/>
  <c r="K24" i="1" s="1"/>
  <c r="J25" i="1"/>
  <c r="K25" i="1"/>
  <c r="J26" i="1"/>
  <c r="K26" i="1"/>
  <c r="J27" i="1"/>
  <c r="K27" i="1"/>
  <c r="J28" i="1"/>
  <c r="K28" i="1"/>
  <c r="J29" i="1"/>
  <c r="K29" i="1"/>
  <c r="J30" i="1"/>
  <c r="K30" i="1"/>
  <c r="J31" i="1"/>
  <c r="K31" i="1"/>
  <c r="J32" i="1"/>
  <c r="K32" i="1" s="1"/>
  <c r="J33" i="1"/>
  <c r="K33" i="1" s="1"/>
  <c r="J34" i="1"/>
  <c r="K34" i="1"/>
  <c r="J35" i="1"/>
  <c r="K35" i="1"/>
  <c r="J36" i="1"/>
  <c r="K36" i="1"/>
  <c r="J37" i="1"/>
  <c r="K37" i="1"/>
  <c r="J38" i="1"/>
  <c r="K38" i="1" s="1"/>
  <c r="J39" i="1"/>
  <c r="K39" i="1"/>
  <c r="J40" i="1"/>
  <c r="K40" i="1"/>
  <c r="J41" i="1"/>
  <c r="K41" i="1"/>
  <c r="J42" i="1"/>
  <c r="K42" i="1" s="1"/>
  <c r="J43" i="1"/>
  <c r="K43" i="1"/>
  <c r="J44" i="1"/>
  <c r="K44" i="1" s="1"/>
  <c r="J45" i="1"/>
  <c r="K45" i="1"/>
  <c r="J46" i="1"/>
  <c r="K46" i="1" s="1"/>
  <c r="J47" i="1"/>
  <c r="K47" i="1"/>
  <c r="J48" i="1"/>
  <c r="K48" i="1" s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J7" i="1" l="1"/>
  <c r="J6" i="1" s="1"/>
  <c r="G7" i="1"/>
  <c r="K7" i="1" l="1"/>
  <c r="K6" i="1" s="1"/>
</calcChain>
</file>

<file path=xl/sharedStrings.xml><?xml version="1.0" encoding="utf-8"?>
<sst xmlns="http://schemas.openxmlformats.org/spreadsheetml/2006/main" count="357" uniqueCount="346">
  <si>
    <t>NO</t>
    <phoneticPr fontId="4" type="noConversion"/>
  </si>
  <si>
    <t>Bar Code</t>
    <phoneticPr fontId="2" type="noConversion"/>
  </si>
  <si>
    <t>Product Name(EN)</t>
    <phoneticPr fontId="5" type="noConversion"/>
  </si>
  <si>
    <t>PCS / 
OUTBOX</t>
    <phoneticPr fontId="5" type="noConversion"/>
  </si>
  <si>
    <t>ORDER 
BOXES</t>
    <phoneticPr fontId="5" type="noConversion"/>
  </si>
  <si>
    <t>TOTAL 
QUANTITIES</t>
    <phoneticPr fontId="5" type="noConversion"/>
  </si>
  <si>
    <t>Total Supply Price</t>
    <phoneticPr fontId="2" type="noConversion"/>
  </si>
  <si>
    <t>TOTAL</t>
    <phoneticPr fontId="2" type="noConversion"/>
  </si>
  <si>
    <t>소비자가
(KRW)</t>
    <phoneticPr fontId="5" type="noConversion"/>
  </si>
  <si>
    <t xml:space="preserve"> 공급가
(KRW)</t>
    <phoneticPr fontId="5" type="noConversion"/>
  </si>
  <si>
    <t xml:space="preserve"> 공급율
(KRW)</t>
    <phoneticPr fontId="5" type="noConversion"/>
  </si>
  <si>
    <t>Product Name(KR)</t>
    <phoneticPr fontId="5" type="noConversion"/>
  </si>
  <si>
    <t>셀리맥스 노니마스크 1매</t>
  </si>
  <si>
    <t>CELIMAX THE REAL NONI ENERGY AMPOULE MASK 1EA</t>
  </si>
  <si>
    <t>셀리맥스 노니마스크 10매</t>
  </si>
  <si>
    <t>CELIMAX THE REAL NONI ENERGY AMPOULE MASK 10EA</t>
  </si>
  <si>
    <t>셀리맥스 시카마스크 1매</t>
  </si>
  <si>
    <t>CELIMAX THE REAL CICA CALMING SERUM MASK 1EA</t>
  </si>
  <si>
    <t>셀리맥스 시카마스크 10매</t>
  </si>
  <si>
    <t>CELIMAX THE REAL CICA CALMING SERUM MASK 10EA</t>
  </si>
  <si>
    <t>셀리맥스 브라이트닝 모공잡티 세럼 마스크 1매</t>
  </si>
  <si>
    <t>CELIMAX PORE+DARK SPOT BRIGHTENING SERUM MASK 1EA</t>
  </si>
  <si>
    <t>셀리맥스 브라이트닝 모공잡티 세럼 마스크 10매</t>
  </si>
  <si>
    <t>CELIMAX PORE+DARK SPOT BRIGHTENING SERUM MASK 10EA</t>
  </si>
  <si>
    <t>셀리맥스 브라이트닝 모공잡티 크림 랩핑 마스크 1매</t>
  </si>
  <si>
    <t>CELIMAX PORE+DARK SPOT BRIGHTENING CREAM MASK 1EA</t>
  </si>
  <si>
    <t>셀리맥스 브라이트닝 모공잡티 크림 랩핑 마스크 4매</t>
  </si>
  <si>
    <t>CELIMAX PORE+DARK SPOT BRIGHTENING CREAM MASK 4EA</t>
  </si>
  <si>
    <t>시카 투스텝 겔 마스크 1매</t>
  </si>
  <si>
    <t>CELIMAX JI WOO GAE CICA PHA PEEL 2-STEP GEL MASK 1EA</t>
  </si>
  <si>
    <t>시카 투스텝 겔 마스크 4매</t>
  </si>
  <si>
    <t>CELIMAX JI WOO GAE CICA PHA PEEL 2-STEP GEL MASK 4EA</t>
  </si>
  <si>
    <t>셀리맥스 노니 클레이 마스크 120g</t>
  </si>
  <si>
    <t>CELIMAX THE REAL NONI REFRESH CLAY MASK 120G</t>
  </si>
  <si>
    <t>셀리맥스 노니 토너 150ml</t>
  </si>
  <si>
    <t>CELIMAX THE REAL NONI MOISTURE BALANCING TONER 150ML</t>
  </si>
  <si>
    <t>셀리맥스 노니 에너지 앰플 30ml</t>
  </si>
  <si>
    <t>CELIMAX THE REAL NONI ENERGY AMPOULE 30ML</t>
  </si>
  <si>
    <t>셀리맥스 더 리얼 노니 에너지 앰플 50ml</t>
  </si>
  <si>
    <t>CELIMAX THE REAL NONI ENERGY AMPOULE 50ML</t>
  </si>
  <si>
    <t xml:space="preserve"> 셀리맥스 노니 로션 150ml</t>
  </si>
  <si>
    <t>CELIMAX THE REAL NONI HYDRA FIRMING LOTION 150ML</t>
  </si>
  <si>
    <t>셀리맥스 노니 얼티밋 아이크림 20ml</t>
  </si>
  <si>
    <t>CELIMAX THE REAL NONI ULTIMATE EYE CREAM 20ML</t>
  </si>
  <si>
    <t>노니 리페어 크림 50ml</t>
  </si>
  <si>
    <t>CELIMAX THE REAL NONI ENERGY REPAIR CREAM 50ML</t>
  </si>
  <si>
    <t>셀리맥스 노니미스트 50ml</t>
  </si>
  <si>
    <t>CELIMAX THE REAL NONI ENERGY AMPOULE MIST 50ML</t>
  </si>
  <si>
    <t>셀리맥스 더 리얼 노니 아크네 버블 폼 클렌징 155ml</t>
  </si>
  <si>
    <t>CELIMAX THE REAL NONI ACNE BUBBLE CLEANSER 155ML</t>
  </si>
  <si>
    <t>노니 글로우 패드 50매</t>
  </si>
  <si>
    <t>CELIMAX THE REAL NONI CALMING GLOW PAD 50EA</t>
  </si>
  <si>
    <t>셀리맥스 더 리얼 시카 나이아신마이드 AC 카밍 세럼 40ml</t>
  </si>
  <si>
    <t>CELIMAX THE REAL CICA NIACINAMIDE AC CALMING SERUM 40ML</t>
  </si>
  <si>
    <t>셀리맥스 더 리얼 시카 수딩 크림 50ml</t>
  </si>
  <si>
    <t>CELIMAX THE REAL CICA SOOTHING CREAM 50ML</t>
  </si>
  <si>
    <t>셀리맥스 지우개패드 (22AD)</t>
  </si>
  <si>
    <t>CELIMAX JI WOO GAE HEARTLEAF BHA PEELING PAD 60PADS</t>
  </si>
  <si>
    <t>셀리맥스 원스텝 바디 브라이트닝 패드 60 pads / 110ml (22AD)</t>
  </si>
  <si>
    <t>CELIMAX ONE STEP BODY BRIGHTENING PAD 60PADS</t>
  </si>
  <si>
    <t>셀리맥스 지우개 클렌징 패드 60매</t>
  </si>
  <si>
    <t>CELIMAX JI WOO GAE ONE STEP MILD CLEANSING PAD 60PADS</t>
  </si>
  <si>
    <t>셀리맥스 시카 BHA 블레미쉬 토너 패드 170ml/60매</t>
  </si>
  <si>
    <t>CELIMAX JI WOO GAE CICA BHA BLEMISH TONER PAD 60PADS</t>
  </si>
  <si>
    <t>셀리맥스 지우개 바디 미스트 150ml</t>
  </si>
  <si>
    <t>CELIMAX JI WOO GAE HEARTLEAF BHA BODY MIST 150ML</t>
  </si>
  <si>
    <t>셀리맥스 베이킹 소다 딥 포어 지우개 폼 클렌징</t>
  </si>
  <si>
    <t>CELIMAX BAKING SODA DEEP PORE JI WOO GAE FOAM CLEANSING 150ML</t>
  </si>
  <si>
    <t>셀리맥스 시카 바하 지우개 폼 클렌징 150ml</t>
  </si>
  <si>
    <t>CELIMAX JI WOO GAE CICA BHA ACNE FOAM CLEANSING 150ML</t>
  </si>
  <si>
    <t>셀리맥스 듀얼 배리어 젤 클렌저 200ml</t>
  </si>
  <si>
    <t>CELIMAX DUAL BARRIER MILD GEL CLEANSER 200ML</t>
  </si>
  <si>
    <t>셀리맥스 듀얼 배리어 토너 150ml</t>
  </si>
  <si>
    <t>CELIMAX DUAL BARRIER CREAMY TONER 150ML</t>
  </si>
  <si>
    <t>셀리맥스 듀얼 배리어 세럼 30ml</t>
  </si>
  <si>
    <t>CELIMAX DUAL BARRIER BOOSTING SERUM 30ML</t>
  </si>
  <si>
    <t>셀리맥스 듀얼 배리어 크림 50ml</t>
  </si>
  <si>
    <t>CELIMAX DUAL BARRIER SKIN WEARABLE CREAM 50ML</t>
  </si>
  <si>
    <t>셀리맥스 듀얼 배리어 워터리 선크림 40ml</t>
  </si>
  <si>
    <t>CELIMAX DUAL BARRIER WATERY SUN CREAM 40ML</t>
  </si>
  <si>
    <t>셀리맥스 듀얼배리어 클렌징 밤 50ml *2EA (본품 + 리필)</t>
  </si>
  <si>
    <t>CELIMAX DUAL BARRIER PURIFYING CLEANSING BALM 50ML (main product + refill)</t>
  </si>
  <si>
    <t>셀리맥스 듀얼배리어 클렌징 밤 50ml (리필)</t>
  </si>
  <si>
    <t>CELIMAX DUAL BARRIER PURIFYING CLEANSING BALM 50M refill</t>
  </si>
  <si>
    <t>셀리맥스 더 비타 에이 레티놀 샷 타이트닝 세럼 30ml</t>
  </si>
  <si>
    <t>CELIMAX THE VITA-A RETINOL SHOT TIGHTENING SERUM 30ML</t>
  </si>
  <si>
    <t>셀리맥스 더 비타 에이 레티날 샷 타이트닝 부스터 15ml</t>
  </si>
  <si>
    <t>CELIMAX THE VITA-A RETINAL SHOT TIGHTENING BOOSTER 15ML</t>
  </si>
  <si>
    <t>셀리맥스 프레시 클렌징 오일</t>
  </si>
  <si>
    <t>CELIMAX DERMA NATURE FRESH BLACKHEAD JOJOBA CLEANSING OIL 150ML</t>
  </si>
  <si>
    <t>셀리맥스 마데시카 약산성 폼 클렌징</t>
  </si>
  <si>
    <t>CELIMAX DERMA NATURE RELIEF MADECICA PH BALANCING FOAM CLEANSING 150ML</t>
  </si>
  <si>
    <t>셀리맥스 환생 톤업크림</t>
  </si>
  <si>
    <t>CELIMAX DERMA NATURE GLUTATHIONE LONGLASTING TONE-UP CREAM 35ML</t>
  </si>
  <si>
    <t>셀리맥스 오일 컨트롤 에센스 30ml</t>
  </si>
  <si>
    <t>CELIMAX OIL CONTROL CAPSULE ESSENCE 30ML</t>
  </si>
  <si>
    <t>셀리맥스 오일 컨트롤 라이트 선크림 40ml</t>
  </si>
  <si>
    <t>CELIMAX OIL CONTROL LIGHT SUNSCREEN 40ML</t>
  </si>
  <si>
    <t>셀리맥스 오일 컨트롤 수분 크림 80ml</t>
  </si>
  <si>
    <t>CELIMAX OIL CONTROL MOISTURIZING CREAM 80ML</t>
  </si>
  <si>
    <t>셀리맥스 오일 컨트롤 매티파잉 선스틱 19g</t>
  </si>
  <si>
    <t>CELIMAX OIL CONTROL MATTIFYING SUN STICK 19G</t>
  </si>
  <si>
    <t>셀리맥스 하트핑크 톤업 선크림 40ml</t>
  </si>
  <si>
    <t>CELIMAX HEART PINK TONE UP SUN CREAM 40ML</t>
  </si>
  <si>
    <t>셀리맥스 브라이트닝 모공잡티 세럼 30ml</t>
  </si>
  <si>
    <t>CELIMAX PORE+DARK SPOT BRIGHTENING SERUM 30ML</t>
  </si>
  <si>
    <t>셀리맥스 브라이트닝 모공잡티 패드 40pads</t>
  </si>
  <si>
    <t>CELIMAX PORE+DARK SPOT BRIGHTENING PAD 40PADS</t>
  </si>
  <si>
    <t>셀리맥스 브라이트닝 모공잡티 패드 80pads</t>
  </si>
  <si>
    <t>CELIMAX PORE+DARK SPOT BRIGHTENING PAD 80PADS</t>
  </si>
  <si>
    <t>셀리맥스 모공잡티 크림 35ml</t>
  </si>
  <si>
    <t>CELIMAX PORE+DARK SPOT BRIGHTENING CREAM 35ML</t>
  </si>
  <si>
    <t>셀리맥스 모공잡티 선스크린 50ml</t>
  </si>
  <si>
    <t>CELIMAX PORE+DARK SPOT BRIGHTENING CARE SUNSCREEN 50ML</t>
  </si>
  <si>
    <t>셀리맥스 더 리얼 노니 스타터 키트</t>
  </si>
  <si>
    <t>CELIMAX THE REAL NONI STARTER KIT</t>
  </si>
  <si>
    <t>셀리맥스 듀얼 베리어 트라이얼 키트</t>
  </si>
  <si>
    <t>CELIMAX DUAL BARRIER TRIAL KIT</t>
  </si>
  <si>
    <t>셀리맥스 모공 다크 스팟 브라이트닝 키트</t>
  </si>
  <si>
    <t>CELIMAX PORE+DARK SPOT BRIGHTENING KIT</t>
  </si>
  <si>
    <t xml:space="preserve">8809849807410					</t>
  </si>
  <si>
    <t xml:space="preserve">8809849807427					</t>
  </si>
  <si>
    <t xml:space="preserve">8809743548525					</t>
  </si>
  <si>
    <t xml:space="preserve">8809743548532					</t>
  </si>
  <si>
    <t xml:space="preserve">8809750465228					</t>
  </si>
  <si>
    <t xml:space="preserve">8809750465235					</t>
  </si>
  <si>
    <t xml:space="preserve">8809541379468					</t>
  </si>
  <si>
    <t xml:space="preserve">8809463992738					</t>
  </si>
  <si>
    <t xml:space="preserve">8809606852578					</t>
  </si>
  <si>
    <t xml:space="preserve">8809606852585					</t>
  </si>
  <si>
    <r>
      <t xml:space="preserve">MOA : </t>
    </r>
    <r>
      <rPr>
        <b/>
        <sz val="14"/>
        <color theme="1"/>
        <rFont val="맑은 고딕"/>
        <family val="3"/>
        <charset val="129"/>
      </rPr>
      <t>\1</t>
    </r>
    <r>
      <rPr>
        <b/>
        <sz val="14"/>
        <color theme="1"/>
        <rFont val="맑은 고딕"/>
        <family val="3"/>
        <charset val="129"/>
        <scheme val="minor"/>
      </rPr>
      <t>00,000,000</t>
    </r>
    <phoneticPr fontId="2" type="noConversion"/>
  </si>
  <si>
    <t>PAPACOSMETIC CELIMAX PRICE LIST</t>
    <phoneticPr fontId="2" type="noConversion"/>
  </si>
  <si>
    <t>-</t>
  </si>
  <si>
    <t>라운드랩 독도 토너 100ml</t>
  </si>
  <si>
    <t>1025 DOKDO TONER_100ml</t>
  </si>
  <si>
    <t>라운드 랩 1025 독도 토너 200ml</t>
  </si>
  <si>
    <t>1025 DOKDO TONER_200ml</t>
  </si>
  <si>
    <t xml:space="preserve">라운드랩 독도 토너 500ml </t>
  </si>
  <si>
    <t>1025 DOKDO TONER_500ml</t>
  </si>
  <si>
    <t>라운드 랩 1025 독도 로션 200ml</t>
  </si>
  <si>
    <t>1025 DOKDO LOTION_200ml</t>
  </si>
  <si>
    <t>라운드 랩 1025 독도 크림 80ml</t>
  </si>
  <si>
    <t>1025 DOKDO CREAM_80ml</t>
  </si>
  <si>
    <t>라운드 랩 1025 독도 클렌져 150ml</t>
  </si>
  <si>
    <t xml:space="preserve">1025 DOKDO CLEANSER_150ml  </t>
  </si>
  <si>
    <t>라운드 랩 1025 독도 클렌징 오일 200ml</t>
  </si>
  <si>
    <t>1025 DOKDO CLEANSING OIL_200ml</t>
  </si>
  <si>
    <t>라운드 랩 1025 독도 수면 팩 100ml</t>
  </si>
  <si>
    <t>1025 DOKDO SLEEPING PACK_100ml</t>
  </si>
  <si>
    <t>라운드 랩 1025 독도 앰플 45g</t>
  </si>
  <si>
    <t>1025 DOKDO AMPULE_45g</t>
  </si>
  <si>
    <t>라운드 랩 독도 머드팩 100ml (튜브타입)</t>
  </si>
  <si>
    <t>1025 DOKDO MUD PACK_100ml (Tube Type)</t>
  </si>
  <si>
    <t>라운드 랩 독도 워터겔 마스크 시트 30ml 10매</t>
  </si>
  <si>
    <t>1025 DOKDO HYDRATING WATER GEL MASK_30ml (10ea)</t>
  </si>
  <si>
    <t>라운드 랩 독도 라이트 크림 80ml</t>
  </si>
  <si>
    <t>1025 DOKDO LIGHT CREAM_80ml</t>
  </si>
  <si>
    <t>라운드랩 독도 클렌징 밤 50ml</t>
  </si>
  <si>
    <t>1025 DOKDO CLEANSING BALM_50ml (NEW)</t>
  </si>
  <si>
    <t>라운드랩 1025 독도 클렌징 밀크 200ml</t>
  </si>
  <si>
    <t>1025 DOKDO CLEANSING MILK_200ml</t>
  </si>
  <si>
    <t>라운드랩 1025 독도 버블 폼 150ml</t>
  </si>
  <si>
    <t>1025 DOKDO BUBBLE FOAM_150ml</t>
  </si>
  <si>
    <t>라운드 랩 1025 독도 패드 70ea</t>
  </si>
  <si>
    <t>1025 DOKDO PAD_70pcs</t>
  </si>
  <si>
    <t>라운드 랩 독도 아이크림 30ml</t>
  </si>
  <si>
    <t>1025 DOKDO EYE CREAM_30ml</t>
  </si>
  <si>
    <t>라운드 랩 독도 필링 젤 120ml</t>
  </si>
  <si>
    <t>1025 DOKDO PEELING GEL_120ml</t>
  </si>
  <si>
    <t>라운드랩 독도 선크림 50ml</t>
  </si>
  <si>
    <t>1025 DOKDO SUNSCREEN_50ml</t>
  </si>
  <si>
    <t>라운드랩 1025 독도 클렌징 젤 150ml</t>
  </si>
  <si>
    <t>1025 DOKDO CLEANSING GEL_150ml</t>
  </si>
  <si>
    <t>라운드 랩 1025 독도 클렌징 워터 400ml</t>
  </si>
  <si>
    <t>1025 DOKDO CLEANSING WATER_400ml</t>
  </si>
  <si>
    <t>라운드랩 1025 독도 토너+로션 기획 세트 (토너 200ml + 로션 200ml)</t>
  </si>
  <si>
    <t>1025 DOKDO TONER LOTION SPECIAL SET (Toner_200ml + Lotion_200ml)</t>
  </si>
  <si>
    <t>라운드 랩 독도 트라이얼 키트(독도클렌저30+독도토너20+독도앰플10+독도크림20)</t>
  </si>
  <si>
    <t>1025 DOKDO TRIAL KIT (Cleanser 30ml + Toner 20ml + Ampule 10ml + Cream 20ml)</t>
  </si>
  <si>
    <t>라운드랩 독도 클렌징티슈 30매</t>
  </si>
  <si>
    <t>1025 DOKDO CLEANSING TISSUE_30ea</t>
  </si>
  <si>
    <t>라운드 랩 자작나무 수분 토너 300ml</t>
  </si>
  <si>
    <t>BIRCH JUICE MOISTURIZING TONER_300ml</t>
  </si>
  <si>
    <t>라운드 랩 자작나무 수분 크림 80ml</t>
  </si>
  <si>
    <t>BIRCH JUICE MOISTURIZING CREAM_80ml</t>
  </si>
  <si>
    <t>라운드 랩 자작나무 수분 클렌저 150ml</t>
  </si>
  <si>
    <t>BIRCH JUICE MOISTURIZING CLEANSER_150ml</t>
  </si>
  <si>
    <t>라운드 랩 자작나무 워시 오프 팩 80ml</t>
  </si>
  <si>
    <t>BIRCH JUICE MOISTURIZING WASHOFF PACK_80ml</t>
  </si>
  <si>
    <t>라운드 랩 자작나무 수분 세럼 50ml</t>
  </si>
  <si>
    <t>BIRCH JUICE MOISTURIZING SERUM_50ml</t>
  </si>
  <si>
    <t>라운드 랩 자작나무 수분 패드 80ea (2021 Renewal)</t>
  </si>
  <si>
    <t>BIRCH JUICE MOISTURIZING PAD_80pcs</t>
  </si>
  <si>
    <t>라운드랩 자작나무 수분 선크림 50ml</t>
  </si>
  <si>
    <t>BIRCH JUICE MOISTURIZING SUNSCREEN_50ml</t>
  </si>
  <si>
    <t>라운드 랩 자작나무 수분 마스크 시트 10매</t>
  </si>
  <si>
    <t>BIRCH JUICE MOISTURIZING MASK_25ml (10ea)</t>
  </si>
  <si>
    <t>라운드랩 자작나무 수딩 젤 150ml</t>
  </si>
  <si>
    <t>BIRCH JUICE MOISTURIZING SOOTHING GEL_150ml</t>
  </si>
  <si>
    <t>라운드랩 자작나무 수분 톤업 선크림 50ml (23AD)</t>
  </si>
  <si>
    <t>BIRCH JUICE MOISTURIZING TONE UP SUNSCREEN_50ml</t>
  </si>
  <si>
    <t>라운드랩 자작나무 무기자차 마일드업 선크림 50ml</t>
  </si>
  <si>
    <t>BIRCH JUICE MILD-UP SUNSCREEN_50ml</t>
  </si>
  <si>
    <t>라운드랩 자작나무 수분선스틱 19g (23AD)</t>
  </si>
  <si>
    <t xml:space="preserve">BIRCH JUICE MOISTURIZING SUN STICK_19g </t>
  </si>
  <si>
    <t>라운드랩 자작나무 선쿠션 15g</t>
  </si>
  <si>
    <t xml:space="preserve">BIRCH JUICE MOISTURIZING SUN CUSHION_15g </t>
  </si>
  <si>
    <t>라운드랩 자작나무 앰플 50ml</t>
  </si>
  <si>
    <t>BIRCH JUICE AMPOULE_50ml</t>
  </si>
  <si>
    <t>라운드 랩 자작나무 수분 클렌징 패드 60매입</t>
  </si>
  <si>
    <t>BIRCH JUICE CLEANSING PAD_60ea</t>
  </si>
  <si>
    <t>라운드랩 핸드 크림 30ml</t>
  </si>
  <si>
    <t>BIRCH JUICE HAND CREAM 30ml</t>
  </si>
  <si>
    <t>라운드랩 자작수분 트라이얼 키트(자작클렌저30+자작토너20+자작앰플10+자작크림20)</t>
  </si>
  <si>
    <t>BIRCH JUICE TRIAL KIT (Cleanser 30ml + Toner 20ml + Ampoule 10ml + Cream 20ml)</t>
  </si>
  <si>
    <t>라운드랩 자작나무 수분 더블 겔 마스크 10매</t>
  </si>
  <si>
    <t>BIRCH JUICE MOISTURIZING DOUBLE GEL MASK 23ml(10ea)</t>
  </si>
  <si>
    <t>라운드랩 자작나무 수분 립밤 20g</t>
  </si>
  <si>
    <t>BIRCH JUICE MOISTURIZING LIP BALM(+MINI BRUSH)</t>
  </si>
  <si>
    <t>라운드랩 자작나무 수분 립밤 세트</t>
  </si>
  <si>
    <t>BIRCH JUICE MOISTURIZING LIP BALM SET(+LIP BRUSH)</t>
  </si>
  <si>
    <t>BIRCH JUICE MOISTURIZING EYE BALM 10g</t>
  </si>
  <si>
    <t>BIRCH JUICE MOISTURIZING INTENSIVE CREAM 50ml</t>
  </si>
  <si>
    <t>BIRCH JUICE MOISTURIZING PEELING CLEANSING OIL 200ml</t>
  </si>
  <si>
    <t>BIRCH JUICE MOISTURIZING SUN SPRAY 100ml</t>
  </si>
  <si>
    <t>라운드랩 해풍 쑥 진정 토너 300ml</t>
  </si>
  <si>
    <t>MUGWORT CALMING TONER_300ml</t>
  </si>
  <si>
    <t>라운드랩 해풍 쑥 진정 크림 80ml</t>
  </si>
  <si>
    <t>MUGWORT CALMING CREAM_80ml</t>
  </si>
  <si>
    <t>라운드랩 해풍쑥 진정 클렌저 150ml</t>
  </si>
  <si>
    <t>MUGWORT CALMING CLEANSER_150ml</t>
  </si>
  <si>
    <t>라운드랩 해풍쑥 진정 세럼 50ml</t>
  </si>
  <si>
    <t>MUGWORT CALMING SERUM_50ml</t>
  </si>
  <si>
    <t>라운드랩 해풍쑥 진정 수딩젤 150ml</t>
  </si>
  <si>
    <t>MUGWORT CALMING SOOTHING GEL_150ml</t>
  </si>
  <si>
    <t>라운드랩 해풍쑥 진정 마스크 시트 10매</t>
  </si>
  <si>
    <t>MUGWORT CALMING MASK_25ml (10ea)</t>
  </si>
  <si>
    <t>라운드랩 약콩 세럼 50ml</t>
  </si>
  <si>
    <t>SOYBEAN SERUM_50ml</t>
  </si>
  <si>
    <t>라운드 랩 약콩 영양 마스크 시트 27ml 10매</t>
  </si>
  <si>
    <t>SOYBEAN NOURISHING MASK_27ml (10ea)</t>
  </si>
  <si>
    <t>라운드 랩 약콩 영양 토너 300ml</t>
  </si>
  <si>
    <t>SOYBEAN NOURISHING TONER_300ml</t>
  </si>
  <si>
    <t>라운드 랩 약콩 영양 크림 80ml</t>
  </si>
  <si>
    <t>SOYBEAN NOURISHING CREAM_80ml</t>
  </si>
  <si>
    <t>라운드랩 약콩 클렌저 150ml</t>
  </si>
  <si>
    <t>SOYBEAN CLEANSER_150ml</t>
  </si>
  <si>
    <t>라운드랩 약콩 클랜징 오일 200ml</t>
  </si>
  <si>
    <t>SOYBEAN CLEANSING OIL_200ml</t>
  </si>
  <si>
    <t>라운드 랩 약콩 판테놀 토너 250ml</t>
  </si>
  <si>
    <t>SOYBEAN PANTHENOL TONER_250ml</t>
  </si>
  <si>
    <t>라운드 랩 약콩 판테놀 앰플 50ml</t>
  </si>
  <si>
    <t>SOYBEAN PANTHENOL AMPOULE_50ml</t>
  </si>
  <si>
    <t>라운드 랩 약콩 판테놀 크림 80ml</t>
  </si>
  <si>
    <t>SOYBEAN PANTHENOL CREAM_80ml</t>
  </si>
  <si>
    <t>라운드 랩 약콩 판테놀 마스크 10매입</t>
  </si>
  <si>
    <t>SOYBEAN PANTHENOL MASK_25ml (10ea)</t>
  </si>
  <si>
    <t>라운드랩 약콩 판테놀 클렌저 150ml</t>
  </si>
  <si>
    <t>SOYBEAN PANTHENOL CLEANSER_150ml</t>
  </si>
  <si>
    <t>라운드랩 약콩 판테놀 클렌징 오일 200ml</t>
  </si>
  <si>
    <t>SOYBEAN PANTHENOL CLEANSING OIL_200ml</t>
  </si>
  <si>
    <t>SOYBEAN QLA BARRIER CREAM 80ml</t>
  </si>
  <si>
    <t>라운드랩 소나무 진정 시카 크림 50ml</t>
  </si>
  <si>
    <t>PINE CALMING CICA CREAM_50ml</t>
  </si>
  <si>
    <t>라운드랩 소나무 진정 시카 앰플 30ml</t>
  </si>
  <si>
    <t>PINE CALMING CICA AMPOULE_30ml</t>
  </si>
  <si>
    <t>라운드랩 소나무 진정 시카 패드 50pcs</t>
  </si>
  <si>
    <t>PINE CALMING CICA PAD_50pcs</t>
  </si>
  <si>
    <t>라운드랩 소나무 진정 시카 마스크 27ml 10매</t>
  </si>
  <si>
    <t>PINE CALMING CICA MASK_27ml (10ea)</t>
  </si>
  <si>
    <t>라운드랩 소나무 진정 시카 토너 250ml</t>
  </si>
  <si>
    <t>PINE CALMING CICA TONER_250ml</t>
  </si>
  <si>
    <t>라운드랩 소나무 진정 시카 로션 250ml</t>
  </si>
  <si>
    <t>PINE CALMING CICA LOTION_250ml</t>
  </si>
  <si>
    <t>라운드랩 소나무 진정 시카 클렌저 150ml</t>
  </si>
  <si>
    <t>PINE CALMING CICA CLEANSER_150ml</t>
  </si>
  <si>
    <t>PINE CICA DEEP PORE CLAY MASK CLEANSER_150ml</t>
  </si>
  <si>
    <t>라운드 랩 소나무 진정 시카 바디 워시 400ml</t>
  </si>
  <si>
    <t>PINE CALMING CICA BODY WASH_400ml</t>
  </si>
  <si>
    <t>라운드 랩 소나무 시카 트라이얼 키트(소나무시카클렌저30+
소나무시카토너20+소나무시카앰플10+소나무시카크림20)</t>
  </si>
  <si>
    <t>PINE CALMING CICA TRIAL KIT (Cleanser 30ml + Toner 20ml + Ampoule 10ml + Cream 20ml)</t>
  </si>
  <si>
    <t>라운드랩 소나무 진정 시카 크림 플러스 60ml</t>
  </si>
  <si>
    <t>PINE CALMING CICA CREAM PLUS_60ml</t>
  </si>
  <si>
    <t>라운드랩 소나무 진정 시카 선크림 40ml (SPF50+ PA++++)</t>
  </si>
  <si>
    <t>PINE CALMING CICA SUNSCREEN 40ml</t>
  </si>
  <si>
    <t>PINE CALMING CICA MILD UP SUNSCREEN 40ml</t>
  </si>
  <si>
    <t>PINE CALMING CICA AIRY SUN STICK 19g</t>
  </si>
  <si>
    <t>PINE CALMING CICA SCALP AMPOULE 15ml</t>
  </si>
  <si>
    <t>PINE CALMING CICA SHAMPOO 400ml</t>
  </si>
  <si>
    <t>PINE CALMING CICA SCALP TONIC 100ml</t>
  </si>
  <si>
    <t>PINE CALMING CICA NOSE PACK (5ea)</t>
  </si>
  <si>
    <t>PINE CICA DEEP PORE CLEANSING OIL 200ml</t>
  </si>
  <si>
    <t>[OTC] PINE CALMING CICA ACNE MICRO SPOT PATCH</t>
  </si>
  <si>
    <t>PINE CALMING CICA PRIMER SUNSCREEN 50ml</t>
  </si>
  <si>
    <t>라운드 랩 비타 나이아신 잡티 세럼 30ml</t>
  </si>
  <si>
    <t>VITA NIACINAMIDE DARK SPOT SERUM 30ml</t>
  </si>
  <si>
    <t>라운드 랩 비타 나이아신 잡티 크림 50ml</t>
  </si>
  <si>
    <t>VITA NIACINAMIDE DARK SPOT CREAM 50ml</t>
  </si>
  <si>
    <t>라운드 랩 비타 나이아신 잡티 마스크 20ml*10ea</t>
  </si>
  <si>
    <t>VITA NIACINAMIDE DARK SPOT SERUM MASK 20ml (10ea)</t>
  </si>
  <si>
    <t>VITA NIACINAMIDE GLOW CAPSULE CREAM 50ml</t>
  </si>
  <si>
    <t>라운드 랩 베이비 마일드 탑투토 워시 300ml</t>
  </si>
  <si>
    <t>BABY MILD TOP TO TOE WASH 300ml</t>
  </si>
  <si>
    <t>라운드 랩 베이비 마일드 로션 300ml</t>
  </si>
  <si>
    <t>BABY MILD LOTION 300ml</t>
  </si>
  <si>
    <t>라운드 랩 베이비 마일드  물티슈 20매</t>
  </si>
  <si>
    <t>BABY MILD WET WIPES 20ea</t>
  </si>
  <si>
    <t>라운드 랩 베이비 마일드 선크림 60ml</t>
  </si>
  <si>
    <t>BABY MILD SUNSCREEN_60ml</t>
  </si>
  <si>
    <t>라운드 랩 베이비 마일드 수딩젤 150ml</t>
  </si>
  <si>
    <t>BABY MILD SOOTHING GEL_150ml</t>
  </si>
  <si>
    <t>라운드랩 베이비 마일드 선스틱 21g (SPF 50+ PA++++)</t>
  </si>
  <si>
    <t>BABY MILD SUN STICK 21g</t>
  </si>
  <si>
    <t>라운드랩 베이비 마일드 선쿠션 16g (SPF 50+ PA++++)</t>
  </si>
  <si>
    <t>BABY MILD SUN CUSHION 16g</t>
  </si>
  <si>
    <t>라운드랩 베이비 마일드 크림 200ml</t>
  </si>
  <si>
    <t>BABY MILD CREAM 200ml</t>
  </si>
  <si>
    <t>라운드랩 동백 딥 콜라겐 탄력 겔 마스크 (4매)</t>
  </si>
  <si>
    <t>CAMELLIA DEEP COLLAGEN FIRMING GEL MASK_34g (4ea)</t>
  </si>
  <si>
    <t>라운드 랩 동백 딥 콜라겐 탄력 앰플 30ml</t>
  </si>
  <si>
    <t>CAMELLIA DEEP COLLAGEN FIRMING AMPOULE_30ml</t>
  </si>
  <si>
    <t>라운드 랩 동백 딥 콜라겐 탄력 크림 50ml</t>
  </si>
  <si>
    <t>CAMELLIA DEEP COLLAGEN FIRMING CREAM_50ml</t>
  </si>
  <si>
    <t>라운드 랩 동백 딥 콜라겐 탄력 선 세럼 50ml</t>
  </si>
  <si>
    <t>CAMELLIA DEEP COLLAGEN FIRMING SUN SERUM_50ml</t>
  </si>
  <si>
    <t>라운드랩 동백 딥 콜라겐 젤리 팩 클렌저 150ml</t>
  </si>
  <si>
    <t>CAMELLIA DEEP COLLAGEN JELLY MASK CLEANSER 150ml</t>
  </si>
  <si>
    <t>CAMELLIA DEEP COLLAGEN V LIFTING GEL MASK 10g(4ea)</t>
  </si>
  <si>
    <t>CAMELLIA DEEP COLLAGEN EYE CREAM 30ml</t>
  </si>
  <si>
    <t>CAMELLIA DEEP COLLAGEN MILKY PDRN TONER 150ml</t>
  </si>
  <si>
    <t>CAMELLIA DEEP COLLAGEN LIFTING GUA SHA CREAM 60ml</t>
  </si>
  <si>
    <t>포 맨 자작나무 수분 토너 200ml</t>
  </si>
  <si>
    <t>FOR MEN BIRCH JUICE MOISTURIZING TONER_200ml</t>
  </si>
  <si>
    <t>포 맨 자작나무 수분 로션 200ml</t>
  </si>
  <si>
    <t>FOR MEN BIRCH JUICE MOISTURIZING LOTION_200ml</t>
  </si>
  <si>
    <t>포 맨 자작나무 수분 크림 75ml</t>
  </si>
  <si>
    <t>FOR MEN BIRCH JUICE MOISTURIZING CREAM_75ml</t>
  </si>
  <si>
    <t>포 맨 소나무 진정 시카 토너 200ml</t>
  </si>
  <si>
    <t>FOR MEN PINE CALMING CICA TONER_200ml</t>
  </si>
  <si>
    <t>포 맨 소나무 진정 시카 로션 200ml</t>
  </si>
  <si>
    <t>FOR MEN PINE CALMING CICA LOTION_200ml</t>
  </si>
  <si>
    <t>포 맨 소나무 진정 시카 크림 75ml</t>
  </si>
  <si>
    <t>FOR MEN PINE CALMING CICA CREAM_75ml</t>
  </si>
  <si>
    <t>라운드랩 스틱 파우치 키트</t>
  </si>
  <si>
    <t>STICK POUCH KIT</t>
  </si>
  <si>
    <t>PAPACOSMETIC ROUND LAB PRICE LIST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</si>
</sst>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₩&quot;* #,##0_-;\-&quot;₩&quot;* #,##0_-;_-&quot;₩&quot;* &quot;-&quot;_-;_-@_-"/>
    <numFmt numFmtId="41" formatCode="_-* #,##0_-;\-* #,##0_-;_-* &quot;-&quot;_-;_-@_-"/>
    <numFmt numFmtId="176" formatCode="_-[$₩-412]* #,##0_-;\-[$₩-412]* #,##0_-;_-[$₩-412]* &quot;-&quot;??_-;_-@_-"/>
    <numFmt numFmtId="177" formatCode="#,##0_ "/>
    <numFmt numFmtId="178" formatCode="&quot;₩&quot;#,##0_);[Red]\(&quot;₩&quot;#,##0\)"/>
    <numFmt numFmtId="179" formatCode="0_);[Red]\(0\)"/>
    <numFmt numFmtId="180" formatCode="_-[$₩-412]* #,##0.00_-;\-[$₩-412]* #,##0.00_-;_-[$₩-412]* &quot;-&quot;??_-;_-@_-"/>
  </numFmts>
  <fonts count="1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4"/>
      <color rgb="FF00B0F0"/>
      <name val="맑은 고딕"/>
      <family val="3"/>
      <charset val="129"/>
      <scheme val="minor"/>
    </font>
    <font>
      <b/>
      <sz val="11"/>
      <color theme="5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sz val="11"/>
      <color rgb="FFFF000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3" fillId="3" borderId="1" xfId="1" applyFont="1" applyFill="1" applyBorder="1" applyAlignment="1">
      <alignment horizontal="center" vertical="center"/>
    </xf>
    <xf numFmtId="41" fontId="7" fillId="4" borderId="1" xfId="1" applyNumberFormat="1" applyFont="1" applyFill="1" applyBorder="1" applyAlignment="1">
      <alignment horizontal="center" vertical="center"/>
    </xf>
    <xf numFmtId="41" fontId="7" fillId="0" borderId="1" xfId="1" applyNumberFormat="1" applyFont="1" applyFill="1" applyBorder="1" applyAlignment="1">
      <alignment horizontal="center" vertical="center"/>
    </xf>
    <xf numFmtId="178" fontId="7" fillId="0" borderId="1" xfId="1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79" fontId="8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179" fontId="9" fillId="0" borderId="1" xfId="0" applyNumberFormat="1" applyFont="1" applyBorder="1" applyAlignment="1">
      <alignment horizontal="center" vertical="center" wrapText="1"/>
    </xf>
    <xf numFmtId="178" fontId="9" fillId="0" borderId="1" xfId="0" applyNumberFormat="1" applyFont="1" applyBorder="1" applyAlignment="1">
      <alignment horizontal="center" vertical="center" wrapText="1"/>
    </xf>
    <xf numFmtId="0" fontId="0" fillId="4" borderId="1" xfId="0" applyFill="1" applyBorder="1">
      <alignment vertical="center"/>
    </xf>
    <xf numFmtId="41" fontId="8" fillId="0" borderId="1" xfId="0" applyNumberFormat="1" applyFont="1" applyBorder="1" applyAlignment="1">
      <alignment horizontal="center" vertical="center"/>
    </xf>
    <xf numFmtId="178" fontId="8" fillId="0" borderId="1" xfId="0" applyNumberFormat="1" applyFont="1" applyBorder="1" applyAlignment="1">
      <alignment horizontal="center" vertical="center"/>
    </xf>
    <xf numFmtId="0" fontId="10" fillId="5" borderId="1" xfId="1" applyFont="1" applyFill="1" applyBorder="1" applyAlignment="1">
      <alignment horizontal="center" vertical="center"/>
    </xf>
    <xf numFmtId="0" fontId="10" fillId="5" borderId="1" xfId="1" applyFont="1" applyFill="1" applyBorder="1" applyAlignment="1">
      <alignment horizontal="center" vertical="center" wrapText="1"/>
    </xf>
    <xf numFmtId="177" fontId="10" fillId="5" borderId="1" xfId="1" applyNumberFormat="1" applyFont="1" applyFill="1" applyBorder="1" applyAlignment="1">
      <alignment horizontal="center" vertical="center" wrapText="1"/>
    </xf>
    <xf numFmtId="176" fontId="10" fillId="5" borderId="1" xfId="1" applyNumberFormat="1" applyFont="1" applyFill="1" applyBorder="1" applyAlignment="1">
      <alignment horizontal="center" vertical="center" wrapText="1"/>
    </xf>
    <xf numFmtId="176" fontId="10" fillId="5" borderId="1" xfId="1" applyNumberFormat="1" applyFont="1" applyFill="1" applyBorder="1" applyAlignment="1">
      <alignment horizontal="center" vertical="center"/>
    </xf>
    <xf numFmtId="10" fontId="8" fillId="0" borderId="1" xfId="0" applyNumberFormat="1" applyFont="1" applyBorder="1" applyAlignment="1">
      <alignment horizontal="center" vertical="center" wrapText="1"/>
    </xf>
    <xf numFmtId="180" fontId="11" fillId="0" borderId="0" xfId="0" applyNumberFormat="1" applyFont="1" applyAlignment="1">
      <alignment horizontal="center" vertical="center"/>
    </xf>
    <xf numFmtId="0" fontId="12" fillId="6" borderId="0" xfId="0" quotePrefix="1" applyFont="1" applyFill="1" applyAlignment="1">
      <alignment horizontal="center" vertical="center"/>
    </xf>
    <xf numFmtId="0" fontId="12" fillId="6" borderId="0" xfId="0" applyFont="1" applyFill="1" applyAlignment="1">
      <alignment horizontal="center" vertical="center"/>
    </xf>
    <xf numFmtId="0" fontId="6" fillId="0" borderId="1" xfId="0" applyFont="1" applyBorder="1" applyAlignment="1">
      <alignment horizontal="center" vertical="center" wrapText="1" shrinkToFit="1"/>
    </xf>
    <xf numFmtId="0" fontId="15" fillId="0" borderId="2" xfId="0" applyFont="1" applyBorder="1" applyAlignment="1">
      <alignment horizontal="center" vertical="center"/>
    </xf>
    <xf numFmtId="179" fontId="15" fillId="0" borderId="1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176" fontId="15" fillId="0" borderId="1" xfId="0" applyNumberFormat="1" applyFont="1" applyBorder="1" applyAlignment="1">
      <alignment horizontal="center" vertical="center"/>
    </xf>
    <xf numFmtId="42" fontId="15" fillId="0" borderId="1" xfId="2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176" fontId="16" fillId="0" borderId="1" xfId="0" applyNumberFormat="1" applyFont="1" applyBorder="1" applyAlignment="1">
      <alignment horizontal="center" vertical="center"/>
    </xf>
    <xf numFmtId="179" fontId="16" fillId="0" borderId="1" xfId="0" applyNumberFormat="1" applyFont="1" applyBorder="1" applyAlignment="1">
      <alignment horizontal="center" vertical="center"/>
    </xf>
    <xf numFmtId="179" fontId="16" fillId="0" borderId="1" xfId="3" applyNumberFormat="1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7" borderId="2" xfId="0" applyFont="1" applyFill="1" applyBorder="1" applyAlignment="1">
      <alignment horizontal="center" vertical="center"/>
    </xf>
    <xf numFmtId="179" fontId="15" fillId="7" borderId="1" xfId="0" applyNumberFormat="1" applyFont="1" applyFill="1" applyBorder="1" applyAlignment="1">
      <alignment horizontal="center" vertical="center"/>
    </xf>
    <xf numFmtId="0" fontId="15" fillId="7" borderId="1" xfId="0" applyFont="1" applyFill="1" applyBorder="1" applyAlignment="1">
      <alignment horizontal="center" vertical="center" wrapText="1"/>
    </xf>
    <xf numFmtId="176" fontId="15" fillId="7" borderId="1" xfId="0" applyNumberFormat="1" applyFont="1" applyFill="1" applyBorder="1" applyAlignment="1">
      <alignment horizontal="center" vertical="center"/>
    </xf>
    <xf numFmtId="42" fontId="15" fillId="7" borderId="1" xfId="2" applyFont="1" applyFill="1" applyBorder="1" applyAlignment="1">
      <alignment horizontal="center" vertical="center"/>
    </xf>
    <xf numFmtId="0" fontId="15" fillId="7" borderId="1" xfId="0" applyFont="1" applyFill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179" fontId="15" fillId="0" borderId="4" xfId="0" applyNumberFormat="1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176" fontId="15" fillId="0" borderId="4" xfId="0" applyNumberFormat="1" applyFont="1" applyBorder="1" applyAlignment="1">
      <alignment horizontal="center" vertical="center"/>
    </xf>
    <xf numFmtId="42" fontId="15" fillId="0" borderId="4" xfId="2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 shrinkToFit="1"/>
    </xf>
    <xf numFmtId="41" fontId="3" fillId="8" borderId="1" xfId="1" applyNumberFormat="1" applyFont="1" applyFill="1" applyBorder="1" applyAlignment="1">
      <alignment horizontal="center" vertical="center"/>
    </xf>
    <xf numFmtId="176" fontId="3" fillId="8" borderId="1" xfId="1" applyNumberFormat="1" applyFont="1" applyFill="1" applyBorder="1" applyAlignment="1">
      <alignment horizontal="center" vertical="center"/>
    </xf>
  </cellXfs>
  <cellStyles count="4">
    <cellStyle name="20% - 강조색6" xfId="1" builtinId="50"/>
    <cellStyle name="경고문" xfId="3" builtinId="11"/>
    <cellStyle name="통화 [0]" xfId="2" builtinId="7"/>
    <cellStyle name="표준" xfId="0" builtinId="0"/>
  </cellStyles>
  <dxfs count="12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2E3E2-90B0-403A-99C2-4817F58E66FE}">
  <dimension ref="A1:K458"/>
  <sheetViews>
    <sheetView zoomScale="85" zoomScaleNormal="85" workbookViewId="0">
      <selection activeCell="K5" sqref="A5:K60"/>
    </sheetView>
  </sheetViews>
  <sheetFormatPr defaultRowHeight="16.5" x14ac:dyDescent="0.3"/>
  <cols>
    <col min="2" max="2" width="15.625" bestFit="1" customWidth="1"/>
    <col min="3" max="3" width="47.75" bestFit="1" customWidth="1"/>
    <col min="4" max="4" width="73.625" customWidth="1"/>
    <col min="5" max="5" width="12.875" customWidth="1"/>
    <col min="6" max="6" width="13.375" customWidth="1"/>
    <col min="7" max="7" width="11.875" bestFit="1" customWidth="1"/>
    <col min="9" max="9" width="16.875" bestFit="1" customWidth="1"/>
    <col min="10" max="10" width="22.5" bestFit="1" customWidth="1"/>
    <col min="11" max="11" width="20.125" bestFit="1" customWidth="1"/>
    <col min="12" max="12" width="20.125" customWidth="1"/>
  </cols>
  <sheetData>
    <row r="1" spans="1:11" ht="41.25" customHeight="1" x14ac:dyDescent="0.3">
      <c r="A1" s="21" t="s">
        <v>131</v>
      </c>
      <c r="B1" s="22"/>
      <c r="C1" s="22"/>
      <c r="D1" s="20" t="s">
        <v>130</v>
      </c>
    </row>
    <row r="4" spans="1:11" ht="16.5" customHeight="1" x14ac:dyDescent="0.3">
      <c r="F4" s="1"/>
      <c r="G4" s="1"/>
    </row>
    <row r="5" spans="1:11" ht="30" customHeight="1" x14ac:dyDescent="0.3">
      <c r="A5" s="14" t="s">
        <v>0</v>
      </c>
      <c r="B5" s="14" t="s">
        <v>1</v>
      </c>
      <c r="C5" s="14" t="s">
        <v>11</v>
      </c>
      <c r="D5" s="14" t="s">
        <v>2</v>
      </c>
      <c r="E5" s="16" t="s">
        <v>8</v>
      </c>
      <c r="F5" s="16" t="s">
        <v>9</v>
      </c>
      <c r="G5" s="17" t="s">
        <v>10</v>
      </c>
      <c r="H5" s="15" t="s">
        <v>3</v>
      </c>
      <c r="I5" s="18" t="s">
        <v>4</v>
      </c>
      <c r="J5" s="18" t="s">
        <v>5</v>
      </c>
      <c r="K5" s="18" t="s">
        <v>6</v>
      </c>
    </row>
    <row r="6" spans="1:11" ht="30" customHeight="1" x14ac:dyDescent="0.3">
      <c r="A6" s="2"/>
      <c r="B6" s="2"/>
      <c r="C6" s="2"/>
      <c r="D6" s="2"/>
      <c r="E6" s="23" t="s">
        <v>7</v>
      </c>
      <c r="F6" s="23"/>
      <c r="G6" s="23"/>
      <c r="H6" s="2"/>
      <c r="I6" s="3">
        <f>SUM(I7:I60)</f>
        <v>0</v>
      </c>
      <c r="J6" s="4">
        <f>SUM(J7:J60)</f>
        <v>0</v>
      </c>
      <c r="K6" s="5">
        <f>SUM(K7:K60)</f>
        <v>0</v>
      </c>
    </row>
    <row r="7" spans="1:11" ht="30" customHeight="1" x14ac:dyDescent="0.3">
      <c r="A7" s="6">
        <v>1</v>
      </c>
      <c r="B7" s="7" t="s">
        <v>120</v>
      </c>
      <c r="C7" s="6" t="s">
        <v>12</v>
      </c>
      <c r="D7" s="8" t="s">
        <v>13</v>
      </c>
      <c r="E7" s="10">
        <v>4000</v>
      </c>
      <c r="F7" s="10">
        <v>1490.909090909091</v>
      </c>
      <c r="G7" s="19">
        <f>F7/E7</f>
        <v>0.37272727272727274</v>
      </c>
      <c r="H7" s="9">
        <v>100</v>
      </c>
      <c r="I7" s="11"/>
      <c r="J7" s="12">
        <f>I7*H7</f>
        <v>0</v>
      </c>
      <c r="K7" s="13">
        <f>IF($F7&gt;0,$J7*$F7,"")</f>
        <v>0</v>
      </c>
    </row>
    <row r="8" spans="1:11" ht="30" customHeight="1" x14ac:dyDescent="0.3">
      <c r="A8" s="6">
        <v>2</v>
      </c>
      <c r="B8" s="7" t="s">
        <v>121</v>
      </c>
      <c r="C8" s="6" t="s">
        <v>14</v>
      </c>
      <c r="D8" s="8" t="s">
        <v>15</v>
      </c>
      <c r="E8" s="10">
        <v>40000</v>
      </c>
      <c r="F8" s="10">
        <v>13999.999999999998</v>
      </c>
      <c r="G8" s="19">
        <f t="shared" ref="G8:G60" si="0">F8/E8</f>
        <v>0.35</v>
      </c>
      <c r="H8" s="9">
        <v>20</v>
      </c>
      <c r="I8" s="11"/>
      <c r="J8" s="12">
        <f t="shared" ref="J8:J48" si="1">I8*H8</f>
        <v>0</v>
      </c>
      <c r="K8" s="13">
        <f t="shared" ref="K8:K60" si="2">IF($F8&gt;0,$J8*$F8,"")</f>
        <v>0</v>
      </c>
    </row>
    <row r="9" spans="1:11" ht="30" customHeight="1" x14ac:dyDescent="0.3">
      <c r="A9" s="6">
        <v>3</v>
      </c>
      <c r="B9" s="7" t="s">
        <v>122</v>
      </c>
      <c r="C9" s="6" t="s">
        <v>16</v>
      </c>
      <c r="D9" s="8" t="s">
        <v>17</v>
      </c>
      <c r="E9" s="10">
        <v>4000</v>
      </c>
      <c r="F9" s="10">
        <v>1490.909090909091</v>
      </c>
      <c r="G9" s="19">
        <f t="shared" si="0"/>
        <v>0.37272727272727274</v>
      </c>
      <c r="H9" s="9">
        <v>100</v>
      </c>
      <c r="I9" s="11"/>
      <c r="J9" s="12">
        <f t="shared" si="1"/>
        <v>0</v>
      </c>
      <c r="K9" s="13">
        <f t="shared" si="2"/>
        <v>0</v>
      </c>
    </row>
    <row r="10" spans="1:11" ht="30" customHeight="1" x14ac:dyDescent="0.3">
      <c r="A10" s="6">
        <v>4</v>
      </c>
      <c r="B10" s="7" t="s">
        <v>123</v>
      </c>
      <c r="C10" s="6" t="s">
        <v>18</v>
      </c>
      <c r="D10" s="8" t="s">
        <v>19</v>
      </c>
      <c r="E10" s="10">
        <v>40000</v>
      </c>
      <c r="F10" s="10">
        <v>13999.999999999998</v>
      </c>
      <c r="G10" s="19">
        <f t="shared" si="0"/>
        <v>0.35</v>
      </c>
      <c r="H10" s="9">
        <v>20</v>
      </c>
      <c r="I10" s="11"/>
      <c r="J10" s="12">
        <f t="shared" si="1"/>
        <v>0</v>
      </c>
      <c r="K10" s="13">
        <f t="shared" si="2"/>
        <v>0</v>
      </c>
    </row>
    <row r="11" spans="1:11" ht="30" customHeight="1" x14ac:dyDescent="0.3">
      <c r="A11" s="6">
        <v>5</v>
      </c>
      <c r="B11" s="7" t="s">
        <v>124</v>
      </c>
      <c r="C11" s="6" t="s">
        <v>20</v>
      </c>
      <c r="D11" s="8" t="s">
        <v>21</v>
      </c>
      <c r="E11" s="10">
        <v>4000</v>
      </c>
      <c r="F11" s="10">
        <v>1490.909090909091</v>
      </c>
      <c r="G11" s="19">
        <f t="shared" si="0"/>
        <v>0.37272727272727274</v>
      </c>
      <c r="H11" s="9">
        <v>100</v>
      </c>
      <c r="I11" s="11"/>
      <c r="J11" s="12">
        <f t="shared" si="1"/>
        <v>0</v>
      </c>
      <c r="K11" s="13">
        <f t="shared" si="2"/>
        <v>0</v>
      </c>
    </row>
    <row r="12" spans="1:11" ht="30" customHeight="1" x14ac:dyDescent="0.3">
      <c r="A12" s="6">
        <v>6</v>
      </c>
      <c r="B12" s="7" t="s">
        <v>125</v>
      </c>
      <c r="C12" s="6" t="s">
        <v>22</v>
      </c>
      <c r="D12" s="8" t="s">
        <v>23</v>
      </c>
      <c r="E12" s="10">
        <v>40000</v>
      </c>
      <c r="F12" s="10">
        <v>13999.999999999998</v>
      </c>
      <c r="G12" s="19">
        <f t="shared" si="0"/>
        <v>0.35</v>
      </c>
      <c r="H12" s="9">
        <v>20</v>
      </c>
      <c r="I12" s="11"/>
      <c r="J12" s="12">
        <f t="shared" si="1"/>
        <v>0</v>
      </c>
      <c r="K12" s="13">
        <f t="shared" si="2"/>
        <v>0</v>
      </c>
    </row>
    <row r="13" spans="1:11" ht="30" customHeight="1" x14ac:dyDescent="0.3">
      <c r="A13" s="6">
        <v>7</v>
      </c>
      <c r="B13" s="7">
        <v>8800296551550</v>
      </c>
      <c r="C13" s="6" t="s">
        <v>24</v>
      </c>
      <c r="D13" s="8" t="s">
        <v>25</v>
      </c>
      <c r="E13" s="10">
        <v>6000</v>
      </c>
      <c r="F13" s="10">
        <v>2618.181818181818</v>
      </c>
      <c r="G13" s="19">
        <f t="shared" si="0"/>
        <v>0.43636363636363634</v>
      </c>
      <c r="H13" s="9">
        <v>48</v>
      </c>
      <c r="I13" s="11"/>
      <c r="J13" s="12">
        <f t="shared" si="1"/>
        <v>0</v>
      </c>
      <c r="K13" s="13">
        <f t="shared" si="2"/>
        <v>0</v>
      </c>
    </row>
    <row r="14" spans="1:11" ht="30" customHeight="1" x14ac:dyDescent="0.3">
      <c r="A14" s="6">
        <v>8</v>
      </c>
      <c r="B14" s="7">
        <v>8800296551567</v>
      </c>
      <c r="C14" s="6" t="s">
        <v>26</v>
      </c>
      <c r="D14" s="8" t="s">
        <v>27</v>
      </c>
      <c r="E14" s="10">
        <v>26000</v>
      </c>
      <c r="F14" s="10">
        <v>10518.181818181816</v>
      </c>
      <c r="G14" s="19">
        <f t="shared" si="0"/>
        <v>0.40454545454545449</v>
      </c>
      <c r="H14" s="9">
        <v>24</v>
      </c>
      <c r="I14" s="11"/>
      <c r="J14" s="12">
        <f t="shared" si="1"/>
        <v>0</v>
      </c>
      <c r="K14" s="13">
        <f t="shared" si="2"/>
        <v>0</v>
      </c>
    </row>
    <row r="15" spans="1:11" ht="30" customHeight="1" x14ac:dyDescent="0.3">
      <c r="A15" s="6">
        <v>9</v>
      </c>
      <c r="B15" s="7">
        <v>8800296556425</v>
      </c>
      <c r="C15" s="6" t="s">
        <v>28</v>
      </c>
      <c r="D15" s="8" t="s">
        <v>29</v>
      </c>
      <c r="E15" s="10">
        <v>8000</v>
      </c>
      <c r="F15" s="10">
        <v>2618.181818181818</v>
      </c>
      <c r="G15" s="19">
        <f t="shared" si="0"/>
        <v>0.32727272727272727</v>
      </c>
      <c r="H15" s="9">
        <v>90</v>
      </c>
      <c r="I15" s="11"/>
      <c r="J15" s="12">
        <f t="shared" si="1"/>
        <v>0</v>
      </c>
      <c r="K15" s="13">
        <f t="shared" si="2"/>
        <v>0</v>
      </c>
    </row>
    <row r="16" spans="1:11" ht="30" customHeight="1" x14ac:dyDescent="0.3">
      <c r="A16" s="6">
        <v>10</v>
      </c>
      <c r="B16" s="7">
        <v>8800296557255</v>
      </c>
      <c r="C16" s="6" t="s">
        <v>30</v>
      </c>
      <c r="D16" s="8" t="s">
        <v>31</v>
      </c>
      <c r="E16" s="10">
        <v>32000</v>
      </c>
      <c r="F16" s="10">
        <v>10036.363636363636</v>
      </c>
      <c r="G16" s="19">
        <f t="shared" si="0"/>
        <v>0.3136363636363636</v>
      </c>
      <c r="H16" s="9">
        <v>20</v>
      </c>
      <c r="I16" s="11"/>
      <c r="J16" s="12">
        <f t="shared" si="1"/>
        <v>0</v>
      </c>
      <c r="K16" s="13">
        <f t="shared" si="2"/>
        <v>0</v>
      </c>
    </row>
    <row r="17" spans="1:11" ht="30" customHeight="1" x14ac:dyDescent="0.3">
      <c r="A17" s="6">
        <v>11</v>
      </c>
      <c r="B17" s="7">
        <v>8809954940354</v>
      </c>
      <c r="C17" s="6" t="s">
        <v>32</v>
      </c>
      <c r="D17" s="8" t="s">
        <v>33</v>
      </c>
      <c r="E17" s="10">
        <v>18000</v>
      </c>
      <c r="F17" s="10">
        <v>6709.090909090909</v>
      </c>
      <c r="G17" s="19">
        <f t="shared" si="0"/>
        <v>0.37272727272727274</v>
      </c>
      <c r="H17" s="9">
        <v>24</v>
      </c>
      <c r="I17" s="11"/>
      <c r="J17" s="12">
        <f t="shared" si="1"/>
        <v>0</v>
      </c>
      <c r="K17" s="13">
        <f t="shared" si="2"/>
        <v>0</v>
      </c>
    </row>
    <row r="18" spans="1:11" ht="30" customHeight="1" x14ac:dyDescent="0.3">
      <c r="A18" s="6">
        <v>12</v>
      </c>
      <c r="B18" s="7">
        <v>8809954940132</v>
      </c>
      <c r="C18" s="6" t="s">
        <v>34</v>
      </c>
      <c r="D18" s="8" t="s">
        <v>35</v>
      </c>
      <c r="E18" s="10">
        <v>25000</v>
      </c>
      <c r="F18" s="10">
        <v>9886.3636363636342</v>
      </c>
      <c r="G18" s="19">
        <f t="shared" si="0"/>
        <v>0.39545454545454539</v>
      </c>
      <c r="H18" s="9">
        <v>24</v>
      </c>
      <c r="I18" s="11"/>
      <c r="J18" s="12">
        <f t="shared" si="1"/>
        <v>0</v>
      </c>
      <c r="K18" s="13">
        <f t="shared" si="2"/>
        <v>0</v>
      </c>
    </row>
    <row r="19" spans="1:11" ht="30" customHeight="1" x14ac:dyDescent="0.3">
      <c r="A19" s="6">
        <v>13</v>
      </c>
      <c r="B19" s="7">
        <v>8809875907795</v>
      </c>
      <c r="C19" s="6" t="s">
        <v>36</v>
      </c>
      <c r="D19" s="8" t="s">
        <v>37</v>
      </c>
      <c r="E19" s="10">
        <v>28000</v>
      </c>
      <c r="F19" s="10">
        <v>12472.727272727272</v>
      </c>
      <c r="G19" s="19">
        <f t="shared" si="0"/>
        <v>0.44545454545454544</v>
      </c>
      <c r="H19" s="9">
        <v>60</v>
      </c>
      <c r="I19" s="11"/>
      <c r="J19" s="12">
        <f t="shared" si="1"/>
        <v>0</v>
      </c>
      <c r="K19" s="13">
        <f t="shared" si="2"/>
        <v>0</v>
      </c>
    </row>
    <row r="20" spans="1:11" ht="30" customHeight="1" x14ac:dyDescent="0.3">
      <c r="A20" s="6">
        <v>14</v>
      </c>
      <c r="B20" s="7">
        <v>8809971482318</v>
      </c>
      <c r="C20" s="6" t="s">
        <v>38</v>
      </c>
      <c r="D20" s="8" t="s">
        <v>39</v>
      </c>
      <c r="E20" s="10">
        <v>37000</v>
      </c>
      <c r="F20" s="10">
        <v>15304.545454545454</v>
      </c>
      <c r="G20" s="19">
        <f t="shared" si="0"/>
        <v>0.41363636363636364</v>
      </c>
      <c r="H20" s="9">
        <v>60</v>
      </c>
      <c r="I20" s="11"/>
      <c r="J20" s="12">
        <f t="shared" si="1"/>
        <v>0</v>
      </c>
      <c r="K20" s="13">
        <f t="shared" si="2"/>
        <v>0</v>
      </c>
    </row>
    <row r="21" spans="1:11" ht="30" customHeight="1" x14ac:dyDescent="0.3">
      <c r="A21" s="6">
        <v>15</v>
      </c>
      <c r="B21" s="7">
        <v>8809954940347</v>
      </c>
      <c r="C21" s="6" t="s">
        <v>40</v>
      </c>
      <c r="D21" s="8" t="s">
        <v>41</v>
      </c>
      <c r="E21" s="10">
        <v>30000</v>
      </c>
      <c r="F21" s="10">
        <v>11590.909090909092</v>
      </c>
      <c r="G21" s="19">
        <f t="shared" si="0"/>
        <v>0.38636363636363641</v>
      </c>
      <c r="H21" s="9">
        <v>24</v>
      </c>
      <c r="I21" s="11"/>
      <c r="J21" s="12">
        <f t="shared" si="1"/>
        <v>0</v>
      </c>
      <c r="K21" s="13">
        <f t="shared" si="2"/>
        <v>0</v>
      </c>
    </row>
    <row r="22" spans="1:11" ht="30" customHeight="1" x14ac:dyDescent="0.3">
      <c r="A22" s="6">
        <v>16</v>
      </c>
      <c r="B22" s="7">
        <v>8809606850666</v>
      </c>
      <c r="C22" s="6" t="s">
        <v>42</v>
      </c>
      <c r="D22" s="8" t="s">
        <v>43</v>
      </c>
      <c r="E22" s="10">
        <v>35000</v>
      </c>
      <c r="F22" s="10">
        <v>11931.81818181818</v>
      </c>
      <c r="G22" s="19">
        <f t="shared" si="0"/>
        <v>0.34090909090909088</v>
      </c>
      <c r="H22" s="9">
        <v>100</v>
      </c>
      <c r="I22" s="11"/>
      <c r="J22" s="12">
        <f t="shared" si="1"/>
        <v>0</v>
      </c>
      <c r="K22" s="13">
        <f t="shared" si="2"/>
        <v>0</v>
      </c>
    </row>
    <row r="23" spans="1:11" ht="30" customHeight="1" x14ac:dyDescent="0.3">
      <c r="A23" s="6">
        <v>17</v>
      </c>
      <c r="B23" s="7">
        <v>8809686386185</v>
      </c>
      <c r="C23" s="6" t="s">
        <v>44</v>
      </c>
      <c r="D23" s="8" t="s">
        <v>45</v>
      </c>
      <c r="E23" s="10">
        <v>31000</v>
      </c>
      <c r="F23" s="10">
        <v>11695.454545454546</v>
      </c>
      <c r="G23" s="19">
        <f t="shared" si="0"/>
        <v>0.37727272727272732</v>
      </c>
      <c r="H23" s="9">
        <v>90</v>
      </c>
      <c r="I23" s="11"/>
      <c r="J23" s="12">
        <f t="shared" si="1"/>
        <v>0</v>
      </c>
      <c r="K23" s="13">
        <f t="shared" si="2"/>
        <v>0</v>
      </c>
    </row>
    <row r="24" spans="1:11" ht="30" customHeight="1" x14ac:dyDescent="0.3">
      <c r="A24" s="6">
        <v>18</v>
      </c>
      <c r="B24" s="7">
        <v>8809954940477</v>
      </c>
      <c r="C24" s="6" t="s">
        <v>46</v>
      </c>
      <c r="D24" s="8" t="s">
        <v>47</v>
      </c>
      <c r="E24" s="10">
        <v>16000</v>
      </c>
      <c r="F24" s="10">
        <v>6981.8181818181811</v>
      </c>
      <c r="G24" s="19">
        <f t="shared" si="0"/>
        <v>0.43636363636363634</v>
      </c>
      <c r="H24" s="9">
        <v>48</v>
      </c>
      <c r="I24" s="11"/>
      <c r="J24" s="12">
        <f t="shared" si="1"/>
        <v>0</v>
      </c>
      <c r="K24" s="13">
        <f t="shared" si="2"/>
        <v>0</v>
      </c>
    </row>
    <row r="25" spans="1:11" ht="30" customHeight="1" x14ac:dyDescent="0.3">
      <c r="A25" s="6">
        <v>19</v>
      </c>
      <c r="B25" s="7" t="s">
        <v>126</v>
      </c>
      <c r="C25" s="6" t="s">
        <v>48</v>
      </c>
      <c r="D25" s="8" t="s">
        <v>49</v>
      </c>
      <c r="E25" s="10">
        <v>18000</v>
      </c>
      <c r="F25" s="10">
        <v>6709.090909090909</v>
      </c>
      <c r="G25" s="19">
        <f t="shared" si="0"/>
        <v>0.37272727272727274</v>
      </c>
      <c r="H25" s="9">
        <v>24</v>
      </c>
      <c r="I25" s="11"/>
      <c r="J25" s="12">
        <f t="shared" si="1"/>
        <v>0</v>
      </c>
      <c r="K25" s="13">
        <f t="shared" si="2"/>
        <v>0</v>
      </c>
    </row>
    <row r="26" spans="1:11" ht="30" customHeight="1" x14ac:dyDescent="0.3">
      <c r="A26" s="6">
        <v>20</v>
      </c>
      <c r="B26" s="7">
        <v>8809750465464</v>
      </c>
      <c r="C26" s="6" t="s">
        <v>50</v>
      </c>
      <c r="D26" s="8" t="s">
        <v>51</v>
      </c>
      <c r="E26" s="10">
        <v>25000</v>
      </c>
      <c r="F26" s="10">
        <v>8977.2727272727261</v>
      </c>
      <c r="G26" s="19">
        <f t="shared" si="0"/>
        <v>0.35909090909090907</v>
      </c>
      <c r="H26" s="9">
        <v>24</v>
      </c>
      <c r="I26" s="11"/>
      <c r="J26" s="12">
        <f t="shared" si="1"/>
        <v>0</v>
      </c>
      <c r="K26" s="13">
        <f t="shared" si="2"/>
        <v>0</v>
      </c>
    </row>
    <row r="27" spans="1:11" ht="30" customHeight="1" x14ac:dyDescent="0.3">
      <c r="A27" s="6">
        <v>21</v>
      </c>
      <c r="B27" s="7">
        <v>8809743544626</v>
      </c>
      <c r="C27" s="6" t="s">
        <v>52</v>
      </c>
      <c r="D27" s="8" t="s">
        <v>53</v>
      </c>
      <c r="E27" s="10">
        <v>26000</v>
      </c>
      <c r="F27" s="10">
        <v>10045.454545454546</v>
      </c>
      <c r="G27" s="19">
        <f t="shared" si="0"/>
        <v>0.38636363636363641</v>
      </c>
      <c r="H27" s="9">
        <v>36</v>
      </c>
      <c r="I27" s="11"/>
      <c r="J27" s="12">
        <f t="shared" si="1"/>
        <v>0</v>
      </c>
      <c r="K27" s="13">
        <f t="shared" si="2"/>
        <v>0</v>
      </c>
    </row>
    <row r="28" spans="1:11" ht="30" customHeight="1" x14ac:dyDescent="0.3">
      <c r="A28" s="6">
        <v>22</v>
      </c>
      <c r="B28" s="7">
        <v>8809782557861</v>
      </c>
      <c r="C28" s="6" t="s">
        <v>54</v>
      </c>
      <c r="D28" s="8" t="s">
        <v>55</v>
      </c>
      <c r="E28" s="10">
        <v>22000</v>
      </c>
      <c r="F28" s="10">
        <v>8200</v>
      </c>
      <c r="G28" s="19">
        <f t="shared" si="0"/>
        <v>0.37272727272727274</v>
      </c>
      <c r="H28" s="9">
        <v>100</v>
      </c>
      <c r="I28" s="11"/>
      <c r="J28" s="12">
        <f t="shared" si="1"/>
        <v>0</v>
      </c>
      <c r="K28" s="13">
        <f t="shared" si="2"/>
        <v>0</v>
      </c>
    </row>
    <row r="29" spans="1:11" ht="30" customHeight="1" x14ac:dyDescent="0.3">
      <c r="A29" s="6">
        <v>23</v>
      </c>
      <c r="B29" s="7">
        <v>8809463992615</v>
      </c>
      <c r="C29" s="6" t="s">
        <v>56</v>
      </c>
      <c r="D29" s="8" t="s">
        <v>57</v>
      </c>
      <c r="E29" s="10">
        <v>17000</v>
      </c>
      <c r="F29" s="10">
        <v>7418.181818181818</v>
      </c>
      <c r="G29" s="19">
        <f t="shared" si="0"/>
        <v>0.43636363636363634</v>
      </c>
      <c r="H29" s="9">
        <v>24</v>
      </c>
      <c r="I29" s="11"/>
      <c r="J29" s="12">
        <f t="shared" si="1"/>
        <v>0</v>
      </c>
      <c r="K29" s="13">
        <f t="shared" si="2"/>
        <v>0</v>
      </c>
    </row>
    <row r="30" spans="1:11" ht="30" customHeight="1" x14ac:dyDescent="0.3">
      <c r="A30" s="6">
        <v>24</v>
      </c>
      <c r="B30" s="7">
        <v>8809463992707</v>
      </c>
      <c r="C30" s="6" t="s">
        <v>58</v>
      </c>
      <c r="D30" s="8" t="s">
        <v>59</v>
      </c>
      <c r="E30" s="10">
        <v>15000</v>
      </c>
      <c r="F30" s="10">
        <v>6136.3636363636351</v>
      </c>
      <c r="G30" s="19">
        <f t="shared" si="0"/>
        <v>0.40909090909090901</v>
      </c>
      <c r="H30" s="9">
        <v>24</v>
      </c>
      <c r="I30" s="11"/>
      <c r="J30" s="12">
        <f t="shared" si="1"/>
        <v>0</v>
      </c>
      <c r="K30" s="13">
        <f t="shared" si="2"/>
        <v>0</v>
      </c>
    </row>
    <row r="31" spans="1:11" ht="30" customHeight="1" x14ac:dyDescent="0.3">
      <c r="A31" s="6">
        <v>25</v>
      </c>
      <c r="B31" s="7">
        <v>8809463993889</v>
      </c>
      <c r="C31" s="6" t="s">
        <v>60</v>
      </c>
      <c r="D31" s="8" t="s">
        <v>61</v>
      </c>
      <c r="E31" s="10">
        <v>20000</v>
      </c>
      <c r="F31" s="10">
        <v>6999.9999999999991</v>
      </c>
      <c r="G31" s="19">
        <f t="shared" si="0"/>
        <v>0.35</v>
      </c>
      <c r="H31" s="9">
        <v>16</v>
      </c>
      <c r="I31" s="11"/>
      <c r="J31" s="12">
        <f t="shared" si="1"/>
        <v>0</v>
      </c>
      <c r="K31" s="13">
        <f t="shared" si="2"/>
        <v>0</v>
      </c>
    </row>
    <row r="32" spans="1:11" ht="30" customHeight="1" x14ac:dyDescent="0.3">
      <c r="A32" s="6">
        <v>26</v>
      </c>
      <c r="B32" s="7">
        <v>8809783321225</v>
      </c>
      <c r="C32" s="6" t="s">
        <v>62</v>
      </c>
      <c r="D32" s="8" t="s">
        <v>63</v>
      </c>
      <c r="E32" s="10">
        <v>24000</v>
      </c>
      <c r="F32" s="10">
        <v>8509.0909090909081</v>
      </c>
      <c r="G32" s="19">
        <f t="shared" si="0"/>
        <v>0.3545454545454545</v>
      </c>
      <c r="H32" s="9">
        <v>24</v>
      </c>
      <c r="I32" s="11"/>
      <c r="J32" s="12">
        <f t="shared" si="1"/>
        <v>0</v>
      </c>
      <c r="K32" s="13">
        <f t="shared" si="2"/>
        <v>0</v>
      </c>
    </row>
    <row r="33" spans="1:11" ht="30" customHeight="1" x14ac:dyDescent="0.3">
      <c r="A33" s="6">
        <v>27</v>
      </c>
      <c r="B33" s="7" t="s">
        <v>127</v>
      </c>
      <c r="C33" s="6" t="s">
        <v>64</v>
      </c>
      <c r="D33" s="8" t="s">
        <v>65</v>
      </c>
      <c r="E33" s="10">
        <v>31000</v>
      </c>
      <c r="F33" s="10">
        <v>9581.8181818181802</v>
      </c>
      <c r="G33" s="19">
        <f t="shared" si="0"/>
        <v>0.30909090909090903</v>
      </c>
      <c r="H33" s="9">
        <v>32</v>
      </c>
      <c r="I33" s="11"/>
      <c r="J33" s="12">
        <f t="shared" si="1"/>
        <v>0</v>
      </c>
      <c r="K33" s="13">
        <f t="shared" si="2"/>
        <v>0</v>
      </c>
    </row>
    <row r="34" spans="1:11" ht="30" customHeight="1" x14ac:dyDescent="0.3">
      <c r="A34" s="6">
        <v>28</v>
      </c>
      <c r="B34" s="7">
        <v>8809626562921</v>
      </c>
      <c r="C34" s="6" t="s">
        <v>66</v>
      </c>
      <c r="D34" s="8" t="s">
        <v>67</v>
      </c>
      <c r="E34" s="10">
        <v>9000</v>
      </c>
      <c r="F34" s="10">
        <v>3763.636363636364</v>
      </c>
      <c r="G34" s="19">
        <f t="shared" si="0"/>
        <v>0.41818181818181821</v>
      </c>
      <c r="H34" s="9">
        <v>45</v>
      </c>
      <c r="I34" s="11"/>
      <c r="J34" s="12">
        <f t="shared" si="1"/>
        <v>0</v>
      </c>
      <c r="K34" s="13">
        <f t="shared" si="2"/>
        <v>0</v>
      </c>
    </row>
    <row r="35" spans="1:11" ht="30" customHeight="1" x14ac:dyDescent="0.3">
      <c r="A35" s="6">
        <v>29</v>
      </c>
      <c r="B35" s="7">
        <v>8809783324097</v>
      </c>
      <c r="C35" s="6" t="s">
        <v>68</v>
      </c>
      <c r="D35" s="8" t="s">
        <v>69</v>
      </c>
      <c r="E35" s="10">
        <v>14000</v>
      </c>
      <c r="F35" s="10">
        <v>8081.8181818181811</v>
      </c>
      <c r="G35" s="19">
        <f t="shared" si="0"/>
        <v>0.57727272727272727</v>
      </c>
      <c r="H35" s="9">
        <v>30</v>
      </c>
      <c r="I35" s="11"/>
      <c r="J35" s="12">
        <f t="shared" si="1"/>
        <v>0</v>
      </c>
      <c r="K35" s="13">
        <f t="shared" si="2"/>
        <v>0</v>
      </c>
    </row>
    <row r="36" spans="1:11" ht="30" customHeight="1" x14ac:dyDescent="0.3">
      <c r="A36" s="6">
        <v>30</v>
      </c>
      <c r="B36" s="7">
        <v>8809606850499</v>
      </c>
      <c r="C36" s="6" t="s">
        <v>70</v>
      </c>
      <c r="D36" s="8" t="s">
        <v>71</v>
      </c>
      <c r="E36" s="10">
        <v>20000</v>
      </c>
      <c r="F36" s="10">
        <v>8090.9090909090919</v>
      </c>
      <c r="G36" s="19">
        <f t="shared" si="0"/>
        <v>0.4045454545454546</v>
      </c>
      <c r="H36" s="9">
        <v>24</v>
      </c>
      <c r="I36" s="11"/>
      <c r="J36" s="12">
        <f t="shared" si="1"/>
        <v>0</v>
      </c>
      <c r="K36" s="13">
        <f t="shared" si="2"/>
        <v>0</v>
      </c>
    </row>
    <row r="37" spans="1:11" ht="30" customHeight="1" x14ac:dyDescent="0.3">
      <c r="A37" s="6">
        <v>31</v>
      </c>
      <c r="B37" s="7">
        <v>8809606850475</v>
      </c>
      <c r="C37" s="6" t="s">
        <v>72</v>
      </c>
      <c r="D37" s="8" t="s">
        <v>73</v>
      </c>
      <c r="E37" s="10">
        <v>22000</v>
      </c>
      <c r="F37" s="10">
        <v>8999.9999999999982</v>
      </c>
      <c r="G37" s="19">
        <f t="shared" si="0"/>
        <v>0.40909090909090901</v>
      </c>
      <c r="H37" s="9">
        <v>24</v>
      </c>
      <c r="I37" s="11"/>
      <c r="J37" s="12">
        <f t="shared" si="1"/>
        <v>0</v>
      </c>
      <c r="K37" s="13">
        <f t="shared" si="2"/>
        <v>0</v>
      </c>
    </row>
    <row r="38" spans="1:11" ht="30" customHeight="1" x14ac:dyDescent="0.3">
      <c r="A38" s="6">
        <v>32</v>
      </c>
      <c r="B38" s="7">
        <v>8809606850482</v>
      </c>
      <c r="C38" s="6" t="s">
        <v>74</v>
      </c>
      <c r="D38" s="8" t="s">
        <v>75</v>
      </c>
      <c r="E38" s="10">
        <v>32000</v>
      </c>
      <c r="F38" s="10">
        <v>10909.090909090908</v>
      </c>
      <c r="G38" s="19">
        <f t="shared" si="0"/>
        <v>0.34090909090909088</v>
      </c>
      <c r="H38" s="9">
        <v>56</v>
      </c>
      <c r="I38" s="11"/>
      <c r="J38" s="12">
        <f t="shared" si="1"/>
        <v>0</v>
      </c>
      <c r="K38" s="13">
        <f t="shared" si="2"/>
        <v>0</v>
      </c>
    </row>
    <row r="39" spans="1:11" ht="30" customHeight="1" x14ac:dyDescent="0.3">
      <c r="A39" s="6">
        <v>33</v>
      </c>
      <c r="B39" s="7">
        <v>8809606850505</v>
      </c>
      <c r="C39" s="6" t="s">
        <v>76</v>
      </c>
      <c r="D39" s="8" t="s">
        <v>77</v>
      </c>
      <c r="E39" s="10">
        <v>35000</v>
      </c>
      <c r="F39" s="10">
        <v>11931.81818181818</v>
      </c>
      <c r="G39" s="19">
        <f t="shared" si="0"/>
        <v>0.34090909090909088</v>
      </c>
      <c r="H39" s="9">
        <v>90</v>
      </c>
      <c r="I39" s="11"/>
      <c r="J39" s="12">
        <f t="shared" si="1"/>
        <v>0</v>
      </c>
      <c r="K39" s="13">
        <f t="shared" si="2"/>
        <v>0</v>
      </c>
    </row>
    <row r="40" spans="1:11" ht="30" customHeight="1" x14ac:dyDescent="0.3">
      <c r="A40" s="6">
        <v>34</v>
      </c>
      <c r="B40" s="7">
        <v>8809686388172</v>
      </c>
      <c r="C40" s="6" t="s">
        <v>78</v>
      </c>
      <c r="D40" s="8" t="s">
        <v>79</v>
      </c>
      <c r="E40" s="10">
        <v>16000</v>
      </c>
      <c r="F40" s="10">
        <v>8072.7272727272721</v>
      </c>
      <c r="G40" s="19">
        <f t="shared" si="0"/>
        <v>0.50454545454545452</v>
      </c>
      <c r="H40" s="9">
        <v>72</v>
      </c>
      <c r="I40" s="11"/>
      <c r="J40" s="12">
        <f t="shared" si="1"/>
        <v>0</v>
      </c>
      <c r="K40" s="13">
        <f t="shared" si="2"/>
        <v>0</v>
      </c>
    </row>
    <row r="41" spans="1:11" ht="30" customHeight="1" x14ac:dyDescent="0.3">
      <c r="A41" s="6">
        <v>35</v>
      </c>
      <c r="B41" s="7" t="s">
        <v>128</v>
      </c>
      <c r="C41" s="6" t="s">
        <v>80</v>
      </c>
      <c r="D41" s="8" t="s">
        <v>81</v>
      </c>
      <c r="E41" s="10">
        <v>32000</v>
      </c>
      <c r="F41" s="10">
        <v>11636.363636363636</v>
      </c>
      <c r="G41" s="19">
        <f t="shared" si="0"/>
        <v>0.36363636363636365</v>
      </c>
      <c r="H41" s="9">
        <v>12</v>
      </c>
      <c r="I41" s="11"/>
      <c r="J41" s="12">
        <f t="shared" si="1"/>
        <v>0</v>
      </c>
      <c r="K41" s="13">
        <f t="shared" si="2"/>
        <v>0</v>
      </c>
    </row>
    <row r="42" spans="1:11" ht="30" customHeight="1" x14ac:dyDescent="0.3">
      <c r="A42" s="6">
        <v>36</v>
      </c>
      <c r="B42" s="7" t="s">
        <v>129</v>
      </c>
      <c r="C42" s="6" t="s">
        <v>82</v>
      </c>
      <c r="D42" s="8" t="s">
        <v>83</v>
      </c>
      <c r="E42" s="10">
        <v>16000</v>
      </c>
      <c r="F42" s="10">
        <v>9309.0909090909081</v>
      </c>
      <c r="G42" s="19">
        <f t="shared" si="0"/>
        <v>0.58181818181818179</v>
      </c>
      <c r="H42" s="9">
        <v>16</v>
      </c>
      <c r="I42" s="11"/>
      <c r="J42" s="12">
        <f t="shared" si="1"/>
        <v>0</v>
      </c>
      <c r="K42" s="13">
        <f t="shared" si="2"/>
        <v>0</v>
      </c>
    </row>
    <row r="43" spans="1:11" ht="30" customHeight="1" x14ac:dyDescent="0.3">
      <c r="A43" s="6">
        <v>37</v>
      </c>
      <c r="B43" s="7">
        <v>8809700320805</v>
      </c>
      <c r="C43" s="6" t="s">
        <v>84</v>
      </c>
      <c r="D43" s="8" t="s">
        <v>85</v>
      </c>
      <c r="E43" s="10">
        <v>32000</v>
      </c>
      <c r="F43" s="10">
        <v>10036.363636363636</v>
      </c>
      <c r="G43" s="19">
        <f t="shared" si="0"/>
        <v>0.3136363636363636</v>
      </c>
      <c r="H43" s="9">
        <v>60</v>
      </c>
      <c r="I43" s="11"/>
      <c r="J43" s="12">
        <f t="shared" si="1"/>
        <v>0</v>
      </c>
      <c r="K43" s="13">
        <f t="shared" si="2"/>
        <v>0</v>
      </c>
    </row>
    <row r="44" spans="1:11" ht="30" customHeight="1" x14ac:dyDescent="0.3">
      <c r="A44" s="6">
        <v>38</v>
      </c>
      <c r="B44" s="7">
        <v>8809700320812</v>
      </c>
      <c r="C44" s="6" t="s">
        <v>86</v>
      </c>
      <c r="D44" s="8" t="s">
        <v>87</v>
      </c>
      <c r="E44" s="10">
        <v>30000</v>
      </c>
      <c r="F44" s="10">
        <v>9818.181818181818</v>
      </c>
      <c r="G44" s="19">
        <f t="shared" si="0"/>
        <v>0.32727272727272727</v>
      </c>
      <c r="H44" s="9">
        <v>120</v>
      </c>
      <c r="I44" s="11"/>
      <c r="J44" s="12">
        <f t="shared" si="1"/>
        <v>0</v>
      </c>
      <c r="K44" s="13">
        <f t="shared" si="2"/>
        <v>0</v>
      </c>
    </row>
    <row r="45" spans="1:11" ht="30" customHeight="1" x14ac:dyDescent="0.3">
      <c r="A45" s="6">
        <v>39</v>
      </c>
      <c r="B45" s="7">
        <v>8806050298525</v>
      </c>
      <c r="C45" s="6" t="s">
        <v>88</v>
      </c>
      <c r="D45" s="8" t="s">
        <v>89</v>
      </c>
      <c r="E45" s="10">
        <v>16000</v>
      </c>
      <c r="F45" s="10">
        <v>7199.9999999999991</v>
      </c>
      <c r="G45" s="19">
        <f t="shared" si="0"/>
        <v>0.44999999999999996</v>
      </c>
      <c r="H45" s="9">
        <v>35</v>
      </c>
      <c r="I45" s="11"/>
      <c r="J45" s="12">
        <f t="shared" si="1"/>
        <v>0</v>
      </c>
      <c r="K45" s="13">
        <f t="shared" si="2"/>
        <v>0</v>
      </c>
    </row>
    <row r="46" spans="1:11" ht="30" customHeight="1" x14ac:dyDescent="0.3">
      <c r="A46" s="6">
        <v>40</v>
      </c>
      <c r="B46" s="7">
        <v>8809975194439</v>
      </c>
      <c r="C46" s="6" t="s">
        <v>90</v>
      </c>
      <c r="D46" s="8" t="s">
        <v>91</v>
      </c>
      <c r="E46" s="10">
        <v>10000</v>
      </c>
      <c r="F46" s="10">
        <v>5454.545454545455</v>
      </c>
      <c r="G46" s="19">
        <f t="shared" si="0"/>
        <v>0.54545454545454553</v>
      </c>
      <c r="H46" s="9">
        <v>40</v>
      </c>
      <c r="I46" s="11"/>
      <c r="J46" s="12">
        <f t="shared" si="1"/>
        <v>0</v>
      </c>
      <c r="K46" s="13">
        <f t="shared" si="2"/>
        <v>0</v>
      </c>
    </row>
    <row r="47" spans="1:11" ht="30" customHeight="1" x14ac:dyDescent="0.3">
      <c r="A47" s="6">
        <v>41</v>
      </c>
      <c r="B47" s="7">
        <v>8809626564000</v>
      </c>
      <c r="C47" s="6" t="s">
        <v>92</v>
      </c>
      <c r="D47" s="8" t="s">
        <v>93</v>
      </c>
      <c r="E47" s="10">
        <v>17000</v>
      </c>
      <c r="F47" s="10">
        <v>6877.2727272727261</v>
      </c>
      <c r="G47" s="19">
        <f t="shared" si="0"/>
        <v>0.40454545454545449</v>
      </c>
      <c r="H47" s="9">
        <v>117</v>
      </c>
      <c r="I47" s="11"/>
      <c r="J47" s="12">
        <f t="shared" si="1"/>
        <v>0</v>
      </c>
      <c r="K47" s="13">
        <f t="shared" si="2"/>
        <v>0</v>
      </c>
    </row>
    <row r="48" spans="1:11" ht="30" customHeight="1" x14ac:dyDescent="0.3">
      <c r="A48" s="6">
        <v>42</v>
      </c>
      <c r="B48" s="7">
        <v>8809782559018</v>
      </c>
      <c r="C48" s="6" t="s">
        <v>94</v>
      </c>
      <c r="D48" s="8" t="s">
        <v>95</v>
      </c>
      <c r="E48" s="10">
        <v>31000</v>
      </c>
      <c r="F48" s="10">
        <v>10850</v>
      </c>
      <c r="G48" s="19">
        <f t="shared" si="0"/>
        <v>0.35</v>
      </c>
      <c r="H48" s="9">
        <v>60</v>
      </c>
      <c r="I48" s="11"/>
      <c r="J48" s="12">
        <f t="shared" si="1"/>
        <v>0</v>
      </c>
      <c r="K48" s="13">
        <f t="shared" si="2"/>
        <v>0</v>
      </c>
    </row>
    <row r="49" spans="1:11" ht="30" customHeight="1" x14ac:dyDescent="0.3">
      <c r="A49" s="6"/>
      <c r="B49" s="7">
        <v>8809782559063</v>
      </c>
      <c r="C49" s="6" t="s">
        <v>96</v>
      </c>
      <c r="D49" s="8" t="s">
        <v>97</v>
      </c>
      <c r="E49" s="10">
        <v>22000</v>
      </c>
      <c r="F49" s="10">
        <v>8999.9999999999982</v>
      </c>
      <c r="G49" s="19">
        <f t="shared" si="0"/>
        <v>0.40909090909090901</v>
      </c>
      <c r="H49" s="9">
        <v>72</v>
      </c>
      <c r="I49" s="11"/>
      <c r="J49" s="12">
        <f t="shared" ref="J49:J60" si="3">I49*H49</f>
        <v>0</v>
      </c>
      <c r="K49" s="13">
        <f t="shared" si="2"/>
        <v>0</v>
      </c>
    </row>
    <row r="50" spans="1:11" ht="30" customHeight="1" x14ac:dyDescent="0.3">
      <c r="A50" s="6"/>
      <c r="B50" s="7">
        <v>8809743546880</v>
      </c>
      <c r="C50" s="6" t="s">
        <v>98</v>
      </c>
      <c r="D50" s="8" t="s">
        <v>99</v>
      </c>
      <c r="E50" s="10">
        <v>31000</v>
      </c>
      <c r="F50" s="10">
        <v>10004.545454545454</v>
      </c>
      <c r="G50" s="19">
        <f t="shared" si="0"/>
        <v>0.3227272727272727</v>
      </c>
      <c r="H50" s="9">
        <v>60</v>
      </c>
      <c r="I50" s="11"/>
      <c r="J50" s="12">
        <f t="shared" si="3"/>
        <v>0</v>
      </c>
      <c r="K50" s="13">
        <f t="shared" si="2"/>
        <v>0</v>
      </c>
    </row>
    <row r="51" spans="1:11" ht="30" customHeight="1" x14ac:dyDescent="0.3">
      <c r="A51" s="6"/>
      <c r="B51" s="7">
        <v>8809971489911</v>
      </c>
      <c r="C51" s="6" t="s">
        <v>100</v>
      </c>
      <c r="D51" s="8" t="s">
        <v>101</v>
      </c>
      <c r="E51" s="10">
        <v>24000</v>
      </c>
      <c r="F51" s="10">
        <v>8836.363636363636</v>
      </c>
      <c r="G51" s="19">
        <f t="shared" si="0"/>
        <v>0.36818181818181817</v>
      </c>
      <c r="H51" s="9">
        <v>120</v>
      </c>
      <c r="I51" s="11"/>
      <c r="J51" s="12">
        <f t="shared" si="3"/>
        <v>0</v>
      </c>
      <c r="K51" s="13">
        <f t="shared" si="2"/>
        <v>0</v>
      </c>
    </row>
    <row r="52" spans="1:11" ht="30" customHeight="1" x14ac:dyDescent="0.3">
      <c r="A52" s="6"/>
      <c r="B52" s="7">
        <v>8809875906811</v>
      </c>
      <c r="C52" s="6" t="s">
        <v>102</v>
      </c>
      <c r="D52" s="8" t="s">
        <v>103</v>
      </c>
      <c r="E52" s="10">
        <v>20000</v>
      </c>
      <c r="F52" s="10">
        <v>7363.636363636364</v>
      </c>
      <c r="G52" s="19">
        <f t="shared" si="0"/>
        <v>0.36818181818181822</v>
      </c>
      <c r="H52" s="9">
        <v>84</v>
      </c>
      <c r="I52" s="11"/>
      <c r="J52" s="12">
        <f t="shared" si="3"/>
        <v>0</v>
      </c>
      <c r="K52" s="13">
        <f t="shared" si="2"/>
        <v>0</v>
      </c>
    </row>
    <row r="53" spans="1:11" ht="30" customHeight="1" x14ac:dyDescent="0.3">
      <c r="A53" s="6"/>
      <c r="B53" s="7">
        <v>8809875907412</v>
      </c>
      <c r="C53" s="6" t="s">
        <v>104</v>
      </c>
      <c r="D53" s="8" t="s">
        <v>105</v>
      </c>
      <c r="E53" s="10">
        <v>32000</v>
      </c>
      <c r="F53" s="10">
        <v>12654.545454545456</v>
      </c>
      <c r="G53" s="19">
        <f t="shared" si="0"/>
        <v>0.3954545454545455</v>
      </c>
      <c r="H53" s="9">
        <v>48</v>
      </c>
      <c r="I53" s="11"/>
      <c r="J53" s="12">
        <f t="shared" si="3"/>
        <v>0</v>
      </c>
      <c r="K53" s="13">
        <f t="shared" si="2"/>
        <v>0</v>
      </c>
    </row>
    <row r="54" spans="1:11" ht="30" customHeight="1" x14ac:dyDescent="0.3">
      <c r="A54" s="6"/>
      <c r="B54" s="7">
        <v>8809743546323</v>
      </c>
      <c r="C54" s="6" t="s">
        <v>106</v>
      </c>
      <c r="D54" s="8" t="s">
        <v>107</v>
      </c>
      <c r="E54" s="10">
        <v>20000</v>
      </c>
      <c r="F54" s="10">
        <v>8272.7272727272721</v>
      </c>
      <c r="G54" s="19">
        <f t="shared" si="0"/>
        <v>0.41363636363636358</v>
      </c>
      <c r="H54" s="9">
        <v>30</v>
      </c>
      <c r="I54" s="11"/>
      <c r="J54" s="12">
        <f t="shared" si="3"/>
        <v>0</v>
      </c>
      <c r="K54" s="13">
        <f t="shared" si="2"/>
        <v>0</v>
      </c>
    </row>
    <row r="55" spans="1:11" ht="30" customHeight="1" x14ac:dyDescent="0.3">
      <c r="A55" s="6"/>
      <c r="B55" s="7">
        <v>8809743547467</v>
      </c>
      <c r="C55" s="6" t="s">
        <v>108</v>
      </c>
      <c r="D55" s="8" t="s">
        <v>109</v>
      </c>
      <c r="E55" s="10">
        <v>40000</v>
      </c>
      <c r="F55" s="10">
        <v>12545.454545454542</v>
      </c>
      <c r="G55" s="19">
        <f t="shared" si="0"/>
        <v>0.31363636363636355</v>
      </c>
      <c r="H55" s="9">
        <v>24</v>
      </c>
      <c r="I55" s="11"/>
      <c r="J55" s="12">
        <f t="shared" si="3"/>
        <v>0</v>
      </c>
      <c r="K55" s="13">
        <f t="shared" si="2"/>
        <v>0</v>
      </c>
    </row>
    <row r="56" spans="1:11" ht="30" customHeight="1" x14ac:dyDescent="0.3">
      <c r="A56" s="6"/>
      <c r="B56" s="7">
        <v>8809971484503</v>
      </c>
      <c r="C56" s="6" t="s">
        <v>110</v>
      </c>
      <c r="D56" s="8" t="s">
        <v>111</v>
      </c>
      <c r="E56" s="10">
        <v>35000</v>
      </c>
      <c r="F56" s="10">
        <v>10022.72727272727</v>
      </c>
      <c r="G56" s="19">
        <f t="shared" si="0"/>
        <v>0.28636363636363632</v>
      </c>
      <c r="H56" s="9">
        <v>120</v>
      </c>
      <c r="I56" s="11"/>
      <c r="J56" s="12">
        <f t="shared" si="3"/>
        <v>0</v>
      </c>
      <c r="K56" s="13">
        <f t="shared" si="2"/>
        <v>0</v>
      </c>
    </row>
    <row r="57" spans="1:11" ht="30" customHeight="1" x14ac:dyDescent="0.3">
      <c r="A57" s="6"/>
      <c r="B57" s="7">
        <v>8809971484510</v>
      </c>
      <c r="C57" s="6" t="s">
        <v>112</v>
      </c>
      <c r="D57" s="8" t="s">
        <v>113</v>
      </c>
      <c r="E57" s="10">
        <v>24000</v>
      </c>
      <c r="F57" s="10">
        <v>9381.8181818181802</v>
      </c>
      <c r="G57" s="19">
        <f t="shared" si="0"/>
        <v>0.39090909090909082</v>
      </c>
      <c r="H57" s="9">
        <v>120</v>
      </c>
      <c r="I57" s="11"/>
      <c r="J57" s="12">
        <f t="shared" si="3"/>
        <v>0</v>
      </c>
      <c r="K57" s="13">
        <f t="shared" si="2"/>
        <v>0</v>
      </c>
    </row>
    <row r="58" spans="1:11" ht="30" customHeight="1" x14ac:dyDescent="0.3">
      <c r="A58" s="6"/>
      <c r="B58" s="7">
        <v>8809971482349</v>
      </c>
      <c r="C58" s="6" t="s">
        <v>114</v>
      </c>
      <c r="D58" s="8" t="s">
        <v>115</v>
      </c>
      <c r="E58" s="10">
        <v>0</v>
      </c>
      <c r="F58" s="10">
        <v>8275.7818181818184</v>
      </c>
      <c r="G58" s="19" t="e">
        <f t="shared" si="0"/>
        <v>#DIV/0!</v>
      </c>
      <c r="H58" s="9">
        <v>40</v>
      </c>
      <c r="I58" s="11"/>
      <c r="J58" s="12">
        <f t="shared" si="3"/>
        <v>0</v>
      </c>
      <c r="K58" s="13">
        <f t="shared" si="2"/>
        <v>0</v>
      </c>
    </row>
    <row r="59" spans="1:11" ht="30" customHeight="1" x14ac:dyDescent="0.3">
      <c r="A59" s="6"/>
      <c r="B59" s="7">
        <v>8809606852332</v>
      </c>
      <c r="C59" s="6" t="s">
        <v>116</v>
      </c>
      <c r="D59" s="8" t="s">
        <v>117</v>
      </c>
      <c r="E59" s="10">
        <v>0</v>
      </c>
      <c r="F59" s="10">
        <v>5863.7090909090912</v>
      </c>
      <c r="G59" s="19" t="e">
        <f t="shared" si="0"/>
        <v>#DIV/0!</v>
      </c>
      <c r="H59" s="9">
        <v>64</v>
      </c>
      <c r="I59" s="11"/>
      <c r="J59" s="12">
        <f t="shared" si="3"/>
        <v>0</v>
      </c>
      <c r="K59" s="13">
        <f t="shared" si="2"/>
        <v>0</v>
      </c>
    </row>
    <row r="60" spans="1:11" ht="30" customHeight="1" x14ac:dyDescent="0.3">
      <c r="A60" s="6"/>
      <c r="B60" s="7">
        <v>8800296551789</v>
      </c>
      <c r="C60" s="6" t="s">
        <v>118</v>
      </c>
      <c r="D60" s="8" t="s">
        <v>119</v>
      </c>
      <c r="E60" s="10">
        <v>0</v>
      </c>
      <c r="F60" s="10">
        <v>6711.8545454545456</v>
      </c>
      <c r="G60" s="19" t="e">
        <f t="shared" si="0"/>
        <v>#DIV/0!</v>
      </c>
      <c r="H60" s="9">
        <v>64</v>
      </c>
      <c r="I60" s="11"/>
      <c r="J60" s="12">
        <f t="shared" si="3"/>
        <v>0</v>
      </c>
      <c r="K60" s="13">
        <f t="shared" si="2"/>
        <v>0</v>
      </c>
    </row>
    <row r="61" spans="1:11" ht="30" customHeight="1" x14ac:dyDescent="0.3"/>
    <row r="62" spans="1:11" ht="30" customHeight="1" x14ac:dyDescent="0.3"/>
    <row r="63" spans="1:11" ht="30" customHeight="1" x14ac:dyDescent="0.3"/>
    <row r="64" spans="1:11" ht="30" customHeight="1" x14ac:dyDescent="0.3"/>
    <row r="65" ht="30" customHeight="1" x14ac:dyDescent="0.3"/>
    <row r="66" ht="30" customHeight="1" x14ac:dyDescent="0.3"/>
    <row r="67" ht="30" customHeight="1" x14ac:dyDescent="0.3"/>
    <row r="68" ht="30" customHeight="1" x14ac:dyDescent="0.3"/>
    <row r="69" ht="30" customHeight="1" x14ac:dyDescent="0.3"/>
    <row r="70" ht="30" customHeight="1" x14ac:dyDescent="0.3"/>
    <row r="71" ht="30" customHeight="1" x14ac:dyDescent="0.3"/>
    <row r="72" ht="30" customHeight="1" x14ac:dyDescent="0.3"/>
    <row r="73" ht="30" customHeight="1" x14ac:dyDescent="0.3"/>
    <row r="74" ht="30" customHeight="1" x14ac:dyDescent="0.3"/>
    <row r="75" ht="30" customHeight="1" x14ac:dyDescent="0.3"/>
    <row r="76" ht="30" customHeight="1" x14ac:dyDescent="0.3"/>
    <row r="77" ht="30" customHeight="1" x14ac:dyDescent="0.3"/>
    <row r="78" ht="30" customHeight="1" x14ac:dyDescent="0.3"/>
    <row r="79" ht="30" customHeight="1" x14ac:dyDescent="0.3"/>
    <row r="80" ht="30" customHeight="1" x14ac:dyDescent="0.3"/>
    <row r="81" ht="30" customHeight="1" x14ac:dyDescent="0.3"/>
    <row r="82" ht="30" customHeight="1" x14ac:dyDescent="0.3"/>
    <row r="83" ht="30" customHeight="1" x14ac:dyDescent="0.3"/>
    <row r="84" ht="30" customHeight="1" x14ac:dyDescent="0.3"/>
    <row r="85" ht="30" customHeight="1" x14ac:dyDescent="0.3"/>
    <row r="86" ht="30" customHeight="1" x14ac:dyDescent="0.3"/>
    <row r="87" ht="30" customHeight="1" x14ac:dyDescent="0.3"/>
    <row r="88" ht="30" customHeight="1" x14ac:dyDescent="0.3"/>
    <row r="89" ht="30" customHeight="1" x14ac:dyDescent="0.3"/>
    <row r="90" ht="30" customHeight="1" x14ac:dyDescent="0.3"/>
    <row r="91" ht="30" customHeight="1" x14ac:dyDescent="0.3"/>
    <row r="92" ht="30" customHeight="1" x14ac:dyDescent="0.3"/>
    <row r="93" ht="30" customHeight="1" x14ac:dyDescent="0.3"/>
    <row r="94" ht="30" customHeight="1" x14ac:dyDescent="0.3"/>
    <row r="95" ht="30" customHeight="1" x14ac:dyDescent="0.3"/>
    <row r="96" ht="30" customHeight="1" x14ac:dyDescent="0.3"/>
    <row r="97" ht="30" customHeight="1" x14ac:dyDescent="0.3"/>
    <row r="98" ht="30" customHeight="1" x14ac:dyDescent="0.3"/>
    <row r="99" ht="30" customHeight="1" x14ac:dyDescent="0.3"/>
    <row r="100" ht="30" customHeight="1" x14ac:dyDescent="0.3"/>
    <row r="101" ht="30" customHeight="1" x14ac:dyDescent="0.3"/>
    <row r="102" ht="30" customHeight="1" x14ac:dyDescent="0.3"/>
    <row r="103" ht="30" customHeight="1" x14ac:dyDescent="0.3"/>
    <row r="104" ht="30" customHeight="1" x14ac:dyDescent="0.3"/>
    <row r="105" ht="30" customHeight="1" x14ac:dyDescent="0.3"/>
    <row r="106" ht="30" customHeight="1" x14ac:dyDescent="0.3"/>
    <row r="107" ht="30" customHeight="1" x14ac:dyDescent="0.3"/>
    <row r="108" ht="30" customHeight="1" x14ac:dyDescent="0.3"/>
    <row r="109" ht="30" customHeight="1" x14ac:dyDescent="0.3"/>
    <row r="110" ht="30" customHeight="1" x14ac:dyDescent="0.3"/>
    <row r="111" ht="30" customHeight="1" x14ac:dyDescent="0.3"/>
    <row r="112" ht="30" customHeight="1" x14ac:dyDescent="0.3"/>
    <row r="113" ht="30" customHeight="1" x14ac:dyDescent="0.3"/>
    <row r="114" ht="30" customHeight="1" x14ac:dyDescent="0.3"/>
    <row r="115" ht="30" customHeight="1" x14ac:dyDescent="0.3"/>
    <row r="116" ht="30" customHeight="1" x14ac:dyDescent="0.3"/>
    <row r="117" ht="30" customHeight="1" x14ac:dyDescent="0.3"/>
    <row r="118" ht="30" customHeight="1" x14ac:dyDescent="0.3"/>
    <row r="119" ht="30" customHeight="1" x14ac:dyDescent="0.3"/>
    <row r="120" ht="30" customHeight="1" x14ac:dyDescent="0.3"/>
    <row r="121" ht="30" customHeight="1" x14ac:dyDescent="0.3"/>
    <row r="122" ht="30" customHeight="1" x14ac:dyDescent="0.3"/>
    <row r="123" ht="30" customHeight="1" x14ac:dyDescent="0.3"/>
    <row r="124" ht="30" customHeight="1" x14ac:dyDescent="0.3"/>
    <row r="125" ht="30" customHeight="1" x14ac:dyDescent="0.3"/>
    <row r="126" ht="30" customHeight="1" x14ac:dyDescent="0.3"/>
    <row r="127" ht="30" customHeight="1" x14ac:dyDescent="0.3"/>
    <row r="128" ht="30" customHeight="1" x14ac:dyDescent="0.3"/>
    <row r="129" ht="30" customHeight="1" x14ac:dyDescent="0.3"/>
    <row r="130" ht="30" customHeight="1" x14ac:dyDescent="0.3"/>
    <row r="131" ht="30" customHeight="1" x14ac:dyDescent="0.3"/>
    <row r="132" ht="30" customHeight="1" x14ac:dyDescent="0.3"/>
    <row r="133" ht="30" customHeight="1" x14ac:dyDescent="0.3"/>
    <row r="134" ht="30" customHeight="1" x14ac:dyDescent="0.3"/>
    <row r="135" ht="30" customHeight="1" x14ac:dyDescent="0.3"/>
    <row r="136" ht="30" customHeight="1" x14ac:dyDescent="0.3"/>
    <row r="137" ht="30" customHeight="1" x14ac:dyDescent="0.3"/>
    <row r="138" ht="30" customHeight="1" x14ac:dyDescent="0.3"/>
    <row r="139" ht="30" customHeight="1" x14ac:dyDescent="0.3"/>
    <row r="140" ht="30" customHeight="1" x14ac:dyDescent="0.3"/>
    <row r="141" ht="30" customHeight="1" x14ac:dyDescent="0.3"/>
    <row r="142" ht="30" customHeight="1" x14ac:dyDescent="0.3"/>
    <row r="143" ht="30" customHeight="1" x14ac:dyDescent="0.3"/>
    <row r="144" ht="30" customHeight="1" x14ac:dyDescent="0.3"/>
    <row r="145" ht="30" customHeight="1" x14ac:dyDescent="0.3"/>
    <row r="146" ht="30" customHeight="1" x14ac:dyDescent="0.3"/>
    <row r="147" ht="30" customHeight="1" x14ac:dyDescent="0.3"/>
    <row r="148" ht="30" customHeight="1" x14ac:dyDescent="0.3"/>
    <row r="149" ht="30" customHeight="1" x14ac:dyDescent="0.3"/>
    <row r="150" ht="30" customHeight="1" x14ac:dyDescent="0.3"/>
    <row r="151" ht="30" customHeight="1" x14ac:dyDescent="0.3"/>
    <row r="152" ht="30" customHeight="1" x14ac:dyDescent="0.3"/>
    <row r="153" ht="30" customHeight="1" x14ac:dyDescent="0.3"/>
    <row r="154" ht="30" customHeight="1" x14ac:dyDescent="0.3"/>
    <row r="155" ht="30" customHeight="1" x14ac:dyDescent="0.3"/>
    <row r="156" ht="30" customHeight="1" x14ac:dyDescent="0.3"/>
    <row r="157" ht="30" customHeight="1" x14ac:dyDescent="0.3"/>
    <row r="158" ht="30" customHeight="1" x14ac:dyDescent="0.3"/>
    <row r="159" ht="30" customHeight="1" x14ac:dyDescent="0.3"/>
    <row r="160" ht="30" customHeight="1" x14ac:dyDescent="0.3"/>
    <row r="161" ht="30" customHeight="1" x14ac:dyDescent="0.3"/>
    <row r="162" ht="30" customHeight="1" x14ac:dyDescent="0.3"/>
    <row r="163" ht="30" customHeight="1" x14ac:dyDescent="0.3"/>
    <row r="164" ht="30" customHeight="1" x14ac:dyDescent="0.3"/>
    <row r="165" ht="30" customHeight="1" x14ac:dyDescent="0.3"/>
    <row r="166" ht="30" customHeight="1" x14ac:dyDescent="0.3"/>
    <row r="167" ht="30" customHeight="1" x14ac:dyDescent="0.3"/>
    <row r="168" ht="30" customHeight="1" x14ac:dyDescent="0.3"/>
    <row r="169" ht="30" customHeight="1" x14ac:dyDescent="0.3"/>
    <row r="170" ht="30" customHeight="1" x14ac:dyDescent="0.3"/>
    <row r="171" ht="30" customHeight="1" x14ac:dyDescent="0.3"/>
    <row r="172" ht="30" customHeight="1" x14ac:dyDescent="0.3"/>
    <row r="173" ht="30" customHeight="1" x14ac:dyDescent="0.3"/>
    <row r="174" ht="30" customHeight="1" x14ac:dyDescent="0.3"/>
    <row r="175" ht="30" customHeight="1" x14ac:dyDescent="0.3"/>
    <row r="176" ht="30" customHeight="1" x14ac:dyDescent="0.3"/>
    <row r="177" ht="30" customHeight="1" x14ac:dyDescent="0.3"/>
    <row r="178" ht="30" customHeight="1" x14ac:dyDescent="0.3"/>
    <row r="179" ht="30" customHeight="1" x14ac:dyDescent="0.3"/>
    <row r="180" ht="30" customHeight="1" x14ac:dyDescent="0.3"/>
    <row r="181" ht="30" customHeight="1" x14ac:dyDescent="0.3"/>
    <row r="182" ht="30" customHeight="1" x14ac:dyDescent="0.3"/>
    <row r="183" ht="30" customHeight="1" x14ac:dyDescent="0.3"/>
    <row r="184" ht="30" customHeight="1" x14ac:dyDescent="0.3"/>
    <row r="185" ht="30" customHeight="1" x14ac:dyDescent="0.3"/>
    <row r="186" ht="30" customHeight="1" x14ac:dyDescent="0.3"/>
    <row r="187" ht="30" customHeight="1" x14ac:dyDescent="0.3"/>
    <row r="188" ht="30" customHeight="1" x14ac:dyDescent="0.3"/>
    <row r="189" ht="30" customHeight="1" x14ac:dyDescent="0.3"/>
    <row r="190" ht="30" customHeight="1" x14ac:dyDescent="0.3"/>
    <row r="191" ht="30" customHeight="1" x14ac:dyDescent="0.3"/>
    <row r="192" ht="30" customHeight="1" x14ac:dyDescent="0.3"/>
    <row r="193" ht="30" customHeight="1" x14ac:dyDescent="0.3"/>
    <row r="194" ht="30" customHeight="1" x14ac:dyDescent="0.3"/>
    <row r="195" ht="30" customHeight="1" x14ac:dyDescent="0.3"/>
    <row r="196" ht="30" customHeight="1" x14ac:dyDescent="0.3"/>
    <row r="197" ht="30" customHeight="1" x14ac:dyDescent="0.3"/>
    <row r="198" ht="30" customHeight="1" x14ac:dyDescent="0.3"/>
    <row r="199" ht="30" customHeight="1" x14ac:dyDescent="0.3"/>
    <row r="200" ht="30" customHeight="1" x14ac:dyDescent="0.3"/>
    <row r="201" ht="30" customHeight="1" x14ac:dyDescent="0.3"/>
    <row r="202" ht="30" customHeight="1" x14ac:dyDescent="0.3"/>
    <row r="203" ht="30" customHeight="1" x14ac:dyDescent="0.3"/>
    <row r="204" ht="30" customHeight="1" x14ac:dyDescent="0.3"/>
    <row r="205" ht="30" customHeight="1" x14ac:dyDescent="0.3"/>
    <row r="206" ht="30" customHeight="1" x14ac:dyDescent="0.3"/>
    <row r="207" ht="30" customHeight="1" x14ac:dyDescent="0.3"/>
    <row r="208" ht="30" customHeight="1" x14ac:dyDescent="0.3"/>
    <row r="209" ht="30" customHeight="1" x14ac:dyDescent="0.3"/>
    <row r="210" ht="30" customHeight="1" x14ac:dyDescent="0.3"/>
    <row r="211" ht="30" customHeight="1" x14ac:dyDescent="0.3"/>
    <row r="212" ht="30" customHeight="1" x14ac:dyDescent="0.3"/>
    <row r="213" ht="30" customHeight="1" x14ac:dyDescent="0.3"/>
    <row r="214" ht="30" customHeight="1" x14ac:dyDescent="0.3"/>
    <row r="215" ht="30" customHeight="1" x14ac:dyDescent="0.3"/>
    <row r="216" ht="30" customHeight="1" x14ac:dyDescent="0.3"/>
    <row r="217" ht="30" customHeight="1" x14ac:dyDescent="0.3"/>
    <row r="218" ht="30" customHeight="1" x14ac:dyDescent="0.3"/>
    <row r="219" ht="30" customHeight="1" x14ac:dyDescent="0.3"/>
    <row r="220" ht="30" customHeight="1" x14ac:dyDescent="0.3"/>
    <row r="221" ht="30" customHeight="1" x14ac:dyDescent="0.3"/>
    <row r="222" ht="30" customHeight="1" x14ac:dyDescent="0.3"/>
    <row r="223" ht="30" customHeight="1" x14ac:dyDescent="0.3"/>
    <row r="224" ht="30" customHeight="1" x14ac:dyDescent="0.3"/>
    <row r="225" ht="30" customHeight="1" x14ac:dyDescent="0.3"/>
    <row r="226" ht="30" customHeight="1" x14ac:dyDescent="0.3"/>
    <row r="227" ht="30" customHeight="1" x14ac:dyDescent="0.3"/>
    <row r="228" ht="30" customHeight="1" x14ac:dyDescent="0.3"/>
    <row r="229" ht="30" customHeight="1" x14ac:dyDescent="0.3"/>
    <row r="230" ht="30" customHeight="1" x14ac:dyDescent="0.3"/>
    <row r="231" ht="30" customHeight="1" x14ac:dyDescent="0.3"/>
    <row r="232" ht="30" customHeight="1" x14ac:dyDescent="0.3"/>
    <row r="233" ht="30" customHeight="1" x14ac:dyDescent="0.3"/>
    <row r="234" ht="30" customHeight="1" x14ac:dyDescent="0.3"/>
    <row r="235" ht="30" customHeight="1" x14ac:dyDescent="0.3"/>
    <row r="236" ht="30" customHeight="1" x14ac:dyDescent="0.3"/>
    <row r="237" ht="30" customHeight="1" x14ac:dyDescent="0.3"/>
    <row r="238" ht="30" customHeight="1" x14ac:dyDescent="0.3"/>
    <row r="239" ht="30" customHeight="1" x14ac:dyDescent="0.3"/>
    <row r="240" ht="30" customHeight="1" x14ac:dyDescent="0.3"/>
    <row r="241" ht="30" customHeight="1" x14ac:dyDescent="0.3"/>
    <row r="242" ht="30" customHeight="1" x14ac:dyDescent="0.3"/>
    <row r="243" ht="30" customHeight="1" x14ac:dyDescent="0.3"/>
    <row r="244" ht="30" customHeight="1" x14ac:dyDescent="0.3"/>
    <row r="245" ht="30" customHeight="1" x14ac:dyDescent="0.3"/>
    <row r="246" ht="30" customHeight="1" x14ac:dyDescent="0.3"/>
    <row r="247" ht="30" customHeight="1" x14ac:dyDescent="0.3"/>
    <row r="248" ht="30" customHeight="1" x14ac:dyDescent="0.3"/>
    <row r="249" ht="30" customHeight="1" x14ac:dyDescent="0.3"/>
    <row r="250" ht="30" customHeight="1" x14ac:dyDescent="0.3"/>
    <row r="251" ht="30" customHeight="1" x14ac:dyDescent="0.3"/>
    <row r="252" ht="30" customHeight="1" x14ac:dyDescent="0.3"/>
    <row r="253" ht="30" customHeight="1" x14ac:dyDescent="0.3"/>
    <row r="254" ht="30" customHeight="1" x14ac:dyDescent="0.3"/>
    <row r="255" ht="30" customHeight="1" x14ac:dyDescent="0.3"/>
    <row r="256" ht="30" customHeight="1" x14ac:dyDescent="0.3"/>
    <row r="257" ht="30" customHeight="1" x14ac:dyDescent="0.3"/>
    <row r="258" ht="30" customHeight="1" x14ac:dyDescent="0.3"/>
    <row r="259" ht="30" customHeight="1" x14ac:dyDescent="0.3"/>
    <row r="260" ht="30" customHeight="1" x14ac:dyDescent="0.3"/>
    <row r="261" ht="30" customHeight="1" x14ac:dyDescent="0.3"/>
    <row r="262" ht="30" customHeight="1" x14ac:dyDescent="0.3"/>
    <row r="263" ht="30" customHeight="1" x14ac:dyDescent="0.3"/>
    <row r="264" ht="30" customHeight="1" x14ac:dyDescent="0.3"/>
    <row r="265" ht="30" customHeight="1" x14ac:dyDescent="0.3"/>
    <row r="266" ht="30" customHeight="1" x14ac:dyDescent="0.3"/>
    <row r="267" ht="30" customHeight="1" x14ac:dyDescent="0.3"/>
    <row r="268" ht="30" customHeight="1" x14ac:dyDescent="0.3"/>
    <row r="269" ht="30" customHeight="1" x14ac:dyDescent="0.3"/>
    <row r="270" ht="30" customHeight="1" x14ac:dyDescent="0.3"/>
    <row r="271" ht="30" customHeight="1" x14ac:dyDescent="0.3"/>
    <row r="272" ht="30" customHeight="1" x14ac:dyDescent="0.3"/>
    <row r="273" ht="30" customHeight="1" x14ac:dyDescent="0.3"/>
    <row r="274" ht="30" customHeight="1" x14ac:dyDescent="0.3"/>
    <row r="275" ht="30" customHeight="1" x14ac:dyDescent="0.3"/>
    <row r="276" ht="30" customHeight="1" x14ac:dyDescent="0.3"/>
    <row r="277" ht="30" customHeight="1" x14ac:dyDescent="0.3"/>
    <row r="278" ht="30" customHeight="1" x14ac:dyDescent="0.3"/>
    <row r="279" ht="30" customHeight="1" x14ac:dyDescent="0.3"/>
    <row r="280" ht="30" customHeight="1" x14ac:dyDescent="0.3"/>
    <row r="281" ht="30" customHeight="1" x14ac:dyDescent="0.3"/>
    <row r="282" ht="30" customHeight="1" x14ac:dyDescent="0.3"/>
    <row r="283" ht="30" customHeight="1" x14ac:dyDescent="0.3"/>
    <row r="284" ht="30" customHeight="1" x14ac:dyDescent="0.3"/>
    <row r="285" ht="30" customHeight="1" x14ac:dyDescent="0.3"/>
    <row r="286" ht="30" customHeight="1" x14ac:dyDescent="0.3"/>
    <row r="287" ht="30" customHeight="1" x14ac:dyDescent="0.3"/>
    <row r="288" ht="30" customHeight="1" x14ac:dyDescent="0.3"/>
    <row r="289" ht="30" customHeight="1" x14ac:dyDescent="0.3"/>
    <row r="290" ht="30" customHeight="1" x14ac:dyDescent="0.3"/>
    <row r="291" ht="30" customHeight="1" x14ac:dyDescent="0.3"/>
    <row r="292" ht="30" customHeight="1" x14ac:dyDescent="0.3"/>
    <row r="293" ht="30" customHeight="1" x14ac:dyDescent="0.3"/>
    <row r="294" ht="30" customHeight="1" x14ac:dyDescent="0.3"/>
    <row r="295" ht="30" customHeight="1" x14ac:dyDescent="0.3"/>
    <row r="296" ht="30" customHeight="1" x14ac:dyDescent="0.3"/>
    <row r="297" ht="30" customHeight="1" x14ac:dyDescent="0.3"/>
    <row r="298" ht="30" customHeight="1" x14ac:dyDescent="0.3"/>
    <row r="299" ht="30" customHeight="1" x14ac:dyDescent="0.3"/>
    <row r="300" ht="30" customHeight="1" x14ac:dyDescent="0.3"/>
    <row r="301" ht="30" customHeight="1" x14ac:dyDescent="0.3"/>
    <row r="302" ht="30" customHeight="1" x14ac:dyDescent="0.3"/>
    <row r="303" ht="30" customHeight="1" x14ac:dyDescent="0.3"/>
    <row r="304" ht="30" customHeight="1" x14ac:dyDescent="0.3"/>
    <row r="305" ht="30" customHeight="1" x14ac:dyDescent="0.3"/>
    <row r="306" ht="30" customHeight="1" x14ac:dyDescent="0.3"/>
    <row r="307" ht="30" customHeight="1" x14ac:dyDescent="0.3"/>
    <row r="308" ht="30" customHeight="1" x14ac:dyDescent="0.3"/>
    <row r="309" ht="30" customHeight="1" x14ac:dyDescent="0.3"/>
    <row r="310" ht="30" customHeight="1" x14ac:dyDescent="0.3"/>
    <row r="311" ht="30" customHeight="1" x14ac:dyDescent="0.3"/>
    <row r="312" ht="30" customHeight="1" x14ac:dyDescent="0.3"/>
    <row r="313" ht="30" customHeight="1" x14ac:dyDescent="0.3"/>
    <row r="314" ht="30" customHeight="1" x14ac:dyDescent="0.3"/>
    <row r="315" ht="30" customHeight="1" x14ac:dyDescent="0.3"/>
    <row r="316" ht="30" customHeight="1" x14ac:dyDescent="0.3"/>
    <row r="317" ht="30" customHeight="1" x14ac:dyDescent="0.3"/>
    <row r="318" ht="30" customHeight="1" x14ac:dyDescent="0.3"/>
    <row r="319" ht="30" customHeight="1" x14ac:dyDescent="0.3"/>
    <row r="320" ht="30" customHeight="1" x14ac:dyDescent="0.3"/>
    <row r="321" ht="30" customHeight="1" x14ac:dyDescent="0.3"/>
    <row r="322" ht="30" customHeight="1" x14ac:dyDescent="0.3"/>
    <row r="323" ht="30" customHeight="1" x14ac:dyDescent="0.3"/>
    <row r="324" ht="30" customHeight="1" x14ac:dyDescent="0.3"/>
    <row r="325" ht="30" customHeight="1" x14ac:dyDescent="0.3"/>
    <row r="326" ht="30" customHeight="1" x14ac:dyDescent="0.3"/>
    <row r="327" ht="30" customHeight="1" x14ac:dyDescent="0.3"/>
    <row r="328" ht="30" customHeight="1" x14ac:dyDescent="0.3"/>
    <row r="329" ht="30" customHeight="1" x14ac:dyDescent="0.3"/>
    <row r="330" ht="30" customHeight="1" x14ac:dyDescent="0.3"/>
    <row r="331" ht="30" customHeight="1" x14ac:dyDescent="0.3"/>
    <row r="332" ht="30" customHeight="1" x14ac:dyDescent="0.3"/>
    <row r="333" ht="30" customHeight="1" x14ac:dyDescent="0.3"/>
    <row r="334" ht="30" customHeight="1" x14ac:dyDescent="0.3"/>
    <row r="335" ht="30" customHeight="1" x14ac:dyDescent="0.3"/>
    <row r="336" ht="30" customHeight="1" x14ac:dyDescent="0.3"/>
    <row r="337" ht="30" customHeight="1" x14ac:dyDescent="0.3"/>
    <row r="338" ht="30" customHeight="1" x14ac:dyDescent="0.3"/>
    <row r="339" ht="30" customHeight="1" x14ac:dyDescent="0.3"/>
    <row r="340" ht="30" customHeight="1" x14ac:dyDescent="0.3"/>
    <row r="341" ht="30" customHeight="1" x14ac:dyDescent="0.3"/>
    <row r="342" ht="30" customHeight="1" x14ac:dyDescent="0.3"/>
    <row r="343" ht="30" customHeight="1" x14ac:dyDescent="0.3"/>
    <row r="344" ht="30" customHeight="1" x14ac:dyDescent="0.3"/>
    <row r="345" ht="30" customHeight="1" x14ac:dyDescent="0.3"/>
    <row r="346" ht="30" customHeight="1" x14ac:dyDescent="0.3"/>
    <row r="347" ht="30" customHeight="1" x14ac:dyDescent="0.3"/>
    <row r="348" ht="30" customHeight="1" x14ac:dyDescent="0.3"/>
    <row r="349" ht="30" customHeight="1" x14ac:dyDescent="0.3"/>
    <row r="350" ht="30" customHeight="1" x14ac:dyDescent="0.3"/>
    <row r="351" ht="30" customHeight="1" x14ac:dyDescent="0.3"/>
    <row r="352" ht="30" customHeight="1" x14ac:dyDescent="0.3"/>
    <row r="353" ht="30" customHeight="1" x14ac:dyDescent="0.3"/>
    <row r="354" ht="30" customHeight="1" x14ac:dyDescent="0.3"/>
    <row r="355" ht="30" customHeight="1" x14ac:dyDescent="0.3"/>
    <row r="356" ht="30" customHeight="1" x14ac:dyDescent="0.3"/>
    <row r="357" ht="30" customHeight="1" x14ac:dyDescent="0.3"/>
    <row r="358" ht="30" customHeight="1" x14ac:dyDescent="0.3"/>
    <row r="359" ht="30" customHeight="1" x14ac:dyDescent="0.3"/>
    <row r="360" ht="30" customHeight="1" x14ac:dyDescent="0.3"/>
    <row r="361" ht="30" customHeight="1" x14ac:dyDescent="0.3"/>
    <row r="362" ht="30" customHeight="1" x14ac:dyDescent="0.3"/>
    <row r="363" ht="30" customHeight="1" x14ac:dyDescent="0.3"/>
    <row r="364" ht="30" customHeight="1" x14ac:dyDescent="0.3"/>
    <row r="365" ht="30" customHeight="1" x14ac:dyDescent="0.3"/>
    <row r="366" ht="30" customHeight="1" x14ac:dyDescent="0.3"/>
    <row r="367" ht="30" customHeight="1" x14ac:dyDescent="0.3"/>
    <row r="368" ht="30" customHeight="1" x14ac:dyDescent="0.3"/>
    <row r="369" ht="30" customHeight="1" x14ac:dyDescent="0.3"/>
    <row r="370" ht="30" customHeight="1" x14ac:dyDescent="0.3"/>
    <row r="371" ht="30" customHeight="1" x14ac:dyDescent="0.3"/>
    <row r="372" ht="30" customHeight="1" x14ac:dyDescent="0.3"/>
    <row r="373" ht="30" customHeight="1" x14ac:dyDescent="0.3"/>
    <row r="374" ht="30" customHeight="1" x14ac:dyDescent="0.3"/>
    <row r="375" ht="30" customHeight="1" x14ac:dyDescent="0.3"/>
    <row r="376" ht="30" customHeight="1" x14ac:dyDescent="0.3"/>
    <row r="377" ht="30" customHeight="1" x14ac:dyDescent="0.3"/>
    <row r="378" ht="30" customHeight="1" x14ac:dyDescent="0.3"/>
    <row r="379" ht="30" customHeight="1" x14ac:dyDescent="0.3"/>
    <row r="380" ht="30" customHeight="1" x14ac:dyDescent="0.3"/>
    <row r="381" ht="30" customHeight="1" x14ac:dyDescent="0.3"/>
    <row r="382" ht="30" customHeight="1" x14ac:dyDescent="0.3"/>
    <row r="383" ht="30" customHeight="1" x14ac:dyDescent="0.3"/>
    <row r="384" ht="30" customHeight="1" x14ac:dyDescent="0.3"/>
    <row r="385" ht="30" customHeight="1" x14ac:dyDescent="0.3"/>
    <row r="386" ht="30" customHeight="1" x14ac:dyDescent="0.3"/>
    <row r="387" ht="30" customHeight="1" x14ac:dyDescent="0.3"/>
    <row r="388" ht="30" customHeight="1" x14ac:dyDescent="0.3"/>
    <row r="389" ht="30" customHeight="1" x14ac:dyDescent="0.3"/>
    <row r="390" ht="30" customHeight="1" x14ac:dyDescent="0.3"/>
    <row r="391" ht="30" customHeight="1" x14ac:dyDescent="0.3"/>
    <row r="392" ht="30" customHeight="1" x14ac:dyDescent="0.3"/>
    <row r="393" ht="30" customHeight="1" x14ac:dyDescent="0.3"/>
    <row r="394" ht="30" customHeight="1" x14ac:dyDescent="0.3"/>
    <row r="395" ht="30" customHeight="1" x14ac:dyDescent="0.3"/>
    <row r="396" ht="30" customHeight="1" x14ac:dyDescent="0.3"/>
    <row r="397" ht="30" customHeight="1" x14ac:dyDescent="0.3"/>
    <row r="398" ht="30" customHeight="1" x14ac:dyDescent="0.3"/>
    <row r="399" ht="30" customHeight="1" x14ac:dyDescent="0.3"/>
    <row r="400" ht="30" customHeight="1" x14ac:dyDescent="0.3"/>
    <row r="401" ht="30" customHeight="1" x14ac:dyDescent="0.3"/>
    <row r="402" ht="30" customHeight="1" x14ac:dyDescent="0.3"/>
    <row r="403" ht="30" customHeight="1" x14ac:dyDescent="0.3"/>
    <row r="404" ht="30" customHeight="1" x14ac:dyDescent="0.3"/>
    <row r="405" ht="30" customHeight="1" x14ac:dyDescent="0.3"/>
    <row r="406" ht="30" customHeight="1" x14ac:dyDescent="0.3"/>
    <row r="407" ht="30" customHeight="1" x14ac:dyDescent="0.3"/>
    <row r="408" ht="30" customHeight="1" x14ac:dyDescent="0.3"/>
    <row r="409" ht="30" customHeight="1" x14ac:dyDescent="0.3"/>
    <row r="410" ht="30" customHeight="1" x14ac:dyDescent="0.3"/>
    <row r="411" ht="30" customHeight="1" x14ac:dyDescent="0.3"/>
    <row r="412" ht="30" customHeight="1" x14ac:dyDescent="0.3"/>
    <row r="413" ht="30" customHeight="1" x14ac:dyDescent="0.3"/>
    <row r="414" ht="30" customHeight="1" x14ac:dyDescent="0.3"/>
    <row r="415" ht="30" customHeight="1" x14ac:dyDescent="0.3"/>
    <row r="416" ht="30" customHeight="1" x14ac:dyDescent="0.3"/>
    <row r="417" ht="30" customHeight="1" x14ac:dyDescent="0.3"/>
    <row r="418" ht="30" customHeight="1" x14ac:dyDescent="0.3"/>
    <row r="419" ht="30" customHeight="1" x14ac:dyDescent="0.3"/>
    <row r="420" ht="30" customHeight="1" x14ac:dyDescent="0.3"/>
    <row r="421" ht="30" customHeight="1" x14ac:dyDescent="0.3"/>
    <row r="422" ht="30" customHeight="1" x14ac:dyDescent="0.3"/>
    <row r="423" ht="30" customHeight="1" x14ac:dyDescent="0.3"/>
    <row r="424" ht="30" customHeight="1" x14ac:dyDescent="0.3"/>
    <row r="425" ht="30" customHeight="1" x14ac:dyDescent="0.3"/>
    <row r="426" ht="30" customHeight="1" x14ac:dyDescent="0.3"/>
    <row r="427" ht="30" customHeight="1" x14ac:dyDescent="0.3"/>
    <row r="428" ht="30" customHeight="1" x14ac:dyDescent="0.3"/>
    <row r="429" ht="30" customHeight="1" x14ac:dyDescent="0.3"/>
    <row r="430" ht="30" customHeight="1" x14ac:dyDescent="0.3"/>
    <row r="431" ht="30" customHeight="1" x14ac:dyDescent="0.3"/>
    <row r="432" ht="30" customHeight="1" x14ac:dyDescent="0.3"/>
    <row r="433" ht="30" customHeight="1" x14ac:dyDescent="0.3"/>
    <row r="434" ht="30" customHeight="1" x14ac:dyDescent="0.3"/>
    <row r="435" ht="30" customHeight="1" x14ac:dyDescent="0.3"/>
    <row r="436" ht="30" customHeight="1" x14ac:dyDescent="0.3"/>
    <row r="437" ht="30" customHeight="1" x14ac:dyDescent="0.3"/>
    <row r="438" ht="30" customHeight="1" x14ac:dyDescent="0.3"/>
    <row r="439" ht="30" customHeight="1" x14ac:dyDescent="0.3"/>
    <row r="440" ht="30" customHeight="1" x14ac:dyDescent="0.3"/>
    <row r="441" ht="30" customHeight="1" x14ac:dyDescent="0.3"/>
    <row r="442" ht="30" customHeight="1" x14ac:dyDescent="0.3"/>
    <row r="443" ht="30" customHeight="1" x14ac:dyDescent="0.3"/>
    <row r="444" ht="30" customHeight="1" x14ac:dyDescent="0.3"/>
    <row r="445" ht="30" customHeight="1" x14ac:dyDescent="0.3"/>
    <row r="446" ht="30" customHeight="1" x14ac:dyDescent="0.3"/>
    <row r="447" ht="30" customHeight="1" x14ac:dyDescent="0.3"/>
    <row r="448" ht="30" customHeight="1" x14ac:dyDescent="0.3"/>
    <row r="449" ht="30" customHeight="1" x14ac:dyDescent="0.3"/>
    <row r="450" ht="30" customHeight="1" x14ac:dyDescent="0.3"/>
    <row r="451" ht="30" customHeight="1" x14ac:dyDescent="0.3"/>
    <row r="452" ht="30" customHeight="1" x14ac:dyDescent="0.3"/>
    <row r="453" ht="30" customHeight="1" x14ac:dyDescent="0.3"/>
    <row r="454" ht="30" customHeight="1" x14ac:dyDescent="0.3"/>
    <row r="455" ht="30" customHeight="1" x14ac:dyDescent="0.3"/>
    <row r="456" ht="30" customHeight="1" x14ac:dyDescent="0.3"/>
    <row r="457" ht="30" customHeight="1" x14ac:dyDescent="0.3"/>
    <row r="458" ht="30" customHeight="1" x14ac:dyDescent="0.3"/>
  </sheetData>
  <mergeCells count="2">
    <mergeCell ref="E6:G6"/>
    <mergeCell ref="A1:C1"/>
  </mergeCells>
  <phoneticPr fontId="2" type="noConversion"/>
  <conditionalFormatting sqref="E5:G5 I5:L5 A5:D6 H5:H6 K7:L7">
    <cfRule type="expression" dxfId="11" priority="17">
      <formula>#REF!="품절"</formula>
    </cfRule>
    <cfRule type="expression" dxfId="10" priority="18">
      <formula>#REF!="단종"</formula>
    </cfRule>
  </conditionalFormatting>
  <conditionalFormatting sqref="E6:L6">
    <cfRule type="expression" dxfId="9" priority="21">
      <formula>#REF!="품절"</formula>
    </cfRule>
    <cfRule type="expression" dxfId="8" priority="22">
      <formula>#REF!="단종"</formula>
    </cfRule>
  </conditionalFormatting>
  <conditionalFormatting sqref="J7:K60">
    <cfRule type="expression" dxfId="7" priority="15">
      <formula>#REF!="품절"</formula>
    </cfRule>
    <cfRule type="expression" dxfId="6" priority="16">
      <formula>#REF!="단종"</formula>
    </cfRule>
  </conditionalFormatting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5248D-07AF-4FA9-927E-D398F5102087}">
  <dimension ref="A1:J122"/>
  <sheetViews>
    <sheetView tabSelected="1" zoomScale="85" zoomScaleNormal="85" workbookViewId="0">
      <selection activeCell="C3" sqref="C3"/>
    </sheetView>
  </sheetViews>
  <sheetFormatPr defaultRowHeight="16.5" x14ac:dyDescent="0.3"/>
  <cols>
    <col min="2" max="2" width="15.625" bestFit="1" customWidth="1"/>
    <col min="3" max="3" width="48.625" customWidth="1"/>
    <col min="4" max="4" width="66.25" customWidth="1"/>
    <col min="6" max="6" width="12.25" customWidth="1"/>
    <col min="8" max="8" width="11.375" customWidth="1"/>
    <col min="9" max="9" width="22.5" bestFit="1" customWidth="1"/>
    <col min="10" max="10" width="17.125" customWidth="1"/>
  </cols>
  <sheetData>
    <row r="1" spans="1:10" ht="30" customHeight="1" x14ac:dyDescent="0.3">
      <c r="A1" s="21" t="s">
        <v>345</v>
      </c>
      <c r="B1" s="22"/>
      <c r="C1" s="22"/>
      <c r="D1" s="20"/>
    </row>
    <row r="2" spans="1:10" ht="16.5" customHeight="1" x14ac:dyDescent="0.3"/>
    <row r="3" spans="1:10" ht="16.5" customHeight="1" x14ac:dyDescent="0.3"/>
    <row r="4" spans="1:10" ht="16.5" customHeight="1" x14ac:dyDescent="0.3">
      <c r="F4" s="1"/>
    </row>
    <row r="5" spans="1:10" ht="30" customHeight="1" x14ac:dyDescent="0.3">
      <c r="A5" s="14" t="s">
        <v>0</v>
      </c>
      <c r="B5" s="14" t="s">
        <v>1</v>
      </c>
      <c r="C5" s="14" t="s">
        <v>11</v>
      </c>
      <c r="D5" s="14" t="s">
        <v>2</v>
      </c>
      <c r="E5" s="16" t="s">
        <v>8</v>
      </c>
      <c r="F5" s="16" t="s">
        <v>9</v>
      </c>
      <c r="G5" s="15" t="s">
        <v>3</v>
      </c>
      <c r="H5" s="18" t="s">
        <v>4</v>
      </c>
      <c r="I5" s="18" t="s">
        <v>5</v>
      </c>
      <c r="J5" s="18" t="s">
        <v>6</v>
      </c>
    </row>
    <row r="6" spans="1:10" ht="30" customHeight="1" x14ac:dyDescent="0.3">
      <c r="A6" s="2"/>
      <c r="B6" s="2"/>
      <c r="C6" s="2"/>
      <c r="D6" s="2"/>
      <c r="E6" s="48" t="s">
        <v>7</v>
      </c>
      <c r="F6" s="48"/>
      <c r="G6" s="2"/>
      <c r="H6" s="49">
        <f>SUM(H7:H122)</f>
        <v>0</v>
      </c>
      <c r="I6" s="49">
        <f>SUM(I7:I122)</f>
        <v>0</v>
      </c>
      <c r="J6" s="50">
        <f>SUM(J7:J122)</f>
        <v>0</v>
      </c>
    </row>
    <row r="7" spans="1:10" ht="30" customHeight="1" x14ac:dyDescent="0.3">
      <c r="A7" s="24">
        <v>1</v>
      </c>
      <c r="B7" s="25">
        <v>8809657115387</v>
      </c>
      <c r="C7" s="26" t="s">
        <v>133</v>
      </c>
      <c r="D7" s="27" t="s">
        <v>134</v>
      </c>
      <c r="E7" s="28">
        <v>11800</v>
      </c>
      <c r="F7" s="29">
        <v>5419</v>
      </c>
      <c r="G7" s="30">
        <v>96</v>
      </c>
      <c r="H7" s="11"/>
      <c r="I7" s="12">
        <f>H7*G7</f>
        <v>0</v>
      </c>
      <c r="J7" s="13">
        <f>IF($F7&gt;0,$I7*$F7,"")</f>
        <v>0</v>
      </c>
    </row>
    <row r="8" spans="1:10" ht="30" customHeight="1" x14ac:dyDescent="0.3">
      <c r="A8" s="24">
        <v>2</v>
      </c>
      <c r="B8" s="25">
        <v>8809657114731</v>
      </c>
      <c r="C8" s="26" t="s">
        <v>135</v>
      </c>
      <c r="D8" s="27" t="s">
        <v>136</v>
      </c>
      <c r="E8" s="28">
        <v>15000</v>
      </c>
      <c r="F8" s="29">
        <v>7101</v>
      </c>
      <c r="G8" s="30">
        <v>30</v>
      </c>
      <c r="H8" s="11"/>
      <c r="I8" s="12">
        <f t="shared" ref="I8:I60" si="0">H8*G8</f>
        <v>0</v>
      </c>
      <c r="J8" s="13">
        <f>IF($F8&gt;0,$I8*$F8,"")</f>
        <v>0</v>
      </c>
    </row>
    <row r="9" spans="1:10" ht="30" customHeight="1" x14ac:dyDescent="0.3">
      <c r="A9" s="24">
        <v>3</v>
      </c>
      <c r="B9" s="25">
        <v>8809657114748</v>
      </c>
      <c r="C9" s="26" t="s">
        <v>137</v>
      </c>
      <c r="D9" s="27" t="s">
        <v>138</v>
      </c>
      <c r="E9" s="28">
        <v>30000</v>
      </c>
      <c r="F9" s="29">
        <v>14100</v>
      </c>
      <c r="G9" s="30">
        <v>30</v>
      </c>
      <c r="H9" s="11"/>
      <c r="I9" s="12">
        <f t="shared" si="0"/>
        <v>0</v>
      </c>
      <c r="J9" s="13">
        <f>IF($F9&gt;0,$I9*$F9,"")</f>
        <v>0</v>
      </c>
    </row>
    <row r="10" spans="1:10" ht="30" customHeight="1" x14ac:dyDescent="0.3">
      <c r="A10" s="24">
        <v>4</v>
      </c>
      <c r="B10" s="25">
        <v>8809657114779</v>
      </c>
      <c r="C10" s="27" t="s">
        <v>139</v>
      </c>
      <c r="D10" s="27" t="s">
        <v>140</v>
      </c>
      <c r="E10" s="31">
        <v>20000</v>
      </c>
      <c r="F10" s="29">
        <v>9500</v>
      </c>
      <c r="G10" s="30">
        <v>30</v>
      </c>
      <c r="H10" s="11"/>
      <c r="I10" s="12">
        <f t="shared" si="0"/>
        <v>0</v>
      </c>
      <c r="J10" s="13">
        <f>IF($F10&gt;0,$I10*$F10,"")</f>
        <v>0</v>
      </c>
    </row>
    <row r="11" spans="1:10" ht="30" customHeight="1" x14ac:dyDescent="0.3">
      <c r="A11" s="24">
        <v>5</v>
      </c>
      <c r="B11" s="25">
        <v>8809738600245</v>
      </c>
      <c r="C11" s="26" t="s">
        <v>141</v>
      </c>
      <c r="D11" s="27" t="s">
        <v>142</v>
      </c>
      <c r="E11" s="28">
        <v>32000</v>
      </c>
      <c r="F11" s="29">
        <v>12832</v>
      </c>
      <c r="G11" s="30">
        <v>80</v>
      </c>
      <c r="H11" s="11"/>
      <c r="I11" s="12">
        <f t="shared" si="0"/>
        <v>0</v>
      </c>
      <c r="J11" s="13">
        <f>IF($F11&gt;0,$I11*$F11,"")</f>
        <v>0</v>
      </c>
    </row>
    <row r="12" spans="1:10" ht="30" customHeight="1" x14ac:dyDescent="0.3">
      <c r="A12" s="24">
        <v>6</v>
      </c>
      <c r="B12" s="25">
        <v>8809738608364</v>
      </c>
      <c r="C12" s="26" t="s">
        <v>143</v>
      </c>
      <c r="D12" s="27" t="s">
        <v>144</v>
      </c>
      <c r="E12" s="28">
        <v>13000</v>
      </c>
      <c r="F12" s="29">
        <v>6221</v>
      </c>
      <c r="G12" s="30">
        <v>30</v>
      </c>
      <c r="H12" s="11"/>
      <c r="I12" s="12">
        <f t="shared" si="0"/>
        <v>0</v>
      </c>
      <c r="J12" s="13">
        <f>IF($F12&gt;0,$I12*$F12,"")</f>
        <v>0</v>
      </c>
    </row>
    <row r="13" spans="1:10" ht="30" customHeight="1" x14ac:dyDescent="0.3">
      <c r="A13" s="24">
        <v>7</v>
      </c>
      <c r="B13" s="25">
        <v>8809738605677</v>
      </c>
      <c r="C13" s="26" t="s">
        <v>145</v>
      </c>
      <c r="D13" s="27" t="s">
        <v>146</v>
      </c>
      <c r="E13" s="28">
        <v>23000</v>
      </c>
      <c r="F13" s="29">
        <v>11004</v>
      </c>
      <c r="G13" s="30">
        <v>30</v>
      </c>
      <c r="H13" s="11"/>
      <c r="I13" s="12">
        <f t="shared" si="0"/>
        <v>0</v>
      </c>
      <c r="J13" s="13">
        <f>IF($F13&gt;0,$I13*$F13,"")</f>
        <v>0</v>
      </c>
    </row>
    <row r="14" spans="1:10" ht="30" customHeight="1" x14ac:dyDescent="0.3">
      <c r="A14" s="24">
        <v>8</v>
      </c>
      <c r="B14" s="25">
        <v>8809657115639</v>
      </c>
      <c r="C14" s="26" t="s">
        <v>147</v>
      </c>
      <c r="D14" s="27" t="s">
        <v>148</v>
      </c>
      <c r="E14" s="28">
        <v>21000</v>
      </c>
      <c r="F14" s="29">
        <v>10011</v>
      </c>
      <c r="G14" s="30">
        <v>50</v>
      </c>
      <c r="H14" s="11"/>
      <c r="I14" s="12">
        <f t="shared" si="0"/>
        <v>0</v>
      </c>
      <c r="J14" s="13">
        <f>IF($F14&gt;0,$I14*$F14,"")</f>
        <v>0</v>
      </c>
    </row>
    <row r="15" spans="1:10" ht="30" customHeight="1" x14ac:dyDescent="0.3">
      <c r="A15" s="24">
        <v>9</v>
      </c>
      <c r="B15" s="25">
        <v>8809657115479</v>
      </c>
      <c r="C15" s="26" t="s">
        <v>149</v>
      </c>
      <c r="D15" s="27" t="s">
        <v>150</v>
      </c>
      <c r="E15" s="28">
        <v>28000</v>
      </c>
      <c r="F15" s="29">
        <v>10632</v>
      </c>
      <c r="G15" s="30">
        <v>100</v>
      </c>
      <c r="H15" s="11"/>
      <c r="I15" s="12">
        <f t="shared" si="0"/>
        <v>0</v>
      </c>
      <c r="J15" s="13">
        <f>IF($F15&gt;0,$I15*$F15,"")</f>
        <v>0</v>
      </c>
    </row>
    <row r="16" spans="1:10" ht="30" customHeight="1" x14ac:dyDescent="0.3">
      <c r="A16" s="24">
        <v>10</v>
      </c>
      <c r="B16" s="25">
        <v>8809738604755</v>
      </c>
      <c r="C16" s="26" t="s">
        <v>151</v>
      </c>
      <c r="D16" s="27" t="s">
        <v>152</v>
      </c>
      <c r="E16" s="28">
        <v>17000</v>
      </c>
      <c r="F16" s="29">
        <v>7722</v>
      </c>
      <c r="G16" s="30">
        <v>30</v>
      </c>
      <c r="H16" s="11"/>
      <c r="I16" s="12">
        <f t="shared" si="0"/>
        <v>0</v>
      </c>
      <c r="J16" s="13">
        <f>IF($F16&gt;0,$I16*$F16,"")</f>
        <v>0</v>
      </c>
    </row>
    <row r="17" spans="1:10" ht="30" customHeight="1" x14ac:dyDescent="0.3">
      <c r="A17" s="24">
        <v>11</v>
      </c>
      <c r="B17" s="25">
        <v>8809743540710</v>
      </c>
      <c r="C17" s="26" t="s">
        <v>153</v>
      </c>
      <c r="D17" s="27" t="s">
        <v>154</v>
      </c>
      <c r="E17" s="28">
        <v>40000</v>
      </c>
      <c r="F17" s="29">
        <v>12000</v>
      </c>
      <c r="G17" s="30">
        <v>20</v>
      </c>
      <c r="H17" s="11"/>
      <c r="I17" s="12">
        <f t="shared" si="0"/>
        <v>0</v>
      </c>
      <c r="J17" s="13">
        <f>IF($F17&gt;0,$I17*$F17,"")</f>
        <v>0</v>
      </c>
    </row>
    <row r="18" spans="1:10" ht="30" customHeight="1" x14ac:dyDescent="0.3">
      <c r="A18" s="24">
        <v>12</v>
      </c>
      <c r="B18" s="25">
        <v>8809738591154</v>
      </c>
      <c r="C18" s="26" t="s">
        <v>155</v>
      </c>
      <c r="D18" s="27" t="s">
        <v>156</v>
      </c>
      <c r="E18" s="28">
        <v>32000</v>
      </c>
      <c r="F18" s="29">
        <v>13732</v>
      </c>
      <c r="G18" s="30">
        <v>30</v>
      </c>
      <c r="H18" s="11"/>
      <c r="I18" s="12">
        <f t="shared" si="0"/>
        <v>0</v>
      </c>
      <c r="J18" s="13">
        <f>IF($F18&gt;0,$I18*$F18,"")</f>
        <v>0</v>
      </c>
    </row>
    <row r="19" spans="1:10" ht="30" customHeight="1" x14ac:dyDescent="0.3">
      <c r="A19" s="24">
        <v>13</v>
      </c>
      <c r="B19" s="25">
        <v>8809962542755</v>
      </c>
      <c r="C19" s="26" t="s">
        <v>157</v>
      </c>
      <c r="D19" s="27" t="s">
        <v>158</v>
      </c>
      <c r="E19" s="28">
        <v>25000</v>
      </c>
      <c r="F19" s="29">
        <v>11800</v>
      </c>
      <c r="G19" s="30">
        <v>40</v>
      </c>
      <c r="H19" s="11"/>
      <c r="I19" s="12">
        <f t="shared" si="0"/>
        <v>0</v>
      </c>
      <c r="J19" s="13">
        <f>IF($F19&gt;0,$I19*$F19,"")</f>
        <v>0</v>
      </c>
    </row>
    <row r="20" spans="1:10" ht="30" customHeight="1" x14ac:dyDescent="0.3">
      <c r="A20" s="24">
        <v>14</v>
      </c>
      <c r="B20" s="25">
        <v>8809743542684</v>
      </c>
      <c r="C20" s="26" t="s">
        <v>159</v>
      </c>
      <c r="D20" s="27" t="s">
        <v>160</v>
      </c>
      <c r="E20" s="28">
        <v>24000</v>
      </c>
      <c r="F20" s="29">
        <v>11504</v>
      </c>
      <c r="G20" s="30">
        <v>30</v>
      </c>
      <c r="H20" s="11"/>
      <c r="I20" s="12">
        <f t="shared" si="0"/>
        <v>0</v>
      </c>
      <c r="J20" s="13">
        <f>IF($F20&gt;0,$I20*$F20,"")</f>
        <v>0</v>
      </c>
    </row>
    <row r="21" spans="1:10" ht="30" customHeight="1" x14ac:dyDescent="0.3">
      <c r="A21" s="24">
        <v>15</v>
      </c>
      <c r="B21" s="25">
        <v>8809738599044</v>
      </c>
      <c r="C21" s="26" t="s">
        <v>161</v>
      </c>
      <c r="D21" s="27" t="s">
        <v>162</v>
      </c>
      <c r="E21" s="28">
        <v>15000</v>
      </c>
      <c r="F21" s="29">
        <v>7101</v>
      </c>
      <c r="G21" s="30">
        <v>30</v>
      </c>
      <c r="H21" s="11"/>
      <c r="I21" s="12">
        <f t="shared" si="0"/>
        <v>0</v>
      </c>
      <c r="J21" s="13">
        <f>IF($F21&gt;0,$I21*$F21,"")</f>
        <v>0</v>
      </c>
    </row>
    <row r="22" spans="1:10" ht="30" customHeight="1" x14ac:dyDescent="0.3">
      <c r="A22" s="24">
        <v>16</v>
      </c>
      <c r="B22" s="25">
        <v>8809657129247</v>
      </c>
      <c r="C22" s="26" t="s">
        <v>163</v>
      </c>
      <c r="D22" s="27" t="s">
        <v>164</v>
      </c>
      <c r="E22" s="28">
        <v>24000</v>
      </c>
      <c r="F22" s="29">
        <v>11504</v>
      </c>
      <c r="G22" s="30">
        <v>40</v>
      </c>
      <c r="H22" s="11"/>
      <c r="I22" s="12">
        <f t="shared" si="0"/>
        <v>0</v>
      </c>
      <c r="J22" s="13">
        <f>IF($F22&gt;0,$I22*$F22,"")</f>
        <v>0</v>
      </c>
    </row>
    <row r="23" spans="1:10" ht="30" customHeight="1" x14ac:dyDescent="0.3">
      <c r="A23" s="24">
        <v>17</v>
      </c>
      <c r="B23" s="25">
        <v>8809657114632</v>
      </c>
      <c r="C23" s="26" t="s">
        <v>165</v>
      </c>
      <c r="D23" s="27" t="s">
        <v>166</v>
      </c>
      <c r="E23" s="28">
        <v>35000</v>
      </c>
      <c r="F23" s="29">
        <v>11193</v>
      </c>
      <c r="G23" s="30">
        <v>200</v>
      </c>
      <c r="H23" s="11"/>
      <c r="I23" s="12">
        <f t="shared" si="0"/>
        <v>0</v>
      </c>
      <c r="J23" s="13">
        <f>IF($F23&gt;0,$I23*$F23,"")</f>
        <v>0</v>
      </c>
    </row>
    <row r="24" spans="1:10" ht="30" customHeight="1" x14ac:dyDescent="0.3">
      <c r="A24" s="24">
        <v>18</v>
      </c>
      <c r="B24" s="25">
        <v>8809783321966</v>
      </c>
      <c r="C24" s="26" t="s">
        <v>167</v>
      </c>
      <c r="D24" s="27" t="s">
        <v>168</v>
      </c>
      <c r="E24" s="28">
        <v>15000</v>
      </c>
      <c r="F24" s="29">
        <v>7101</v>
      </c>
      <c r="G24" s="30">
        <v>50</v>
      </c>
      <c r="H24" s="11"/>
      <c r="I24" s="12">
        <f t="shared" si="0"/>
        <v>0</v>
      </c>
      <c r="J24" s="13">
        <f>IF($F24&gt;0,$I24*$F24,"")</f>
        <v>0</v>
      </c>
    </row>
    <row r="25" spans="1:10" ht="30" customHeight="1" x14ac:dyDescent="0.3">
      <c r="A25" s="24">
        <v>19</v>
      </c>
      <c r="B25" s="25">
        <v>8809782557298</v>
      </c>
      <c r="C25" s="26" t="s">
        <v>169</v>
      </c>
      <c r="D25" s="27" t="s">
        <v>170</v>
      </c>
      <c r="E25" s="28">
        <v>25000</v>
      </c>
      <c r="F25" s="29">
        <v>10125</v>
      </c>
      <c r="G25" s="30">
        <v>50</v>
      </c>
      <c r="H25" s="11"/>
      <c r="I25" s="12">
        <f t="shared" si="0"/>
        <v>0</v>
      </c>
      <c r="J25" s="13">
        <f>IF($F25&gt;0,$I25*$F25,"")</f>
        <v>0</v>
      </c>
    </row>
    <row r="26" spans="1:10" ht="30" customHeight="1" x14ac:dyDescent="0.3">
      <c r="A26" s="24">
        <v>20</v>
      </c>
      <c r="B26" s="25">
        <v>8809875901120</v>
      </c>
      <c r="C26" s="26" t="s">
        <v>171</v>
      </c>
      <c r="D26" s="27" t="s">
        <v>172</v>
      </c>
      <c r="E26" s="28">
        <v>18000</v>
      </c>
      <c r="F26" s="29">
        <v>7541</v>
      </c>
      <c r="G26" s="30">
        <v>30</v>
      </c>
      <c r="H26" s="11"/>
      <c r="I26" s="12">
        <f t="shared" si="0"/>
        <v>0</v>
      </c>
      <c r="J26" s="13">
        <f>IF($F26&gt;0,$I26*$F26,"")</f>
        <v>0</v>
      </c>
    </row>
    <row r="27" spans="1:10" ht="30" customHeight="1" x14ac:dyDescent="0.3">
      <c r="A27" s="24">
        <v>21</v>
      </c>
      <c r="B27" s="25">
        <v>8809738607343</v>
      </c>
      <c r="C27" s="26" t="s">
        <v>173</v>
      </c>
      <c r="D27" s="27" t="s">
        <v>174</v>
      </c>
      <c r="E27" s="28">
        <v>18000</v>
      </c>
      <c r="F27" s="29">
        <v>6761</v>
      </c>
      <c r="G27" s="30">
        <v>30</v>
      </c>
      <c r="H27" s="11"/>
      <c r="I27" s="12">
        <f t="shared" si="0"/>
        <v>0</v>
      </c>
      <c r="J27" s="13">
        <f>IF($F27&gt;0,$I27*$F27,"")</f>
        <v>0</v>
      </c>
    </row>
    <row r="28" spans="1:10" ht="30" customHeight="1" x14ac:dyDescent="0.3">
      <c r="A28" s="24">
        <v>22</v>
      </c>
      <c r="B28" s="25">
        <v>8809657114243</v>
      </c>
      <c r="C28" s="26" t="s">
        <v>175</v>
      </c>
      <c r="D28" s="27" t="s">
        <v>176</v>
      </c>
      <c r="E28" s="28">
        <v>35000</v>
      </c>
      <c r="F28" s="29">
        <v>15393</v>
      </c>
      <c r="G28" s="30">
        <v>30</v>
      </c>
      <c r="H28" s="11"/>
      <c r="I28" s="12">
        <f t="shared" si="0"/>
        <v>0</v>
      </c>
      <c r="J28" s="13">
        <f>IF($F28&gt;0,$I28*$F28,"")</f>
        <v>0</v>
      </c>
    </row>
    <row r="29" spans="1:10" ht="30" customHeight="1" x14ac:dyDescent="0.3">
      <c r="A29" s="24">
        <v>23</v>
      </c>
      <c r="B29" s="25">
        <v>8809962540270</v>
      </c>
      <c r="C29" s="26" t="s">
        <v>177</v>
      </c>
      <c r="D29" s="27" t="s">
        <v>178</v>
      </c>
      <c r="E29" s="28">
        <v>25000</v>
      </c>
      <c r="F29" s="29">
        <v>8560</v>
      </c>
      <c r="G29" s="30">
        <v>20</v>
      </c>
      <c r="H29" s="11"/>
      <c r="I29" s="12">
        <f t="shared" si="0"/>
        <v>0</v>
      </c>
      <c r="J29" s="13">
        <f>IF($F29&gt;0,$I29*$F29,"")</f>
        <v>0</v>
      </c>
    </row>
    <row r="30" spans="1:10" ht="30" customHeight="1" x14ac:dyDescent="0.3">
      <c r="A30" s="24">
        <v>24</v>
      </c>
      <c r="B30" s="25">
        <v>8809962541253</v>
      </c>
      <c r="C30" s="26" t="s">
        <v>179</v>
      </c>
      <c r="D30" s="27" t="s">
        <v>180</v>
      </c>
      <c r="E30" s="28">
        <v>5000</v>
      </c>
      <c r="F30" s="29">
        <v>2600</v>
      </c>
      <c r="G30" s="30">
        <v>60</v>
      </c>
      <c r="H30" s="11"/>
      <c r="I30" s="12">
        <f t="shared" si="0"/>
        <v>0</v>
      </c>
      <c r="J30" s="13">
        <f>IF($F30&gt;0,$I30*$F30,"")</f>
        <v>0</v>
      </c>
    </row>
    <row r="31" spans="1:10" ht="30" customHeight="1" x14ac:dyDescent="0.3">
      <c r="A31" s="24">
        <v>25</v>
      </c>
      <c r="B31" s="25">
        <v>8809738600214</v>
      </c>
      <c r="C31" s="26" t="s">
        <v>181</v>
      </c>
      <c r="D31" s="27" t="s">
        <v>182</v>
      </c>
      <c r="E31" s="28">
        <v>24000</v>
      </c>
      <c r="F31" s="29">
        <v>9540</v>
      </c>
      <c r="G31" s="30">
        <v>40</v>
      </c>
      <c r="H31" s="11"/>
      <c r="I31" s="12">
        <f t="shared" si="0"/>
        <v>0</v>
      </c>
      <c r="J31" s="13">
        <f>IF($F31&gt;0,$I31*$F31,"")</f>
        <v>0</v>
      </c>
    </row>
    <row r="32" spans="1:10" ht="30" customHeight="1" x14ac:dyDescent="0.3">
      <c r="A32" s="24">
        <v>26</v>
      </c>
      <c r="B32" s="25">
        <v>8809738600221</v>
      </c>
      <c r="C32" s="26" t="s">
        <v>183</v>
      </c>
      <c r="D32" s="27" t="s">
        <v>184</v>
      </c>
      <c r="E32" s="28">
        <v>32000</v>
      </c>
      <c r="F32" s="29">
        <v>12672</v>
      </c>
      <c r="G32" s="30">
        <v>80</v>
      </c>
      <c r="H32" s="11"/>
      <c r="I32" s="12">
        <f t="shared" si="0"/>
        <v>0</v>
      </c>
      <c r="J32" s="13">
        <f>IF($F32&gt;0,$I32*$F32,"")</f>
        <v>0</v>
      </c>
    </row>
    <row r="33" spans="1:10" ht="30" customHeight="1" x14ac:dyDescent="0.3">
      <c r="A33" s="24">
        <v>27</v>
      </c>
      <c r="B33" s="25">
        <v>8809738600238</v>
      </c>
      <c r="C33" s="26" t="s">
        <v>185</v>
      </c>
      <c r="D33" s="27" t="s">
        <v>186</v>
      </c>
      <c r="E33" s="28">
        <v>15000</v>
      </c>
      <c r="F33" s="29">
        <v>6351</v>
      </c>
      <c r="G33" s="30">
        <v>30</v>
      </c>
      <c r="H33" s="11"/>
      <c r="I33" s="12">
        <f t="shared" si="0"/>
        <v>0</v>
      </c>
      <c r="J33" s="13">
        <f>IF($F33&gt;0,$I33*$F33,"")</f>
        <v>0</v>
      </c>
    </row>
    <row r="34" spans="1:10" ht="30" customHeight="1" x14ac:dyDescent="0.3">
      <c r="A34" s="24">
        <v>28</v>
      </c>
      <c r="B34" s="25">
        <v>8809738604762</v>
      </c>
      <c r="C34" s="26" t="s">
        <v>187</v>
      </c>
      <c r="D34" s="27" t="s">
        <v>188</v>
      </c>
      <c r="E34" s="28">
        <v>23000</v>
      </c>
      <c r="F34" s="29">
        <v>9251</v>
      </c>
      <c r="G34" s="30">
        <v>30</v>
      </c>
      <c r="H34" s="11"/>
      <c r="I34" s="12">
        <f t="shared" si="0"/>
        <v>0</v>
      </c>
      <c r="J34" s="13">
        <f>IF($F34&gt;0,$I34*$F34,"")</f>
        <v>0</v>
      </c>
    </row>
    <row r="35" spans="1:10" ht="30" customHeight="1" x14ac:dyDescent="0.3">
      <c r="A35" s="24">
        <v>29</v>
      </c>
      <c r="B35" s="32">
        <v>8809782553009</v>
      </c>
      <c r="C35" s="26" t="s">
        <v>189</v>
      </c>
      <c r="D35" s="27" t="s">
        <v>190</v>
      </c>
      <c r="E35" s="28">
        <v>28000</v>
      </c>
      <c r="F35" s="29">
        <v>10990</v>
      </c>
      <c r="G35" s="30">
        <v>70</v>
      </c>
      <c r="H35" s="11"/>
      <c r="I35" s="12">
        <f t="shared" si="0"/>
        <v>0</v>
      </c>
      <c r="J35" s="13">
        <f>IF($F35&gt;0,$I35*$F35,"")</f>
        <v>0</v>
      </c>
    </row>
    <row r="36" spans="1:10" ht="30" customHeight="1" x14ac:dyDescent="0.3">
      <c r="A36" s="24">
        <v>30</v>
      </c>
      <c r="B36" s="25">
        <v>8809614958712</v>
      </c>
      <c r="C36" s="26" t="s">
        <v>191</v>
      </c>
      <c r="D36" s="27" t="s">
        <v>192</v>
      </c>
      <c r="E36" s="28">
        <v>25000</v>
      </c>
      <c r="F36" s="29">
        <v>10700</v>
      </c>
      <c r="G36" s="30">
        <v>40</v>
      </c>
      <c r="H36" s="11"/>
      <c r="I36" s="12">
        <f t="shared" si="0"/>
        <v>0</v>
      </c>
      <c r="J36" s="13">
        <f>IF($F36&gt;0,$I36*$F36,"")</f>
        <v>0</v>
      </c>
    </row>
    <row r="37" spans="1:10" ht="30" customHeight="1" x14ac:dyDescent="0.3">
      <c r="A37" s="24">
        <v>31</v>
      </c>
      <c r="B37" s="25">
        <v>8809782551814</v>
      </c>
      <c r="C37" s="26" t="s">
        <v>193</v>
      </c>
      <c r="D37" s="27" t="s">
        <v>194</v>
      </c>
      <c r="E37" s="28">
        <v>25000</v>
      </c>
      <c r="F37" s="29">
        <v>9950</v>
      </c>
      <c r="G37" s="30">
        <v>60</v>
      </c>
      <c r="H37" s="11"/>
      <c r="I37" s="12">
        <f t="shared" si="0"/>
        <v>0</v>
      </c>
      <c r="J37" s="13">
        <f>IF($F37&gt;0,$I37*$F37,"")</f>
        <v>0</v>
      </c>
    </row>
    <row r="38" spans="1:10" ht="30" customHeight="1" x14ac:dyDescent="0.3">
      <c r="A38" s="24">
        <v>32</v>
      </c>
      <c r="B38" s="25">
        <v>8809624723157</v>
      </c>
      <c r="C38" s="26" t="s">
        <v>195</v>
      </c>
      <c r="D38" s="27" t="s">
        <v>196</v>
      </c>
      <c r="E38" s="28">
        <v>30000</v>
      </c>
      <c r="F38" s="29">
        <v>10101</v>
      </c>
      <c r="G38" s="30">
        <v>40</v>
      </c>
      <c r="H38" s="11"/>
      <c r="I38" s="12">
        <f t="shared" si="0"/>
        <v>0</v>
      </c>
      <c r="J38" s="13">
        <f>IF($F38&gt;0,$I38*$F38,"")</f>
        <v>0</v>
      </c>
    </row>
    <row r="39" spans="1:10" ht="30" customHeight="1" x14ac:dyDescent="0.3">
      <c r="A39" s="24">
        <v>33</v>
      </c>
      <c r="B39" s="33">
        <v>8809638307701</v>
      </c>
      <c r="C39" s="26" t="s">
        <v>197</v>
      </c>
      <c r="D39" s="27" t="s">
        <v>198</v>
      </c>
      <c r="E39" s="28">
        <v>12000</v>
      </c>
      <c r="F39" s="29">
        <v>5361</v>
      </c>
      <c r="G39" s="30">
        <v>40</v>
      </c>
      <c r="H39" s="11"/>
      <c r="I39" s="12">
        <f t="shared" si="0"/>
        <v>0</v>
      </c>
      <c r="J39" s="13">
        <f>IF($F39&gt;0,$I39*$F39,"")</f>
        <v>0</v>
      </c>
    </row>
    <row r="40" spans="1:10" ht="30" customHeight="1" x14ac:dyDescent="0.3">
      <c r="A40" s="24">
        <v>34</v>
      </c>
      <c r="B40" s="25">
        <v>8809864769977</v>
      </c>
      <c r="C40" s="26" t="s">
        <v>199</v>
      </c>
      <c r="D40" s="27" t="s">
        <v>200</v>
      </c>
      <c r="E40" s="28">
        <v>25000</v>
      </c>
      <c r="F40" s="29">
        <v>9950</v>
      </c>
      <c r="G40" s="30">
        <v>60</v>
      </c>
      <c r="H40" s="11"/>
      <c r="I40" s="12">
        <f t="shared" si="0"/>
        <v>0</v>
      </c>
      <c r="J40" s="13">
        <f>IF($F40&gt;0,$I40*$F40,"")</f>
        <v>0</v>
      </c>
    </row>
    <row r="41" spans="1:10" ht="30" customHeight="1" x14ac:dyDescent="0.3">
      <c r="A41" s="24">
        <v>35</v>
      </c>
      <c r="B41" s="25">
        <v>8809782558523</v>
      </c>
      <c r="C41" s="26" t="s">
        <v>201</v>
      </c>
      <c r="D41" s="27" t="s">
        <v>202</v>
      </c>
      <c r="E41" s="28">
        <v>25000</v>
      </c>
      <c r="F41" s="29">
        <v>9950</v>
      </c>
      <c r="G41" s="30">
        <v>60</v>
      </c>
      <c r="H41" s="11"/>
      <c r="I41" s="12">
        <f t="shared" si="0"/>
        <v>0</v>
      </c>
      <c r="J41" s="13">
        <f>IF($F41&gt;0,$I41*$F41,"")</f>
        <v>0</v>
      </c>
    </row>
    <row r="42" spans="1:10" ht="30" customHeight="1" x14ac:dyDescent="0.3">
      <c r="A42" s="24">
        <v>36</v>
      </c>
      <c r="B42" s="25">
        <v>8809875904459</v>
      </c>
      <c r="C42" s="26" t="s">
        <v>203</v>
      </c>
      <c r="D42" s="27" t="s">
        <v>204</v>
      </c>
      <c r="E42" s="28">
        <v>24000</v>
      </c>
      <c r="F42" s="29">
        <v>9152</v>
      </c>
      <c r="G42" s="30">
        <v>60</v>
      </c>
      <c r="H42" s="11"/>
      <c r="I42" s="12">
        <f t="shared" si="0"/>
        <v>0</v>
      </c>
      <c r="J42" s="13">
        <f>IF($F42&gt;0,$I42*$F42,"")</f>
        <v>0</v>
      </c>
    </row>
    <row r="43" spans="1:10" ht="30" customHeight="1" x14ac:dyDescent="0.3">
      <c r="A43" s="24">
        <v>37</v>
      </c>
      <c r="B43" s="25">
        <v>8809782556628</v>
      </c>
      <c r="C43" s="26" t="s">
        <v>205</v>
      </c>
      <c r="D43" s="27" t="s">
        <v>206</v>
      </c>
      <c r="E43" s="28">
        <v>24000</v>
      </c>
      <c r="F43" s="29">
        <v>9651</v>
      </c>
      <c r="G43" s="30">
        <v>100</v>
      </c>
      <c r="H43" s="11"/>
      <c r="I43" s="12">
        <f t="shared" si="0"/>
        <v>0</v>
      </c>
      <c r="J43" s="13">
        <f>IF($F43&gt;0,$I43*$F43,"")</f>
        <v>0</v>
      </c>
    </row>
    <row r="44" spans="1:10" ht="30" customHeight="1" x14ac:dyDescent="0.3">
      <c r="A44" s="24">
        <v>38</v>
      </c>
      <c r="B44" s="25">
        <v>8809864759480</v>
      </c>
      <c r="C44" s="26" t="s">
        <v>207</v>
      </c>
      <c r="D44" s="27" t="s">
        <v>208</v>
      </c>
      <c r="E44" s="28">
        <v>28000</v>
      </c>
      <c r="F44" s="29">
        <v>9831</v>
      </c>
      <c r="G44" s="30">
        <v>60</v>
      </c>
      <c r="H44" s="11"/>
      <c r="I44" s="12">
        <f t="shared" si="0"/>
        <v>0</v>
      </c>
      <c r="J44" s="13">
        <f>IF($F44&gt;0,$I44*$F44,"")</f>
        <v>0</v>
      </c>
    </row>
    <row r="45" spans="1:10" ht="30" customHeight="1" x14ac:dyDescent="0.3">
      <c r="A45" s="24">
        <v>39</v>
      </c>
      <c r="B45" s="25">
        <v>8809614958057</v>
      </c>
      <c r="C45" s="26" t="s">
        <v>209</v>
      </c>
      <c r="D45" s="27" t="s">
        <v>210</v>
      </c>
      <c r="E45" s="28">
        <v>22000</v>
      </c>
      <c r="F45" s="29">
        <v>9020</v>
      </c>
      <c r="G45" s="30">
        <v>40</v>
      </c>
      <c r="H45" s="11"/>
      <c r="I45" s="12">
        <f t="shared" si="0"/>
        <v>0</v>
      </c>
      <c r="J45" s="13">
        <f>IF($F45&gt;0,$I45*$F45,"")</f>
        <v>0</v>
      </c>
    </row>
    <row r="46" spans="1:10" ht="30" customHeight="1" x14ac:dyDescent="0.3">
      <c r="A46" s="24">
        <v>40</v>
      </c>
      <c r="B46" s="25">
        <v>8809962540713</v>
      </c>
      <c r="C46" s="26" t="s">
        <v>211</v>
      </c>
      <c r="D46" s="27" t="s">
        <v>212</v>
      </c>
      <c r="E46" s="28">
        <v>12000</v>
      </c>
      <c r="F46" s="29">
        <v>3240</v>
      </c>
      <c r="G46" s="30">
        <v>80</v>
      </c>
      <c r="H46" s="11"/>
      <c r="I46" s="12">
        <f t="shared" si="0"/>
        <v>0</v>
      </c>
      <c r="J46" s="13">
        <f>IF($F46&gt;0,$I46*$F46,"")</f>
        <v>0</v>
      </c>
    </row>
    <row r="47" spans="1:10" ht="30" customHeight="1" x14ac:dyDescent="0.3">
      <c r="A47" s="24">
        <v>41</v>
      </c>
      <c r="B47" s="25">
        <v>8809962540287</v>
      </c>
      <c r="C47" s="26" t="s">
        <v>213</v>
      </c>
      <c r="D47" s="27" t="s">
        <v>214</v>
      </c>
      <c r="E47" s="28">
        <v>25000</v>
      </c>
      <c r="F47" s="29">
        <v>8560</v>
      </c>
      <c r="G47" s="30">
        <v>20</v>
      </c>
      <c r="H47" s="11"/>
      <c r="I47" s="12">
        <f t="shared" si="0"/>
        <v>0</v>
      </c>
      <c r="J47" s="13">
        <f>IF($F47&gt;0,$I47*$F47,"")</f>
        <v>0</v>
      </c>
    </row>
    <row r="48" spans="1:10" ht="30" customHeight="1" x14ac:dyDescent="0.3">
      <c r="A48" s="24">
        <v>42</v>
      </c>
      <c r="B48" s="25">
        <v>8809962542397</v>
      </c>
      <c r="C48" s="26" t="s">
        <v>215</v>
      </c>
      <c r="D48" s="27" t="s">
        <v>216</v>
      </c>
      <c r="E48" s="28">
        <v>30000</v>
      </c>
      <c r="F48" s="29">
        <v>10101</v>
      </c>
      <c r="G48" s="30">
        <v>30</v>
      </c>
      <c r="H48" s="11"/>
      <c r="I48" s="12">
        <f t="shared" si="0"/>
        <v>0</v>
      </c>
      <c r="J48" s="13">
        <f>IF($F48&gt;0,$I48*$F48,"")</f>
        <v>0</v>
      </c>
    </row>
    <row r="49" spans="1:10" ht="30" customHeight="1" x14ac:dyDescent="0.3">
      <c r="A49" s="24">
        <v>43</v>
      </c>
      <c r="B49" s="25">
        <v>8809962542489</v>
      </c>
      <c r="C49" s="26" t="s">
        <v>217</v>
      </c>
      <c r="D49" s="27" t="s">
        <v>218</v>
      </c>
      <c r="E49" s="28">
        <v>19000</v>
      </c>
      <c r="F49" s="29">
        <v>8891</v>
      </c>
      <c r="G49" s="30">
        <v>40</v>
      </c>
      <c r="H49" s="11"/>
      <c r="I49" s="12">
        <f t="shared" si="0"/>
        <v>0</v>
      </c>
      <c r="J49" s="13">
        <f>IF($F49&gt;0,$I49*$F49,"")</f>
        <v>0</v>
      </c>
    </row>
    <row r="50" spans="1:10" ht="30" customHeight="1" x14ac:dyDescent="0.3">
      <c r="A50" s="24">
        <v>44</v>
      </c>
      <c r="B50" s="25">
        <v>8809962542496</v>
      </c>
      <c r="C50" s="26" t="s">
        <v>219</v>
      </c>
      <c r="D50" s="27" t="s">
        <v>220</v>
      </c>
      <c r="E50" s="28">
        <v>21000</v>
      </c>
      <c r="F50" s="29">
        <v>10091</v>
      </c>
      <c r="G50" s="30">
        <v>50</v>
      </c>
      <c r="H50" s="11"/>
      <c r="I50" s="12">
        <f t="shared" si="0"/>
        <v>0</v>
      </c>
      <c r="J50" s="13">
        <f>IF($F50&gt;0,$I50*$F50,"")</f>
        <v>0</v>
      </c>
    </row>
    <row r="51" spans="1:10" ht="30" customHeight="1" x14ac:dyDescent="0.3">
      <c r="A51" s="24">
        <v>45</v>
      </c>
      <c r="B51" s="25">
        <v>8809962542441</v>
      </c>
      <c r="C51" s="26"/>
      <c r="D51" s="27" t="s">
        <v>221</v>
      </c>
      <c r="E51" s="28">
        <v>22000</v>
      </c>
      <c r="F51" s="29">
        <v>9691</v>
      </c>
      <c r="G51" s="30">
        <v>80</v>
      </c>
      <c r="H51" s="11"/>
      <c r="I51" s="12">
        <f t="shared" si="0"/>
        <v>0</v>
      </c>
      <c r="J51" s="13">
        <f>IF($F51&gt;0,$I51*$F51,"")</f>
        <v>0</v>
      </c>
    </row>
    <row r="52" spans="1:10" ht="30" customHeight="1" x14ac:dyDescent="0.3">
      <c r="A52" s="24">
        <v>46</v>
      </c>
      <c r="B52" s="25">
        <v>8809962543127</v>
      </c>
      <c r="C52" s="26"/>
      <c r="D52" s="27" t="s">
        <v>222</v>
      </c>
      <c r="E52" s="28">
        <v>40000</v>
      </c>
      <c r="F52" s="29">
        <v>13592</v>
      </c>
      <c r="G52" s="30">
        <v>60</v>
      </c>
      <c r="H52" s="11"/>
      <c r="I52" s="12">
        <f t="shared" si="0"/>
        <v>0</v>
      </c>
      <c r="J52" s="13">
        <f>IF($F52&gt;0,$I52*$F52,"")</f>
        <v>0</v>
      </c>
    </row>
    <row r="53" spans="1:10" ht="30" customHeight="1" x14ac:dyDescent="0.3">
      <c r="A53" s="24">
        <v>47</v>
      </c>
      <c r="B53" s="25">
        <v>8809962542885</v>
      </c>
      <c r="C53" s="26"/>
      <c r="D53" s="27" t="s">
        <v>223</v>
      </c>
      <c r="E53" s="28">
        <v>25000</v>
      </c>
      <c r="F53" s="29">
        <v>12618</v>
      </c>
      <c r="G53" s="30">
        <v>40</v>
      </c>
      <c r="H53" s="11"/>
      <c r="I53" s="12">
        <f t="shared" si="0"/>
        <v>0</v>
      </c>
      <c r="J53" s="13">
        <f>IF($F53&gt;0,$I53*$F53,"")</f>
        <v>0</v>
      </c>
    </row>
    <row r="54" spans="1:10" ht="30" customHeight="1" x14ac:dyDescent="0.3">
      <c r="A54" s="24">
        <v>48</v>
      </c>
      <c r="B54" s="25">
        <v>8809962544612</v>
      </c>
      <c r="C54" s="26"/>
      <c r="D54" s="27" t="s">
        <v>224</v>
      </c>
      <c r="E54" s="28">
        <v>22000</v>
      </c>
      <c r="F54" s="29">
        <v>10305</v>
      </c>
      <c r="G54" s="30">
        <v>50</v>
      </c>
      <c r="H54" s="11"/>
      <c r="I54" s="12">
        <f t="shared" si="0"/>
        <v>0</v>
      </c>
      <c r="J54" s="13">
        <f>IF($F54&gt;0,$I54*$F54,"")</f>
        <v>0</v>
      </c>
    </row>
    <row r="55" spans="1:10" ht="30" customHeight="1" x14ac:dyDescent="0.3">
      <c r="A55" s="24">
        <v>49</v>
      </c>
      <c r="B55" s="25">
        <v>8809738605714</v>
      </c>
      <c r="C55" s="26" t="s">
        <v>225</v>
      </c>
      <c r="D55" s="27" t="s">
        <v>226</v>
      </c>
      <c r="E55" s="28">
        <v>24000</v>
      </c>
      <c r="F55" s="29">
        <v>9540</v>
      </c>
      <c r="G55" s="30">
        <v>40</v>
      </c>
      <c r="H55" s="11"/>
      <c r="I55" s="12">
        <f t="shared" si="0"/>
        <v>0</v>
      </c>
      <c r="J55" s="13">
        <f>IF($F55&gt;0,$I55*$F55,"")</f>
        <v>0</v>
      </c>
    </row>
    <row r="56" spans="1:10" ht="30" customHeight="1" x14ac:dyDescent="0.3">
      <c r="A56" s="24">
        <v>50</v>
      </c>
      <c r="B56" s="25">
        <v>8809738605721</v>
      </c>
      <c r="C56" s="26" t="s">
        <v>227</v>
      </c>
      <c r="D56" s="27" t="s">
        <v>228</v>
      </c>
      <c r="E56" s="28">
        <v>32000</v>
      </c>
      <c r="F56" s="29">
        <v>12672</v>
      </c>
      <c r="G56" s="30">
        <v>80</v>
      </c>
      <c r="H56" s="11"/>
      <c r="I56" s="12">
        <f t="shared" si="0"/>
        <v>0</v>
      </c>
      <c r="J56" s="13">
        <f>IF($F56&gt;0,$I56*$F56,"")</f>
        <v>0</v>
      </c>
    </row>
    <row r="57" spans="1:10" ht="30" customHeight="1" x14ac:dyDescent="0.3">
      <c r="A57" s="24">
        <v>51</v>
      </c>
      <c r="B57" s="25">
        <v>8809738593080</v>
      </c>
      <c r="C57" s="26" t="s">
        <v>229</v>
      </c>
      <c r="D57" s="27" t="s">
        <v>230</v>
      </c>
      <c r="E57" s="28">
        <v>15000</v>
      </c>
      <c r="F57" s="29">
        <v>6351</v>
      </c>
      <c r="G57" s="30">
        <v>30</v>
      </c>
      <c r="H57" s="11"/>
      <c r="I57" s="12">
        <f t="shared" si="0"/>
        <v>0</v>
      </c>
      <c r="J57" s="13">
        <f>IF($F57&gt;0,$I57*$F57,"")</f>
        <v>0</v>
      </c>
    </row>
    <row r="58" spans="1:10" ht="30" customHeight="1" x14ac:dyDescent="0.3">
      <c r="A58" s="24">
        <v>52</v>
      </c>
      <c r="B58" s="25">
        <v>8809738593103</v>
      </c>
      <c r="C58" s="26" t="s">
        <v>231</v>
      </c>
      <c r="D58" s="27" t="s">
        <v>232</v>
      </c>
      <c r="E58" s="28">
        <v>28000</v>
      </c>
      <c r="F58" s="29">
        <v>10990</v>
      </c>
      <c r="G58" s="30">
        <v>70</v>
      </c>
      <c r="H58" s="11"/>
      <c r="I58" s="12">
        <f t="shared" si="0"/>
        <v>0</v>
      </c>
      <c r="J58" s="13">
        <f>IF($F58&gt;0,$I58*$F58,"")</f>
        <v>0</v>
      </c>
    </row>
    <row r="59" spans="1:10" ht="30" customHeight="1" x14ac:dyDescent="0.3">
      <c r="A59" s="24">
        <v>53</v>
      </c>
      <c r="B59" s="25">
        <v>8809743544176</v>
      </c>
      <c r="C59" s="26" t="s">
        <v>233</v>
      </c>
      <c r="D59" s="27" t="s">
        <v>234</v>
      </c>
      <c r="E59" s="28">
        <v>10500</v>
      </c>
      <c r="F59" s="29">
        <v>5336</v>
      </c>
      <c r="G59" s="30">
        <v>40</v>
      </c>
      <c r="H59" s="11"/>
      <c r="I59" s="12">
        <f t="shared" si="0"/>
        <v>0</v>
      </c>
      <c r="J59" s="13">
        <f>IF($F59&gt;0,$I59*$F59,"")</f>
        <v>0</v>
      </c>
    </row>
    <row r="60" spans="1:10" ht="30" customHeight="1" x14ac:dyDescent="0.3">
      <c r="A60" s="24">
        <v>54</v>
      </c>
      <c r="B60" s="25">
        <v>8809624723140</v>
      </c>
      <c r="C60" s="26" t="s">
        <v>235</v>
      </c>
      <c r="D60" s="27" t="s">
        <v>236</v>
      </c>
      <c r="E60" s="28">
        <v>30000</v>
      </c>
      <c r="F60" s="29">
        <v>10101</v>
      </c>
      <c r="G60" s="30">
        <v>40</v>
      </c>
      <c r="H60" s="11"/>
      <c r="I60" s="12">
        <f t="shared" si="0"/>
        <v>0</v>
      </c>
      <c r="J60" s="13">
        <f>IF($F60&gt;0,$I60*$F60,"")</f>
        <v>0</v>
      </c>
    </row>
    <row r="61" spans="1:10" x14ac:dyDescent="0.3">
      <c r="A61" s="24">
        <v>55</v>
      </c>
      <c r="B61" s="25">
        <v>8809738593240</v>
      </c>
      <c r="C61" s="26" t="s">
        <v>237</v>
      </c>
      <c r="D61" s="27" t="s">
        <v>238</v>
      </c>
      <c r="E61" s="28">
        <v>28000</v>
      </c>
      <c r="F61" s="29">
        <v>10990</v>
      </c>
      <c r="G61" s="30">
        <v>70</v>
      </c>
      <c r="H61" s="11"/>
      <c r="I61" s="12">
        <f t="shared" ref="I61:I122" si="1">H61*G61</f>
        <v>0</v>
      </c>
      <c r="J61" s="13">
        <f t="shared" ref="J61:J122" si="2">IF($F61&gt;0,$I61*$F61,"")</f>
        <v>0</v>
      </c>
    </row>
    <row r="62" spans="1:10" x14ac:dyDescent="0.3">
      <c r="A62" s="24">
        <v>56</v>
      </c>
      <c r="B62" s="25">
        <v>8809624723133</v>
      </c>
      <c r="C62" s="34" t="s">
        <v>239</v>
      </c>
      <c r="D62" s="34" t="s">
        <v>240</v>
      </c>
      <c r="E62" s="28">
        <v>30000</v>
      </c>
      <c r="F62" s="29">
        <v>10101</v>
      </c>
      <c r="G62" s="30">
        <v>40</v>
      </c>
      <c r="H62" s="11"/>
      <c r="I62" s="12">
        <f t="shared" si="1"/>
        <v>0</v>
      </c>
      <c r="J62" s="13">
        <f t="shared" si="2"/>
        <v>0</v>
      </c>
    </row>
    <row r="63" spans="1:10" x14ac:dyDescent="0.3">
      <c r="A63" s="24">
        <v>57</v>
      </c>
      <c r="B63" s="25">
        <v>8809624726370</v>
      </c>
      <c r="C63" s="34" t="s">
        <v>241</v>
      </c>
      <c r="D63" s="34" t="s">
        <v>242</v>
      </c>
      <c r="E63" s="28">
        <v>24000</v>
      </c>
      <c r="F63" s="29">
        <v>9540</v>
      </c>
      <c r="G63" s="30">
        <v>40</v>
      </c>
      <c r="H63" s="11"/>
      <c r="I63" s="12">
        <f t="shared" si="1"/>
        <v>0</v>
      </c>
      <c r="J63" s="13">
        <f t="shared" si="2"/>
        <v>0</v>
      </c>
    </row>
    <row r="64" spans="1:10" x14ac:dyDescent="0.3">
      <c r="A64" s="24">
        <v>58</v>
      </c>
      <c r="B64" s="25">
        <v>8809624726417</v>
      </c>
      <c r="C64" s="26" t="s">
        <v>243</v>
      </c>
      <c r="D64" s="27" t="s">
        <v>244</v>
      </c>
      <c r="E64" s="28">
        <v>32000</v>
      </c>
      <c r="F64" s="29">
        <v>12672</v>
      </c>
      <c r="G64" s="30">
        <v>80</v>
      </c>
      <c r="H64" s="11"/>
      <c r="I64" s="12">
        <f t="shared" si="1"/>
        <v>0</v>
      </c>
      <c r="J64" s="13">
        <f t="shared" si="2"/>
        <v>0</v>
      </c>
    </row>
    <row r="65" spans="1:10" x14ac:dyDescent="0.3">
      <c r="A65" s="24">
        <v>59</v>
      </c>
      <c r="B65" s="25">
        <v>8809783322369</v>
      </c>
      <c r="C65" s="26" t="s">
        <v>245</v>
      </c>
      <c r="D65" s="27" t="s">
        <v>246</v>
      </c>
      <c r="E65" s="28">
        <v>15000</v>
      </c>
      <c r="F65" s="29">
        <v>6351</v>
      </c>
      <c r="G65" s="30">
        <v>50</v>
      </c>
      <c r="H65" s="11"/>
      <c r="I65" s="12">
        <f t="shared" si="1"/>
        <v>0</v>
      </c>
      <c r="J65" s="13">
        <f t="shared" si="2"/>
        <v>0</v>
      </c>
    </row>
    <row r="66" spans="1:10" x14ac:dyDescent="0.3">
      <c r="A66" s="24">
        <v>60</v>
      </c>
      <c r="B66" s="25">
        <v>8809783322130</v>
      </c>
      <c r="C66" s="26" t="s">
        <v>247</v>
      </c>
      <c r="D66" s="27" t="s">
        <v>248</v>
      </c>
      <c r="E66" s="28">
        <v>23000</v>
      </c>
      <c r="F66" s="29">
        <v>9681</v>
      </c>
      <c r="G66" s="30">
        <v>70</v>
      </c>
      <c r="H66" s="11"/>
      <c r="I66" s="12">
        <f t="shared" si="1"/>
        <v>0</v>
      </c>
      <c r="J66" s="13">
        <f t="shared" si="2"/>
        <v>0</v>
      </c>
    </row>
    <row r="67" spans="1:10" x14ac:dyDescent="0.3">
      <c r="A67" s="24">
        <v>61</v>
      </c>
      <c r="B67" s="25">
        <v>8809962541024</v>
      </c>
      <c r="C67" s="26" t="s">
        <v>249</v>
      </c>
      <c r="D67" s="27" t="s">
        <v>250</v>
      </c>
      <c r="E67" s="28">
        <v>25000</v>
      </c>
      <c r="F67" s="29">
        <v>9420</v>
      </c>
      <c r="G67" s="30">
        <v>30</v>
      </c>
      <c r="H67" s="11"/>
      <c r="I67" s="12">
        <f t="shared" si="1"/>
        <v>0</v>
      </c>
      <c r="J67" s="13">
        <f t="shared" si="2"/>
        <v>0</v>
      </c>
    </row>
    <row r="68" spans="1:10" x14ac:dyDescent="0.3">
      <c r="A68" s="24">
        <v>62</v>
      </c>
      <c r="B68" s="25">
        <v>8809875908075</v>
      </c>
      <c r="C68" s="26" t="s">
        <v>251</v>
      </c>
      <c r="D68" s="27" t="s">
        <v>252</v>
      </c>
      <c r="E68" s="28">
        <v>30000</v>
      </c>
      <c r="F68" s="29">
        <v>10770</v>
      </c>
      <c r="G68" s="30">
        <v>60</v>
      </c>
      <c r="H68" s="11"/>
      <c r="I68" s="12">
        <f t="shared" si="1"/>
        <v>0</v>
      </c>
      <c r="J68" s="13">
        <f t="shared" si="2"/>
        <v>0</v>
      </c>
    </row>
    <row r="69" spans="1:10" x14ac:dyDescent="0.3">
      <c r="A69" s="24">
        <v>63</v>
      </c>
      <c r="B69" s="25">
        <v>8809875907337</v>
      </c>
      <c r="C69" s="26" t="s">
        <v>253</v>
      </c>
      <c r="D69" s="27" t="s">
        <v>254</v>
      </c>
      <c r="E69" s="28">
        <v>34000</v>
      </c>
      <c r="F69" s="29">
        <v>12553</v>
      </c>
      <c r="G69" s="30">
        <v>60</v>
      </c>
      <c r="H69" s="11"/>
      <c r="I69" s="12">
        <f t="shared" si="1"/>
        <v>0</v>
      </c>
      <c r="J69" s="13">
        <f t="shared" si="2"/>
        <v>0</v>
      </c>
    </row>
    <row r="70" spans="1:10" x14ac:dyDescent="0.3">
      <c r="A70" s="24">
        <v>64</v>
      </c>
      <c r="B70" s="25">
        <v>8809849803634</v>
      </c>
      <c r="C70" s="26" t="s">
        <v>255</v>
      </c>
      <c r="D70" s="27" t="s">
        <v>256</v>
      </c>
      <c r="E70" s="28">
        <v>30000</v>
      </c>
      <c r="F70" s="29">
        <v>10101</v>
      </c>
      <c r="G70" s="30">
        <v>40</v>
      </c>
      <c r="H70" s="11"/>
      <c r="I70" s="12">
        <f t="shared" si="1"/>
        <v>0</v>
      </c>
      <c r="J70" s="13">
        <f t="shared" si="2"/>
        <v>0</v>
      </c>
    </row>
    <row r="71" spans="1:10" x14ac:dyDescent="0.3">
      <c r="A71" s="24">
        <v>65</v>
      </c>
      <c r="B71" s="25">
        <v>8809962541963</v>
      </c>
      <c r="C71" s="26" t="s">
        <v>257</v>
      </c>
      <c r="D71" s="27" t="s">
        <v>258</v>
      </c>
      <c r="E71" s="28">
        <v>17000</v>
      </c>
      <c r="F71" s="29">
        <v>6522</v>
      </c>
      <c r="G71" s="30">
        <v>30</v>
      </c>
      <c r="H71" s="11"/>
      <c r="I71" s="12">
        <f t="shared" si="1"/>
        <v>0</v>
      </c>
      <c r="J71" s="13">
        <f t="shared" si="2"/>
        <v>0</v>
      </c>
    </row>
    <row r="72" spans="1:10" x14ac:dyDescent="0.3">
      <c r="A72" s="24">
        <v>66</v>
      </c>
      <c r="B72" s="25">
        <v>8809962541970</v>
      </c>
      <c r="C72" s="26" t="s">
        <v>259</v>
      </c>
      <c r="D72" s="27" t="s">
        <v>260</v>
      </c>
      <c r="E72" s="28">
        <v>25000</v>
      </c>
      <c r="F72" s="29">
        <v>11700</v>
      </c>
      <c r="G72" s="30">
        <v>40</v>
      </c>
      <c r="H72" s="11"/>
      <c r="I72" s="12">
        <f t="shared" si="1"/>
        <v>0</v>
      </c>
      <c r="J72" s="13">
        <f t="shared" si="2"/>
        <v>0</v>
      </c>
    </row>
    <row r="73" spans="1:10" x14ac:dyDescent="0.3">
      <c r="A73" s="24">
        <v>67</v>
      </c>
      <c r="B73" s="25">
        <v>8809962543622</v>
      </c>
      <c r="C73" s="26"/>
      <c r="D73" s="27" t="s">
        <v>261</v>
      </c>
      <c r="E73" s="28">
        <v>36000</v>
      </c>
      <c r="F73" s="29">
        <v>12921</v>
      </c>
      <c r="G73" s="30">
        <v>40</v>
      </c>
      <c r="H73" s="11"/>
      <c r="I73" s="12">
        <f t="shared" si="1"/>
        <v>0</v>
      </c>
      <c r="J73" s="13">
        <f t="shared" si="2"/>
        <v>0</v>
      </c>
    </row>
    <row r="74" spans="1:10" x14ac:dyDescent="0.3">
      <c r="A74" s="24">
        <v>68</v>
      </c>
      <c r="B74" s="25">
        <v>8809783325674</v>
      </c>
      <c r="C74" s="26" t="s">
        <v>262</v>
      </c>
      <c r="D74" s="27" t="s">
        <v>263</v>
      </c>
      <c r="E74" s="28">
        <v>28000</v>
      </c>
      <c r="F74" s="29">
        <v>11282</v>
      </c>
      <c r="G74" s="30">
        <v>60</v>
      </c>
      <c r="H74" s="11"/>
      <c r="I74" s="12">
        <f t="shared" si="1"/>
        <v>0</v>
      </c>
      <c r="J74" s="13">
        <f t="shared" si="2"/>
        <v>0</v>
      </c>
    </row>
    <row r="75" spans="1:10" x14ac:dyDescent="0.3">
      <c r="A75" s="24">
        <v>69</v>
      </c>
      <c r="B75" s="25">
        <v>8809783325667</v>
      </c>
      <c r="C75" s="26" t="s">
        <v>264</v>
      </c>
      <c r="D75" s="27" t="s">
        <v>265</v>
      </c>
      <c r="E75" s="28">
        <v>24000</v>
      </c>
      <c r="F75" s="29">
        <v>9771</v>
      </c>
      <c r="G75" s="30">
        <v>60</v>
      </c>
      <c r="H75" s="11"/>
      <c r="I75" s="12">
        <f t="shared" si="1"/>
        <v>0</v>
      </c>
      <c r="J75" s="13">
        <f t="shared" si="2"/>
        <v>0</v>
      </c>
    </row>
    <row r="76" spans="1:10" x14ac:dyDescent="0.3">
      <c r="A76" s="24">
        <v>70</v>
      </c>
      <c r="B76" s="25">
        <v>8809750462708</v>
      </c>
      <c r="C76" s="26" t="s">
        <v>266</v>
      </c>
      <c r="D76" s="27" t="s">
        <v>267</v>
      </c>
      <c r="E76" s="28">
        <v>25000</v>
      </c>
      <c r="F76" s="29">
        <v>10300</v>
      </c>
      <c r="G76" s="30">
        <v>30</v>
      </c>
      <c r="H76" s="11"/>
      <c r="I76" s="12">
        <f t="shared" si="1"/>
        <v>0</v>
      </c>
      <c r="J76" s="13">
        <f t="shared" si="2"/>
        <v>0</v>
      </c>
    </row>
    <row r="77" spans="1:10" x14ac:dyDescent="0.3">
      <c r="A77" s="24">
        <v>71</v>
      </c>
      <c r="B77" s="25">
        <v>8809783325728</v>
      </c>
      <c r="C77" s="26" t="s">
        <v>268</v>
      </c>
      <c r="D77" s="27" t="s">
        <v>269</v>
      </c>
      <c r="E77" s="28">
        <v>30000</v>
      </c>
      <c r="F77" s="29">
        <v>10101</v>
      </c>
      <c r="G77" s="30">
        <v>40</v>
      </c>
      <c r="H77" s="11"/>
      <c r="I77" s="12">
        <f t="shared" si="1"/>
        <v>0</v>
      </c>
      <c r="J77" s="13">
        <f t="shared" si="2"/>
        <v>0</v>
      </c>
    </row>
    <row r="78" spans="1:10" x14ac:dyDescent="0.3">
      <c r="A78" s="24">
        <v>72</v>
      </c>
      <c r="B78" s="25">
        <v>8809783326718</v>
      </c>
      <c r="C78" s="26" t="s">
        <v>270</v>
      </c>
      <c r="D78" s="27" t="s">
        <v>271</v>
      </c>
      <c r="E78" s="28">
        <v>23000</v>
      </c>
      <c r="F78" s="29">
        <v>9481</v>
      </c>
      <c r="G78" s="30">
        <v>30</v>
      </c>
      <c r="H78" s="11"/>
      <c r="I78" s="12">
        <f t="shared" si="1"/>
        <v>0</v>
      </c>
      <c r="J78" s="13">
        <f t="shared" si="2"/>
        <v>0</v>
      </c>
    </row>
    <row r="79" spans="1:10" x14ac:dyDescent="0.3">
      <c r="A79" s="24">
        <v>73</v>
      </c>
      <c r="B79" s="25">
        <v>8809783326725</v>
      </c>
      <c r="C79" s="26" t="s">
        <v>272</v>
      </c>
      <c r="D79" s="27" t="s">
        <v>273</v>
      </c>
      <c r="E79" s="28">
        <v>25000</v>
      </c>
      <c r="F79" s="29">
        <v>10000</v>
      </c>
      <c r="G79" s="30">
        <v>30</v>
      </c>
      <c r="H79" s="11"/>
      <c r="I79" s="12">
        <f t="shared" si="1"/>
        <v>0</v>
      </c>
      <c r="J79" s="13">
        <f t="shared" si="2"/>
        <v>0</v>
      </c>
    </row>
    <row r="80" spans="1:10" x14ac:dyDescent="0.3">
      <c r="A80" s="24">
        <v>74</v>
      </c>
      <c r="B80" s="25">
        <v>8809864754126</v>
      </c>
      <c r="C80" s="26" t="s">
        <v>274</v>
      </c>
      <c r="D80" s="27" t="s">
        <v>275</v>
      </c>
      <c r="E80" s="28">
        <v>17000</v>
      </c>
      <c r="F80" s="29">
        <v>6522</v>
      </c>
      <c r="G80" s="30">
        <v>30</v>
      </c>
      <c r="H80" s="11"/>
      <c r="I80" s="12">
        <f t="shared" si="1"/>
        <v>0</v>
      </c>
      <c r="J80" s="13">
        <f t="shared" si="2"/>
        <v>0</v>
      </c>
    </row>
    <row r="81" spans="1:10" x14ac:dyDescent="0.3">
      <c r="A81" s="24">
        <v>75</v>
      </c>
      <c r="B81" s="25">
        <v>8809962542793</v>
      </c>
      <c r="C81" s="26"/>
      <c r="D81" s="27" t="s">
        <v>276</v>
      </c>
      <c r="E81" s="28">
        <v>24000</v>
      </c>
      <c r="F81" s="29">
        <v>8681</v>
      </c>
      <c r="G81" s="30">
        <v>50</v>
      </c>
      <c r="H81" s="11"/>
      <c r="I81" s="12">
        <f t="shared" si="1"/>
        <v>0</v>
      </c>
      <c r="J81" s="13">
        <f t="shared" si="2"/>
        <v>0</v>
      </c>
    </row>
    <row r="82" spans="1:10" x14ac:dyDescent="0.3">
      <c r="A82" s="24">
        <v>76</v>
      </c>
      <c r="B82" s="25">
        <v>8809849802408</v>
      </c>
      <c r="C82" s="26" t="s">
        <v>277</v>
      </c>
      <c r="D82" s="27" t="s">
        <v>278</v>
      </c>
      <c r="E82" s="28">
        <v>21000</v>
      </c>
      <c r="F82" s="29">
        <v>7712</v>
      </c>
      <c r="G82" s="30">
        <v>40</v>
      </c>
      <c r="H82" s="11"/>
      <c r="I82" s="12">
        <f t="shared" si="1"/>
        <v>0</v>
      </c>
      <c r="J82" s="13">
        <f t="shared" si="2"/>
        <v>0</v>
      </c>
    </row>
    <row r="83" spans="1:10" ht="27" x14ac:dyDescent="0.3">
      <c r="A83" s="24">
        <v>77</v>
      </c>
      <c r="B83" s="25">
        <v>8809962540294</v>
      </c>
      <c r="C83" s="26" t="s">
        <v>279</v>
      </c>
      <c r="D83" s="27" t="s">
        <v>280</v>
      </c>
      <c r="E83" s="28">
        <v>25000</v>
      </c>
      <c r="F83" s="29">
        <v>8560</v>
      </c>
      <c r="G83" s="30">
        <v>20</v>
      </c>
      <c r="H83" s="11"/>
      <c r="I83" s="12">
        <f t="shared" si="1"/>
        <v>0</v>
      </c>
      <c r="J83" s="13">
        <f t="shared" si="2"/>
        <v>0</v>
      </c>
    </row>
    <row r="84" spans="1:10" x14ac:dyDescent="0.3">
      <c r="A84" s="24">
        <v>78</v>
      </c>
      <c r="B84" s="25">
        <v>8809962542137</v>
      </c>
      <c r="C84" s="26" t="s">
        <v>281</v>
      </c>
      <c r="D84" s="27" t="s">
        <v>282</v>
      </c>
      <c r="E84" s="28">
        <v>34000</v>
      </c>
      <c r="F84" s="29">
        <v>11894</v>
      </c>
      <c r="G84" s="30">
        <v>60</v>
      </c>
      <c r="H84" s="11"/>
      <c r="I84" s="12">
        <f t="shared" si="1"/>
        <v>0</v>
      </c>
      <c r="J84" s="13">
        <f t="shared" si="2"/>
        <v>0</v>
      </c>
    </row>
    <row r="85" spans="1:10" x14ac:dyDescent="0.3">
      <c r="A85" s="24">
        <v>79</v>
      </c>
      <c r="B85" s="25">
        <v>8809962542403</v>
      </c>
      <c r="C85" s="26" t="s">
        <v>283</v>
      </c>
      <c r="D85" s="27" t="s">
        <v>284</v>
      </c>
      <c r="E85" s="28">
        <v>24000</v>
      </c>
      <c r="F85" s="29">
        <v>9651</v>
      </c>
      <c r="G85" s="30">
        <v>50</v>
      </c>
      <c r="H85" s="11"/>
      <c r="I85" s="12">
        <f t="shared" si="1"/>
        <v>0</v>
      </c>
      <c r="J85" s="13">
        <f t="shared" si="2"/>
        <v>0</v>
      </c>
    </row>
    <row r="86" spans="1:10" x14ac:dyDescent="0.3">
      <c r="A86" s="24">
        <v>80</v>
      </c>
      <c r="B86" s="25">
        <v>8809962543103</v>
      </c>
      <c r="C86" s="26"/>
      <c r="D86" s="27" t="s">
        <v>285</v>
      </c>
      <c r="E86" s="28">
        <v>24000</v>
      </c>
      <c r="F86" s="29">
        <v>9780</v>
      </c>
      <c r="G86" s="30">
        <v>50</v>
      </c>
      <c r="H86" s="11"/>
      <c r="I86" s="12">
        <f t="shared" si="1"/>
        <v>0</v>
      </c>
      <c r="J86" s="13">
        <f t="shared" si="2"/>
        <v>0</v>
      </c>
    </row>
    <row r="87" spans="1:10" x14ac:dyDescent="0.3">
      <c r="A87" s="24">
        <v>81</v>
      </c>
      <c r="B87" s="25">
        <v>8809962543097</v>
      </c>
      <c r="C87" s="26"/>
      <c r="D87" s="27" t="s">
        <v>286</v>
      </c>
      <c r="E87" s="28">
        <v>24000</v>
      </c>
      <c r="F87" s="29">
        <v>9281</v>
      </c>
      <c r="G87" s="30">
        <v>50</v>
      </c>
      <c r="H87" s="11"/>
      <c r="I87" s="12">
        <f t="shared" si="1"/>
        <v>0</v>
      </c>
      <c r="J87" s="13">
        <f t="shared" si="2"/>
        <v>0</v>
      </c>
    </row>
    <row r="88" spans="1:10" x14ac:dyDescent="0.3">
      <c r="A88" s="24">
        <v>82</v>
      </c>
      <c r="B88" s="25">
        <v>8809962541475</v>
      </c>
      <c r="C88" s="26"/>
      <c r="D88" s="27" t="s">
        <v>287</v>
      </c>
      <c r="E88" s="28">
        <v>23000</v>
      </c>
      <c r="F88" s="29">
        <v>9187</v>
      </c>
      <c r="G88" s="30">
        <v>80</v>
      </c>
      <c r="H88" s="11"/>
      <c r="I88" s="12">
        <f t="shared" si="1"/>
        <v>0</v>
      </c>
      <c r="J88" s="13">
        <f t="shared" si="2"/>
        <v>0</v>
      </c>
    </row>
    <row r="89" spans="1:10" x14ac:dyDescent="0.3">
      <c r="A89" s="24">
        <v>83</v>
      </c>
      <c r="B89" s="25">
        <v>8809962541345</v>
      </c>
      <c r="C89" s="26"/>
      <c r="D89" s="27" t="s">
        <v>288</v>
      </c>
      <c r="E89" s="28">
        <v>24000</v>
      </c>
      <c r="F89" s="29">
        <v>9281</v>
      </c>
      <c r="G89" s="30">
        <v>30</v>
      </c>
      <c r="H89" s="11"/>
      <c r="I89" s="12">
        <f t="shared" si="1"/>
        <v>0</v>
      </c>
      <c r="J89" s="13">
        <f t="shared" si="2"/>
        <v>0</v>
      </c>
    </row>
    <row r="90" spans="1:10" x14ac:dyDescent="0.3">
      <c r="A90" s="24">
        <v>84</v>
      </c>
      <c r="B90" s="25">
        <v>8809962541352</v>
      </c>
      <c r="C90" s="26"/>
      <c r="D90" s="27" t="s">
        <v>289</v>
      </c>
      <c r="E90" s="28">
        <v>21000</v>
      </c>
      <c r="F90" s="29">
        <v>6796</v>
      </c>
      <c r="G90" s="30">
        <v>40</v>
      </c>
      <c r="H90" s="11"/>
      <c r="I90" s="12">
        <f t="shared" si="1"/>
        <v>0</v>
      </c>
      <c r="J90" s="13">
        <f t="shared" si="2"/>
        <v>0</v>
      </c>
    </row>
    <row r="91" spans="1:10" x14ac:dyDescent="0.3">
      <c r="A91" s="24">
        <v>85</v>
      </c>
      <c r="B91" s="25">
        <v>8809849803979</v>
      </c>
      <c r="C91" s="26"/>
      <c r="D91" s="27" t="s">
        <v>290</v>
      </c>
      <c r="E91" s="28">
        <v>16500</v>
      </c>
      <c r="F91" s="29">
        <v>5569</v>
      </c>
      <c r="G91" s="30">
        <v>40</v>
      </c>
      <c r="H91" s="11"/>
      <c r="I91" s="12">
        <f t="shared" si="1"/>
        <v>0</v>
      </c>
      <c r="J91" s="13">
        <f t="shared" si="2"/>
        <v>0</v>
      </c>
    </row>
    <row r="92" spans="1:10" x14ac:dyDescent="0.3">
      <c r="A92" s="24">
        <v>86</v>
      </c>
      <c r="B92" s="25">
        <v>8809962542892</v>
      </c>
      <c r="C92" s="26"/>
      <c r="D92" s="27" t="s">
        <v>291</v>
      </c>
      <c r="E92" s="28">
        <v>27000</v>
      </c>
      <c r="F92" s="29">
        <v>12167</v>
      </c>
      <c r="G92" s="30">
        <v>40</v>
      </c>
      <c r="H92" s="11"/>
      <c r="I92" s="12">
        <f t="shared" si="1"/>
        <v>0</v>
      </c>
      <c r="J92" s="13">
        <f t="shared" si="2"/>
        <v>0</v>
      </c>
    </row>
    <row r="93" spans="1:10" x14ac:dyDescent="0.3">
      <c r="A93" s="35">
        <v>87</v>
      </c>
      <c r="B93" s="36">
        <v>8809962543356</v>
      </c>
      <c r="C93" s="37"/>
      <c r="D93" s="37" t="s">
        <v>292</v>
      </c>
      <c r="E93" s="38" t="s">
        <v>132</v>
      </c>
      <c r="F93" s="39">
        <v>0</v>
      </c>
      <c r="G93" s="40">
        <v>0</v>
      </c>
      <c r="H93" s="11"/>
      <c r="I93" s="12">
        <f t="shared" si="1"/>
        <v>0</v>
      </c>
      <c r="J93" s="13" t="str">
        <f t="shared" si="2"/>
        <v/>
      </c>
    </row>
    <row r="94" spans="1:10" x14ac:dyDescent="0.3">
      <c r="A94" s="24">
        <v>88</v>
      </c>
      <c r="B94" s="25">
        <v>8809962544353</v>
      </c>
      <c r="C94" s="26"/>
      <c r="D94" s="27" t="s">
        <v>293</v>
      </c>
      <c r="E94" s="28">
        <v>28000</v>
      </c>
      <c r="F94" s="29">
        <v>12298</v>
      </c>
      <c r="G94" s="30">
        <v>60</v>
      </c>
      <c r="H94" s="11"/>
      <c r="I94" s="12">
        <f t="shared" si="1"/>
        <v>0</v>
      </c>
      <c r="J94" s="13">
        <f t="shared" si="2"/>
        <v>0</v>
      </c>
    </row>
    <row r="95" spans="1:10" x14ac:dyDescent="0.3">
      <c r="A95" s="24">
        <v>89</v>
      </c>
      <c r="B95" s="25">
        <v>8809962540652</v>
      </c>
      <c r="C95" s="26" t="s">
        <v>294</v>
      </c>
      <c r="D95" s="27" t="s">
        <v>295</v>
      </c>
      <c r="E95" s="28">
        <v>28000</v>
      </c>
      <c r="F95" s="29">
        <v>9621</v>
      </c>
      <c r="G95" s="30">
        <v>60</v>
      </c>
      <c r="H95" s="11"/>
      <c r="I95" s="12">
        <f t="shared" si="1"/>
        <v>0</v>
      </c>
      <c r="J95" s="13">
        <f t="shared" si="2"/>
        <v>0</v>
      </c>
    </row>
    <row r="96" spans="1:10" x14ac:dyDescent="0.3">
      <c r="A96" s="24">
        <v>90</v>
      </c>
      <c r="B96" s="25">
        <v>8809962540690</v>
      </c>
      <c r="C96" s="26" t="s">
        <v>296</v>
      </c>
      <c r="D96" s="27" t="s">
        <v>297</v>
      </c>
      <c r="E96" s="28">
        <v>30000</v>
      </c>
      <c r="F96" s="29">
        <v>10242</v>
      </c>
      <c r="G96" s="30">
        <v>60</v>
      </c>
      <c r="H96" s="11"/>
      <c r="I96" s="12">
        <f t="shared" si="1"/>
        <v>0</v>
      </c>
      <c r="J96" s="13">
        <f t="shared" si="2"/>
        <v>0</v>
      </c>
    </row>
    <row r="97" spans="1:10" x14ac:dyDescent="0.3">
      <c r="A97" s="24">
        <v>91</v>
      </c>
      <c r="B97" s="25">
        <v>8809962540775</v>
      </c>
      <c r="C97" s="26" t="s">
        <v>298</v>
      </c>
      <c r="D97" s="27" t="s">
        <v>299</v>
      </c>
      <c r="E97" s="28">
        <v>40000</v>
      </c>
      <c r="F97" s="29">
        <v>11000</v>
      </c>
      <c r="G97" s="30">
        <v>40</v>
      </c>
      <c r="H97" s="11"/>
      <c r="I97" s="12">
        <f t="shared" si="1"/>
        <v>0</v>
      </c>
      <c r="J97" s="13">
        <f t="shared" si="2"/>
        <v>0</v>
      </c>
    </row>
    <row r="98" spans="1:10" x14ac:dyDescent="0.3">
      <c r="A98" s="24">
        <v>92</v>
      </c>
      <c r="B98" s="25">
        <v>8809962542946</v>
      </c>
      <c r="C98" s="26"/>
      <c r="D98" s="27" t="s">
        <v>300</v>
      </c>
      <c r="E98" s="28">
        <v>38000</v>
      </c>
      <c r="F98" s="29">
        <v>12419</v>
      </c>
      <c r="G98" s="30">
        <v>80</v>
      </c>
      <c r="H98" s="11"/>
      <c r="I98" s="12">
        <f t="shared" si="1"/>
        <v>0</v>
      </c>
      <c r="J98" s="13">
        <f t="shared" si="2"/>
        <v>0</v>
      </c>
    </row>
    <row r="99" spans="1:10" x14ac:dyDescent="0.3">
      <c r="A99" s="24">
        <v>93</v>
      </c>
      <c r="B99" s="25">
        <v>8809962540584</v>
      </c>
      <c r="C99" s="26" t="s">
        <v>301</v>
      </c>
      <c r="D99" s="27" t="s">
        <v>302</v>
      </c>
      <c r="E99" s="28">
        <v>25000</v>
      </c>
      <c r="F99" s="29">
        <v>8570</v>
      </c>
      <c r="G99" s="30">
        <v>30</v>
      </c>
      <c r="H99" s="11"/>
      <c r="I99" s="12">
        <f t="shared" si="1"/>
        <v>0</v>
      </c>
      <c r="J99" s="13">
        <f t="shared" si="2"/>
        <v>0</v>
      </c>
    </row>
    <row r="100" spans="1:10" x14ac:dyDescent="0.3">
      <c r="A100" s="24">
        <v>94</v>
      </c>
      <c r="B100" s="25">
        <v>8809962540591</v>
      </c>
      <c r="C100" s="26" t="s">
        <v>303</v>
      </c>
      <c r="D100" s="27" t="s">
        <v>304</v>
      </c>
      <c r="E100" s="28">
        <v>35000</v>
      </c>
      <c r="F100" s="29">
        <v>11421</v>
      </c>
      <c r="G100" s="30">
        <v>30</v>
      </c>
      <c r="H100" s="11"/>
      <c r="I100" s="12">
        <f t="shared" si="1"/>
        <v>0</v>
      </c>
      <c r="J100" s="13">
        <f t="shared" si="2"/>
        <v>0</v>
      </c>
    </row>
    <row r="101" spans="1:10" x14ac:dyDescent="0.3">
      <c r="A101" s="24">
        <v>95</v>
      </c>
      <c r="B101" s="25">
        <v>8809962540539</v>
      </c>
      <c r="C101" s="26" t="s">
        <v>305</v>
      </c>
      <c r="D101" s="27" t="s">
        <v>306</v>
      </c>
      <c r="E101" s="28">
        <v>1500</v>
      </c>
      <c r="F101" s="29">
        <v>1116</v>
      </c>
      <c r="G101" s="30">
        <v>12</v>
      </c>
      <c r="H101" s="11"/>
      <c r="I101" s="12">
        <f t="shared" si="1"/>
        <v>0</v>
      </c>
      <c r="J101" s="13">
        <f t="shared" si="2"/>
        <v>0</v>
      </c>
    </row>
    <row r="102" spans="1:10" x14ac:dyDescent="0.3">
      <c r="A102" s="24">
        <v>96</v>
      </c>
      <c r="B102" s="25">
        <v>8809962540805</v>
      </c>
      <c r="C102" s="26" t="s">
        <v>307</v>
      </c>
      <c r="D102" s="27" t="s">
        <v>308</v>
      </c>
      <c r="E102" s="28">
        <v>26000</v>
      </c>
      <c r="F102" s="29">
        <v>10010</v>
      </c>
      <c r="G102" s="30">
        <v>40</v>
      </c>
      <c r="H102" s="11"/>
      <c r="I102" s="12">
        <f t="shared" si="1"/>
        <v>0</v>
      </c>
      <c r="J102" s="13">
        <f t="shared" si="2"/>
        <v>0</v>
      </c>
    </row>
    <row r="103" spans="1:10" x14ac:dyDescent="0.3">
      <c r="A103" s="24">
        <v>97</v>
      </c>
      <c r="B103" s="25">
        <v>8809962540812</v>
      </c>
      <c r="C103" s="26" t="s">
        <v>309</v>
      </c>
      <c r="D103" s="27" t="s">
        <v>310</v>
      </c>
      <c r="E103" s="28">
        <v>18000</v>
      </c>
      <c r="F103" s="29">
        <v>5822</v>
      </c>
      <c r="G103" s="30">
        <v>40</v>
      </c>
      <c r="H103" s="11"/>
      <c r="I103" s="12">
        <f t="shared" si="1"/>
        <v>0</v>
      </c>
      <c r="J103" s="13">
        <f t="shared" si="2"/>
        <v>0</v>
      </c>
    </row>
    <row r="104" spans="1:10" x14ac:dyDescent="0.3">
      <c r="A104" s="24">
        <v>98</v>
      </c>
      <c r="B104" s="25">
        <v>8809962541048</v>
      </c>
      <c r="C104" s="26" t="s">
        <v>311</v>
      </c>
      <c r="D104" s="27" t="s">
        <v>312</v>
      </c>
      <c r="E104" s="28">
        <v>26000</v>
      </c>
      <c r="F104" s="29">
        <v>8703</v>
      </c>
      <c r="G104" s="30">
        <v>50</v>
      </c>
      <c r="H104" s="11"/>
      <c r="I104" s="12">
        <f t="shared" si="1"/>
        <v>0</v>
      </c>
      <c r="J104" s="13">
        <f t="shared" si="2"/>
        <v>0</v>
      </c>
    </row>
    <row r="105" spans="1:10" x14ac:dyDescent="0.3">
      <c r="A105" s="24">
        <v>99</v>
      </c>
      <c r="B105" s="25">
        <v>8809962541031</v>
      </c>
      <c r="C105" s="26" t="s">
        <v>313</v>
      </c>
      <c r="D105" s="27" t="s">
        <v>314</v>
      </c>
      <c r="E105" s="28">
        <v>28000</v>
      </c>
      <c r="F105" s="29">
        <v>9170</v>
      </c>
      <c r="G105" s="30">
        <v>100</v>
      </c>
      <c r="H105" s="11"/>
      <c r="I105" s="12">
        <f t="shared" si="1"/>
        <v>0</v>
      </c>
      <c r="J105" s="13">
        <f t="shared" si="2"/>
        <v>0</v>
      </c>
    </row>
    <row r="106" spans="1:10" x14ac:dyDescent="0.3">
      <c r="A106" s="24">
        <v>100</v>
      </c>
      <c r="B106" s="25">
        <v>8809962541284</v>
      </c>
      <c r="C106" s="26" t="s">
        <v>315</v>
      </c>
      <c r="D106" s="27" t="s">
        <v>316</v>
      </c>
      <c r="E106" s="28">
        <v>32000</v>
      </c>
      <c r="F106" s="29">
        <v>11191</v>
      </c>
      <c r="G106" s="30">
        <v>40</v>
      </c>
      <c r="H106" s="11"/>
      <c r="I106" s="12">
        <f t="shared" si="1"/>
        <v>0</v>
      </c>
      <c r="J106" s="13">
        <f t="shared" si="2"/>
        <v>0</v>
      </c>
    </row>
    <row r="107" spans="1:10" x14ac:dyDescent="0.3">
      <c r="A107" s="24">
        <v>101</v>
      </c>
      <c r="B107" s="25">
        <v>8809962541383</v>
      </c>
      <c r="C107" s="26" t="s">
        <v>317</v>
      </c>
      <c r="D107" s="27" t="s">
        <v>318</v>
      </c>
      <c r="E107" s="28">
        <v>24000</v>
      </c>
      <c r="F107" s="29">
        <v>9072</v>
      </c>
      <c r="G107" s="30">
        <v>30</v>
      </c>
      <c r="H107" s="11"/>
      <c r="I107" s="12">
        <f t="shared" si="1"/>
        <v>0</v>
      </c>
      <c r="J107" s="13">
        <f t="shared" si="2"/>
        <v>0</v>
      </c>
    </row>
    <row r="108" spans="1:10" x14ac:dyDescent="0.3">
      <c r="A108" s="24">
        <v>102</v>
      </c>
      <c r="B108" s="25">
        <v>8809962541857</v>
      </c>
      <c r="C108" s="26" t="s">
        <v>319</v>
      </c>
      <c r="D108" s="27" t="s">
        <v>320</v>
      </c>
      <c r="E108" s="28">
        <v>35000</v>
      </c>
      <c r="F108" s="29">
        <v>12152</v>
      </c>
      <c r="G108" s="30">
        <v>60</v>
      </c>
      <c r="H108" s="11"/>
      <c r="I108" s="12">
        <f t="shared" si="1"/>
        <v>0</v>
      </c>
      <c r="J108" s="13">
        <f t="shared" si="2"/>
        <v>0</v>
      </c>
    </row>
    <row r="109" spans="1:10" x14ac:dyDescent="0.3">
      <c r="A109" s="24">
        <v>103</v>
      </c>
      <c r="B109" s="25">
        <v>8809962541840</v>
      </c>
      <c r="C109" s="26" t="s">
        <v>321</v>
      </c>
      <c r="D109" s="27" t="s">
        <v>322</v>
      </c>
      <c r="E109" s="28">
        <v>38000</v>
      </c>
      <c r="F109" s="29">
        <v>12081</v>
      </c>
      <c r="G109" s="30">
        <v>80</v>
      </c>
      <c r="H109" s="11"/>
      <c r="I109" s="12">
        <f t="shared" si="1"/>
        <v>0</v>
      </c>
      <c r="J109" s="13">
        <f t="shared" si="2"/>
        <v>0</v>
      </c>
    </row>
    <row r="110" spans="1:10" x14ac:dyDescent="0.3">
      <c r="A110" s="24">
        <v>104</v>
      </c>
      <c r="B110" s="25">
        <v>8809962542212</v>
      </c>
      <c r="C110" s="26" t="s">
        <v>323</v>
      </c>
      <c r="D110" s="27" t="s">
        <v>324</v>
      </c>
      <c r="E110" s="28">
        <v>28000</v>
      </c>
      <c r="F110" s="29">
        <v>10612</v>
      </c>
      <c r="G110" s="30">
        <v>50</v>
      </c>
      <c r="H110" s="11"/>
      <c r="I110" s="12">
        <f t="shared" si="1"/>
        <v>0</v>
      </c>
      <c r="J110" s="13">
        <f t="shared" si="2"/>
        <v>0</v>
      </c>
    </row>
    <row r="111" spans="1:10" x14ac:dyDescent="0.3">
      <c r="A111" s="24">
        <v>105</v>
      </c>
      <c r="B111" s="25">
        <v>8809962542861</v>
      </c>
      <c r="C111" s="26" t="s">
        <v>325</v>
      </c>
      <c r="D111" s="27" t="s">
        <v>326</v>
      </c>
      <c r="E111" s="28">
        <v>24000</v>
      </c>
      <c r="F111" s="29">
        <v>8631</v>
      </c>
      <c r="G111" s="30">
        <v>50</v>
      </c>
      <c r="H111" s="11"/>
      <c r="I111" s="12">
        <f t="shared" si="1"/>
        <v>0</v>
      </c>
      <c r="J111" s="13">
        <f t="shared" si="2"/>
        <v>0</v>
      </c>
    </row>
    <row r="112" spans="1:10" x14ac:dyDescent="0.3">
      <c r="A112" s="24">
        <v>106</v>
      </c>
      <c r="B112" s="25">
        <v>8809962542366</v>
      </c>
      <c r="C112" s="26"/>
      <c r="D112" s="27" t="s">
        <v>327</v>
      </c>
      <c r="E112" s="28">
        <v>28000</v>
      </c>
      <c r="F112" s="29">
        <v>10467</v>
      </c>
      <c r="G112" s="30">
        <v>30</v>
      </c>
      <c r="H112" s="11"/>
      <c r="I112" s="12">
        <f t="shared" si="1"/>
        <v>0</v>
      </c>
      <c r="J112" s="13">
        <f t="shared" si="2"/>
        <v>0</v>
      </c>
    </row>
    <row r="113" spans="1:10" x14ac:dyDescent="0.3">
      <c r="A113" s="24">
        <v>107</v>
      </c>
      <c r="B113" s="25">
        <v>8809962544162</v>
      </c>
      <c r="C113" s="26"/>
      <c r="D113" s="27" t="s">
        <v>328</v>
      </c>
      <c r="E113" s="28">
        <v>28000</v>
      </c>
      <c r="F113" s="29">
        <v>10461</v>
      </c>
      <c r="G113" s="30">
        <v>100</v>
      </c>
      <c r="H113" s="11"/>
      <c r="I113" s="12">
        <f t="shared" si="1"/>
        <v>0</v>
      </c>
      <c r="J113" s="13">
        <f t="shared" si="2"/>
        <v>0</v>
      </c>
    </row>
    <row r="114" spans="1:10" x14ac:dyDescent="0.3">
      <c r="A114" s="24">
        <v>108</v>
      </c>
      <c r="B114" s="25">
        <v>8809962543547</v>
      </c>
      <c r="C114" s="26"/>
      <c r="D114" s="27" t="s">
        <v>329</v>
      </c>
      <c r="E114" s="28">
        <v>28000</v>
      </c>
      <c r="F114" s="29">
        <v>10467</v>
      </c>
      <c r="G114" s="30">
        <v>50</v>
      </c>
      <c r="H114" s="11"/>
      <c r="I114" s="12">
        <f t="shared" si="1"/>
        <v>0</v>
      </c>
      <c r="J114" s="13">
        <f t="shared" si="2"/>
        <v>0</v>
      </c>
    </row>
    <row r="115" spans="1:10" x14ac:dyDescent="0.3">
      <c r="A115" s="24">
        <v>109</v>
      </c>
      <c r="B115" s="25">
        <v>8809962543646</v>
      </c>
      <c r="C115" s="26"/>
      <c r="D115" s="27" t="s">
        <v>330</v>
      </c>
      <c r="E115" s="28">
        <v>23000</v>
      </c>
      <c r="F115" s="29">
        <v>12138</v>
      </c>
      <c r="G115" s="30">
        <v>40</v>
      </c>
      <c r="H115" s="11"/>
      <c r="I115" s="12">
        <f t="shared" si="1"/>
        <v>0</v>
      </c>
      <c r="J115" s="13">
        <f t="shared" si="2"/>
        <v>0</v>
      </c>
    </row>
    <row r="116" spans="1:10" x14ac:dyDescent="0.3">
      <c r="A116" s="24">
        <v>110</v>
      </c>
      <c r="B116" s="25">
        <v>8809962541222</v>
      </c>
      <c r="C116" s="26" t="s">
        <v>331</v>
      </c>
      <c r="D116" s="27" t="s">
        <v>332</v>
      </c>
      <c r="E116" s="28">
        <v>24000</v>
      </c>
      <c r="F116" s="29">
        <v>8902</v>
      </c>
      <c r="G116" s="30">
        <v>50</v>
      </c>
      <c r="H116" s="11"/>
      <c r="I116" s="12">
        <f t="shared" si="1"/>
        <v>0</v>
      </c>
      <c r="J116" s="13">
        <f t="shared" si="2"/>
        <v>0</v>
      </c>
    </row>
    <row r="117" spans="1:10" x14ac:dyDescent="0.3">
      <c r="A117" s="24">
        <v>111</v>
      </c>
      <c r="B117" s="25">
        <v>8809962541239</v>
      </c>
      <c r="C117" s="26" t="s">
        <v>333</v>
      </c>
      <c r="D117" s="27" t="s">
        <v>334</v>
      </c>
      <c r="E117" s="28">
        <v>24000</v>
      </c>
      <c r="F117" s="29">
        <v>8902</v>
      </c>
      <c r="G117" s="30">
        <v>50</v>
      </c>
      <c r="H117" s="11"/>
      <c r="I117" s="12">
        <f t="shared" si="1"/>
        <v>0</v>
      </c>
      <c r="J117" s="13">
        <f t="shared" si="2"/>
        <v>0</v>
      </c>
    </row>
    <row r="118" spans="1:10" x14ac:dyDescent="0.3">
      <c r="A118" s="24">
        <v>112</v>
      </c>
      <c r="B118" s="25">
        <v>8809962541246</v>
      </c>
      <c r="C118" s="26" t="s">
        <v>335</v>
      </c>
      <c r="D118" s="27" t="s">
        <v>336</v>
      </c>
      <c r="E118" s="28">
        <v>26000</v>
      </c>
      <c r="F118" s="29">
        <v>9311</v>
      </c>
      <c r="G118" s="30">
        <v>50</v>
      </c>
      <c r="H118" s="11"/>
      <c r="I118" s="12">
        <f t="shared" si="1"/>
        <v>0</v>
      </c>
      <c r="J118" s="13">
        <f t="shared" si="2"/>
        <v>0</v>
      </c>
    </row>
    <row r="119" spans="1:10" x14ac:dyDescent="0.3">
      <c r="A119" s="24">
        <v>113</v>
      </c>
      <c r="B119" s="25">
        <v>8809962541635</v>
      </c>
      <c r="C119" s="26" t="s">
        <v>337</v>
      </c>
      <c r="D119" s="27" t="s">
        <v>338</v>
      </c>
      <c r="E119" s="28">
        <v>25000</v>
      </c>
      <c r="F119" s="29">
        <v>8910</v>
      </c>
      <c r="G119" s="30">
        <v>50</v>
      </c>
      <c r="H119" s="11"/>
      <c r="I119" s="12">
        <f t="shared" si="1"/>
        <v>0</v>
      </c>
      <c r="J119" s="13">
        <f t="shared" si="2"/>
        <v>0</v>
      </c>
    </row>
    <row r="120" spans="1:10" x14ac:dyDescent="0.3">
      <c r="A120" s="24">
        <v>114</v>
      </c>
      <c r="B120" s="25">
        <v>8809962541628</v>
      </c>
      <c r="C120" s="26" t="s">
        <v>339</v>
      </c>
      <c r="D120" s="27" t="s">
        <v>340</v>
      </c>
      <c r="E120" s="28">
        <v>25000</v>
      </c>
      <c r="F120" s="29">
        <v>8950</v>
      </c>
      <c r="G120" s="30">
        <v>50</v>
      </c>
      <c r="H120" s="11"/>
      <c r="I120" s="12">
        <f t="shared" si="1"/>
        <v>0</v>
      </c>
      <c r="J120" s="13">
        <f t="shared" si="2"/>
        <v>0</v>
      </c>
    </row>
    <row r="121" spans="1:10" x14ac:dyDescent="0.3">
      <c r="A121" s="24">
        <v>115</v>
      </c>
      <c r="B121" s="25">
        <v>8809962541642</v>
      </c>
      <c r="C121" s="26" t="s">
        <v>341</v>
      </c>
      <c r="D121" s="27" t="s">
        <v>342</v>
      </c>
      <c r="E121" s="28">
        <v>27000</v>
      </c>
      <c r="F121" s="29">
        <v>9321</v>
      </c>
      <c r="G121" s="30">
        <v>50</v>
      </c>
      <c r="H121" s="11"/>
      <c r="I121" s="12">
        <f t="shared" si="1"/>
        <v>0</v>
      </c>
      <c r="J121" s="13">
        <f t="shared" si="2"/>
        <v>0</v>
      </c>
    </row>
    <row r="122" spans="1:10" ht="17.25" thickBot="1" x14ac:dyDescent="0.35">
      <c r="A122" s="41">
        <v>116</v>
      </c>
      <c r="B122" s="42">
        <v>8809962540553</v>
      </c>
      <c r="C122" s="43" t="s">
        <v>343</v>
      </c>
      <c r="D122" s="44" t="s">
        <v>344</v>
      </c>
      <c r="E122" s="45">
        <v>10000</v>
      </c>
      <c r="F122" s="46">
        <v>5750</v>
      </c>
      <c r="G122" s="47">
        <v>100</v>
      </c>
      <c r="H122" s="11"/>
      <c r="I122" s="12">
        <f t="shared" si="1"/>
        <v>0</v>
      </c>
      <c r="J122" s="13">
        <f t="shared" si="2"/>
        <v>0</v>
      </c>
    </row>
  </sheetData>
  <mergeCells count="2">
    <mergeCell ref="A1:C1"/>
    <mergeCell ref="E6:F6"/>
  </mergeCells>
  <phoneticPr fontId="2" type="noConversion"/>
  <conditionalFormatting sqref="E5:F5 H5:J5 A5:D6 G5:G6 E6:J6">
    <cfRule type="expression" dxfId="5" priority="5">
      <formula>#REF!="품절"</formula>
    </cfRule>
    <cfRule type="expression" dxfId="4" priority="6">
      <formula>#REF!="단종"</formula>
    </cfRule>
  </conditionalFormatting>
  <conditionalFormatting sqref="I7:J60">
    <cfRule type="expression" dxfId="3" priority="3">
      <formula>#REF!="품절"</formula>
    </cfRule>
    <cfRule type="expression" dxfId="2" priority="4">
      <formula>#REF!="단종"</formula>
    </cfRule>
  </conditionalFormatting>
  <conditionalFormatting sqref="I61:J122">
    <cfRule type="expression" dxfId="1" priority="1">
      <formula>#REF!="품절"</formula>
    </cfRule>
    <cfRule type="expression" dxfId="0" priority="2">
      <formula>#REF!="단종"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 Sun</dc:creator>
  <cp:lastModifiedBy>GIHUN SONG</cp:lastModifiedBy>
  <dcterms:created xsi:type="dcterms:W3CDTF">2026-01-07T03:25:48Z</dcterms:created>
  <dcterms:modified xsi:type="dcterms:W3CDTF">2026-10-13T07:53:02Z</dcterms:modified>
</cp:coreProperties>
</file>
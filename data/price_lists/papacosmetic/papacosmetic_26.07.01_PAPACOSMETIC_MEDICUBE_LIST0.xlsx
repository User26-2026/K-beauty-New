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Papa cos\files\Buyers\2026\Russia\Price list to send\AFTERCHECK\"/>
    </mc:Choice>
  </mc:AlternateContent>
  <xr:revisionPtr revIDLastSave="0" documentId="13_ncr:1_{C04EBE59-6C6A-441A-8AEB-4D000BB65218}" xr6:coauthVersionLast="47" xr6:coauthVersionMax="47" xr10:uidLastSave="{00000000-0000-0000-0000-000000000000}"/>
  <bookViews>
    <workbookView xWindow="-28920" yWindow="555" windowWidth="29040" windowHeight="15720" xr2:uid="{9999AC61-8E5C-480F-B905-95BDE599E2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6" i="1" l="1"/>
  <c r="J7" i="1"/>
  <c r="K7" i="1" s="1"/>
  <c r="J8" i="1"/>
  <c r="K8" i="1" s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 s="1"/>
  <c r="J16" i="1"/>
  <c r="K16" i="1"/>
  <c r="J17" i="1"/>
  <c r="K17" i="1" s="1"/>
  <c r="J18" i="1"/>
  <c r="K18" i="1"/>
  <c r="J19" i="1"/>
  <c r="K19" i="1" s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 s="1"/>
  <c r="J27" i="1"/>
  <c r="K27" i="1" s="1"/>
  <c r="J28" i="1"/>
  <c r="K28" i="1" s="1"/>
  <c r="J29" i="1"/>
  <c r="K29" i="1" s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 s="1"/>
  <c r="J37" i="1"/>
  <c r="K37" i="1" s="1"/>
  <c r="J38" i="1"/>
  <c r="K38" i="1" s="1"/>
  <c r="J39" i="1"/>
  <c r="K39" i="1"/>
  <c r="J40" i="1"/>
  <c r="K40" i="1"/>
  <c r="J41" i="1"/>
  <c r="K41" i="1"/>
  <c r="J42" i="1"/>
  <c r="K42" i="1" s="1"/>
  <c r="J43" i="1"/>
  <c r="K43" i="1" s="1"/>
  <c r="J44" i="1"/>
  <c r="K44" i="1"/>
  <c r="J45" i="1"/>
  <c r="K45" i="1"/>
  <c r="J46" i="1"/>
  <c r="K46" i="1"/>
  <c r="J47" i="1"/>
  <c r="K47" i="1"/>
  <c r="J48" i="1"/>
  <c r="K48" i="1" s="1"/>
  <c r="J49" i="1"/>
  <c r="K49" i="1" s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 s="1"/>
  <c r="J59" i="1"/>
  <c r="K59" i="1"/>
  <c r="J60" i="1"/>
  <c r="K60" i="1"/>
  <c r="J61" i="1"/>
  <c r="K61" i="1"/>
  <c r="J62" i="1"/>
  <c r="K62" i="1"/>
  <c r="J63" i="1"/>
  <c r="K63" i="1" s="1"/>
  <c r="J64" i="1"/>
  <c r="K64" i="1" s="1"/>
  <c r="J65" i="1"/>
  <c r="K65" i="1"/>
  <c r="J66" i="1"/>
  <c r="K66" i="1"/>
  <c r="J67" i="1"/>
  <c r="K67" i="1"/>
  <c r="J68" i="1"/>
  <c r="K68" i="1" s="1"/>
  <c r="J69" i="1"/>
  <c r="K69" i="1"/>
  <c r="J70" i="1"/>
  <c r="K70" i="1" s="1"/>
  <c r="J71" i="1"/>
  <c r="K71" i="1"/>
  <c r="J72" i="1"/>
  <c r="K72" i="1"/>
  <c r="J73" i="1"/>
  <c r="K73" i="1"/>
  <c r="J74" i="1"/>
  <c r="K74" i="1"/>
  <c r="J75" i="1"/>
  <c r="K75" i="1" s="1"/>
  <c r="J76" i="1"/>
  <c r="K76" i="1"/>
  <c r="J77" i="1"/>
  <c r="K77" i="1"/>
  <c r="J78" i="1"/>
  <c r="K78" i="1" s="1"/>
  <c r="J79" i="1"/>
  <c r="K79" i="1" s="1"/>
  <c r="J80" i="1"/>
  <c r="K80" i="1"/>
  <c r="J81" i="1"/>
  <c r="K81" i="1"/>
  <c r="J82" i="1"/>
  <c r="K82" i="1"/>
  <c r="J83" i="1"/>
  <c r="K83" i="1"/>
  <c r="J84" i="1"/>
  <c r="K84" i="1"/>
  <c r="J85" i="1"/>
  <c r="K85" i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/>
  <c r="J92" i="1"/>
  <c r="K92" i="1"/>
  <c r="J93" i="1"/>
  <c r="K93" i="1"/>
  <c r="J94" i="1"/>
  <c r="K94" i="1"/>
  <c r="J95" i="1"/>
  <c r="K95" i="1"/>
  <c r="J96" i="1"/>
  <c r="K96" i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/>
  <c r="J103" i="1"/>
  <c r="K103" i="1"/>
  <c r="J104" i="1"/>
  <c r="K104" i="1"/>
  <c r="J105" i="1"/>
  <c r="K105" i="1"/>
  <c r="J106" i="1"/>
  <c r="K106" i="1"/>
  <c r="J107" i="1"/>
  <c r="K107" i="1" s="1"/>
  <c r="J108" i="1"/>
  <c r="K108" i="1" s="1"/>
  <c r="J109" i="1"/>
  <c r="K109" i="1"/>
  <c r="J110" i="1"/>
  <c r="K110" i="1"/>
  <c r="J111" i="1"/>
  <c r="K111" i="1" s="1"/>
  <c r="J112" i="1"/>
  <c r="K112" i="1" s="1"/>
  <c r="J113" i="1"/>
  <c r="K113" i="1" s="1"/>
  <c r="J114" i="1"/>
  <c r="K114" i="1"/>
  <c r="J115" i="1"/>
  <c r="K115" i="1"/>
  <c r="J116" i="1"/>
  <c r="K116" i="1"/>
  <c r="J117" i="1"/>
  <c r="K117" i="1" s="1"/>
  <c r="J118" i="1"/>
  <c r="K118" i="1" s="1"/>
  <c r="J119" i="1"/>
  <c r="K119" i="1"/>
  <c r="J120" i="1"/>
  <c r="K120" i="1"/>
  <c r="J121" i="1"/>
  <c r="K121" i="1"/>
  <c r="J122" i="1"/>
  <c r="K122" i="1" s="1"/>
  <c r="J123" i="1"/>
  <c r="K123" i="1" s="1"/>
  <c r="J124" i="1"/>
  <c r="K124" i="1" s="1"/>
  <c r="J125" i="1"/>
  <c r="K125" i="1"/>
  <c r="J126" i="1"/>
  <c r="K126" i="1" s="1"/>
  <c r="J127" i="1"/>
  <c r="K127" i="1" s="1"/>
  <c r="J128" i="1"/>
  <c r="K128" i="1"/>
  <c r="J129" i="1"/>
  <c r="K129" i="1"/>
  <c r="J130" i="1"/>
  <c r="K130" i="1" s="1"/>
  <c r="J131" i="1"/>
  <c r="K131" i="1"/>
  <c r="J132" i="1"/>
  <c r="K132" i="1"/>
  <c r="J133" i="1"/>
  <c r="K133" i="1" s="1"/>
  <c r="J134" i="1"/>
  <c r="K134" i="1"/>
  <c r="J135" i="1"/>
  <c r="K135" i="1" s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7" i="1"/>
  <c r="K6" i="1" l="1"/>
  <c r="J6" i="1"/>
</calcChain>
</file>

<file path=xl/sharedStrings.xml><?xml version="1.0" encoding="utf-8"?>
<sst xmlns="http://schemas.openxmlformats.org/spreadsheetml/2006/main" count="272" uniqueCount="272">
  <si>
    <t>NO</t>
    <phoneticPr fontId="4" type="noConversion"/>
  </si>
  <si>
    <t>Bar Code</t>
    <phoneticPr fontId="2" type="noConversion"/>
  </si>
  <si>
    <t>Product Name(EN)</t>
    <phoneticPr fontId="5" type="noConversion"/>
  </si>
  <si>
    <t>PCS / 
OUTBOX</t>
    <phoneticPr fontId="5" type="noConversion"/>
  </si>
  <si>
    <t>ORDER 
BOXES</t>
    <phoneticPr fontId="5" type="noConversion"/>
  </si>
  <si>
    <t>TOTAL 
QUANTITIES</t>
    <phoneticPr fontId="5" type="noConversion"/>
  </si>
  <si>
    <t>Total Supply Price</t>
    <phoneticPr fontId="2" type="noConversion"/>
  </si>
  <si>
    <t>TOTAL</t>
    <phoneticPr fontId="2" type="noConversion"/>
  </si>
  <si>
    <t>Product Name(KR)</t>
    <phoneticPr fontId="5" type="noConversion"/>
  </si>
  <si>
    <t>레드 석시닉 애씨드 패드</t>
  </si>
  <si>
    <t>RED SUCCINIC ACID PEELING PAD</t>
  </si>
  <si>
    <t>쓰리에이치 릴리프크림</t>
  </si>
  <si>
    <t>3H RELIEF CREAM</t>
  </si>
  <si>
    <t>하이포클로로스애씨드 필 샷</t>
  </si>
  <si>
    <t>HYPOCHLOROUS ACID  PEEL SHOT</t>
  </si>
  <si>
    <t>하이포클로로스애씨드 필 마스크</t>
  </si>
  <si>
    <t>HYPOCHLOROUS ACID  PEEL MASK</t>
  </si>
  <si>
    <t>레드 아크네 석시닉애씨드 필</t>
  </si>
  <si>
    <t>RED ACNE SUCCINIC ACID PEEL</t>
  </si>
  <si>
    <t>레드 석시닉 애씨드 흔적세럼</t>
  </si>
  <si>
    <t>RED SUCCINIC ACID SERUM</t>
  </si>
  <si>
    <t>레드 이레이징 크림 2.0 (리뉴얼) 50ml</t>
  </si>
  <si>
    <t>RED ERASING CREAM 50ml</t>
  </si>
  <si>
    <t>레드 이레이징 크림 2.0 (리뉴얼) 100ml</t>
  </si>
  <si>
    <t>RED ERASING CREAM 100ml</t>
  </si>
  <si>
    <t>레드 폼 클렌저 120ml</t>
  </si>
  <si>
    <t>RED FOAM CLEANSER 120ml</t>
  </si>
  <si>
    <t>레드 폼 클렌저 230ml</t>
  </si>
  <si>
    <t>RED FOAM CLEANSER 230ml</t>
  </si>
  <si>
    <t>레드 트러블 토너 2.0 플러스 (대용량)</t>
  </si>
  <si>
    <t>RED TONER PLUS</t>
  </si>
  <si>
    <t>레드 트러블 세럼 2.0 플러스 (대용량)</t>
  </si>
  <si>
    <t>RED SERUM PLUS</t>
  </si>
  <si>
    <t>레드 트러블 크림 2.0 플러스 (대용량)</t>
  </si>
  <si>
    <t>RED CREAM PLUS</t>
  </si>
  <si>
    <t>레드 트러블 토너 2.0</t>
  </si>
  <si>
    <t xml:space="preserve">RED TONER </t>
  </si>
  <si>
    <t>레드 컨실러 21호(팁타입)</t>
  </si>
  <si>
    <t>RED CONCEALER 21</t>
  </si>
  <si>
    <t>레드 컨실러 23호(팁타입)</t>
  </si>
  <si>
    <t>RED CONCEALER 23</t>
  </si>
  <si>
    <t>메디큐브_제로_모공원데이펩타이드세럼_30ml_00</t>
  </si>
  <si>
    <t>ZERO PORE ONE DAY SERUM 30ml</t>
  </si>
  <si>
    <t>제로 모공 원데이 크림 50ml</t>
  </si>
  <si>
    <t>ZERO PORE ONE DAY CREAM 50ml</t>
  </si>
  <si>
    <t>제로 원데이 엑소좀샷 모공 앰플 2000 30ml</t>
  </si>
  <si>
    <t>ONE DAY EXOSOME SHOT PORE SERUM 2000 30ml</t>
  </si>
  <si>
    <t>제로 원데이 엑소좀샷 모공 앰플 7500 30ml</t>
  </si>
  <si>
    <t>ONE DAY EXOSOME SHOT PORE SERUM 7500 30ml</t>
  </si>
  <si>
    <t>제로 원데이 엑소좀샷 모공 앰플 25000 13ml</t>
  </si>
  <si>
    <t>ONE DAY EXOSOME SHOT PORE AMPOULE 25000 13ml</t>
  </si>
  <si>
    <t>제로 모공 블랙헤드 머드팩</t>
  </si>
  <si>
    <t>ZERO PORE BLACKHEAD MUD MASK 100g</t>
  </si>
  <si>
    <t>2024 제로 모공 패드 2.0 (우창)</t>
  </si>
  <si>
    <t>2024 ZERO PORE PAD 2.0</t>
  </si>
  <si>
    <t>2024 제로 모공 패드 마일드 2.0</t>
  </si>
  <si>
    <t>2024 ZERO PORE PAD MILD</t>
  </si>
  <si>
    <t>제로 폼 클렌저 120ml</t>
  </si>
  <si>
    <t>ZERO FOAM CLEANSER 120ml</t>
  </si>
  <si>
    <t>제로 모공 클리어링 캡슐 클렌징 폼</t>
  </si>
  <si>
    <t>ZERO PORE CLEARING CAPSULE CLEANSING FOAM</t>
  </si>
  <si>
    <t>제로 모공 토너 250ml</t>
  </si>
  <si>
    <t>ZERO PORE TONER 250ml</t>
  </si>
  <si>
    <t>제로 모공 블랙헤드 딥 클렌징 오일 205ml</t>
  </si>
  <si>
    <t>ZERO PORE BLACKHEAD DEEP CLEANSING OIL 205ml</t>
  </si>
  <si>
    <t>제로 모공 수분 선 세럼 50ml</t>
  </si>
  <si>
    <t>ZERO PORE HYDRATING SUN SERUM 50ml</t>
  </si>
  <si>
    <t>제로 모공 세럼 2.0</t>
  </si>
  <si>
    <t>ZERO PORE SERUM  2.0</t>
  </si>
  <si>
    <t>제로 모공 크림 2.0</t>
  </si>
  <si>
    <t>ZERO PORE CREAM  2.0</t>
  </si>
  <si>
    <t>제로 모공 쿨링 마스크(1매입)</t>
  </si>
  <si>
    <t>ZERO PORE COOLING MASK(1EA)</t>
  </si>
  <si>
    <t>2024 딥 비타 씨 패드</t>
  </si>
  <si>
    <t>2024 DEEP VITA C PAD</t>
  </si>
  <si>
    <t>딥 리프팅 펩타이드 아이크림 포 페이스 30ml</t>
  </si>
  <si>
    <t>DEEP LIFTING PEPTIDE EYE CREAM FOR FACE 30ml</t>
  </si>
  <si>
    <t>딥 비타 씨 앰플</t>
  </si>
  <si>
    <t>DEEP VITA C AMPOULE</t>
  </si>
  <si>
    <t>딥 비타 씨 캡슐 크림 55g</t>
  </si>
  <si>
    <t>DEEP VITA C CAPSULE CREAM 55g</t>
  </si>
  <si>
    <t>딥 비타 씨 캡슐 세럼 30ml</t>
  </si>
  <si>
    <t>DEEP VITA C CAPSULE SERUM 30ml</t>
  </si>
  <si>
    <t>딥 비타 씨 데일리 퀵 마스크</t>
  </si>
  <si>
    <t>DEEP VITA C DAILY QUICK MASK</t>
  </si>
  <si>
    <t>딥 비타 씨 패치</t>
  </si>
  <si>
    <t>DEEP VITA C PATCH (1EA)</t>
  </si>
  <si>
    <t>딥 비타 에이 레티놀 세럼 30ml</t>
  </si>
  <si>
    <t>DEEP VITA A RETINOL SERUM 30ml</t>
  </si>
  <si>
    <t>코직애씨드 터메릭 나이트 랩핑마스크 75ml</t>
  </si>
  <si>
    <t>KOJIC ACID TURMERIC NIGHT WRAPPING MASK 75ml</t>
  </si>
  <si>
    <t>코직애씨드 터메릭 리설페이싱 토너 250ml</t>
  </si>
  <si>
    <t>KOJIC ACID TURMERIC RESURFACING TONER 250ml</t>
  </si>
  <si>
    <t>코직 애씨드 터메릭 나이아신아마이드 세럼 30ml</t>
  </si>
  <si>
    <t>KOJIC ACID TURMERIC NIACINAMIDE SERUM 30ml</t>
  </si>
  <si>
    <t>코직애씨드 터메릭 토닝 클렌저 120g</t>
  </si>
  <si>
    <t>KOJIC ACID TURMERIC TONING CLEANSER 120g</t>
  </si>
  <si>
    <t>코직애씨드 터메릭 젤투폼 클렌저 500ml</t>
  </si>
  <si>
    <t>KOJIC ACID TURMERIC PURIFYING GEL CLEANSER 500ml</t>
  </si>
  <si>
    <t>코직애씨드 터메릭 비타 캡슐 크림 53g</t>
  </si>
  <si>
    <t>KOJIC ACID TURMERIC VITA CAPSULE CREAM 53g</t>
  </si>
  <si>
    <t>코직애씨드 터메릭 비타 아이 젤 세럼 30ml</t>
  </si>
  <si>
    <t>KOJIC ACID TURMERIC VITA EYE GEL SERUM 30ml</t>
  </si>
  <si>
    <t>코직애씨드 터메릭 바디 필샷</t>
  </si>
  <si>
    <t>KOJIC ACID TURMERIC BODY PEEL SHOT</t>
  </si>
  <si>
    <t>코직애씨드 터메릭  필샷</t>
  </si>
  <si>
    <t>KOJIC ACID TURMERIC PEEL SHOT</t>
  </si>
  <si>
    <t>코직애씨드 터메릭  바디워시</t>
  </si>
  <si>
    <t>KOJIC ACID TURMERIC BODY WASH</t>
  </si>
  <si>
    <t>코직애씨드 터메릭패드</t>
  </si>
  <si>
    <t>KOJIC ACID TURMERIC PAD</t>
  </si>
  <si>
    <t>코직애씨드 터메릭 비타 젤리 미스트 세럼100ml</t>
  </si>
  <si>
    <t>KOJIC ACID TURMERIC VITA JELLY MIST SERUM 100ml</t>
  </si>
  <si>
    <t>트리플 콜라겐 토너 4.0 140ml</t>
  </si>
  <si>
    <t>TRIPLE COLLAGEN TONER 4.0 140ml</t>
  </si>
  <si>
    <t>트리플 콜라겐 세럼 4.0 55ml</t>
  </si>
  <si>
    <t>TRIPLE COLLAGEN SERUM 4.0 55ml</t>
  </si>
  <si>
    <t>트리플 콜라겐 크림 4.0 50ml</t>
  </si>
  <si>
    <t>TRIPLE COLLAGEN CREAM 4.0 50ml</t>
  </si>
  <si>
    <t>콜라겐 나이트 랩핑마스크 75ml</t>
  </si>
  <si>
    <t>COLLAGEN NIGHT WRAPPING MASK</t>
  </si>
  <si>
    <t>콜라겐젤크림 50ml</t>
  </si>
  <si>
    <t>COLLAGEN JELLY CREAM 50ml</t>
  </si>
  <si>
    <t>콜라겐 글로우 부스터 세럼 15ml</t>
  </si>
  <si>
    <t>COLLAGEN GLOW BOOSTER SERUM 15ml</t>
  </si>
  <si>
    <t>콜라겐 퍼밍 선크림 50ml</t>
  </si>
  <si>
    <t>COLLAGEN FIRMING SUNCREAM 50ml</t>
  </si>
  <si>
    <t>메디큐브_콜라겐_글로우버블세럼_100ml_01</t>
  </si>
  <si>
    <t>(SEA FREIGHT ONLY) COLLAGEN GLOW BUBBLE SERUM 110ml</t>
  </si>
  <si>
    <t>콜라겐 밀크 토닝 랩핑마스크</t>
  </si>
  <si>
    <t>COLLAGEN MILK TONING WRAPPING MASK 75ml</t>
  </si>
  <si>
    <t>레드 아크네 바디워시 2.0</t>
  </si>
  <si>
    <t>RED ACNE BODY WASH 2.0</t>
  </si>
  <si>
    <t>레드 아크네 바디 필링 샷</t>
  </si>
  <si>
    <t>RED ACNE BODY PEELING SHOT</t>
  </si>
  <si>
    <t>레드 클리어 캡슐 바디 로션</t>
  </si>
  <si>
    <t>RED CLEAR CAPSULE BODY LOTION</t>
  </si>
  <si>
    <t>레드 아크네 바디워시 3.0</t>
  </si>
  <si>
    <t>RED ACNE BODY WASH 3.0</t>
  </si>
  <si>
    <t>하이포클로로스애씨드 바디 필 샷</t>
  </si>
  <si>
    <t>HYPOCHLOROUS ACID BODY PEEL SHOT</t>
  </si>
  <si>
    <t>소이시딜 샴푸 490ml</t>
  </si>
  <si>
    <t>SOYXIDIL SHAMPOO 490ml</t>
  </si>
  <si>
    <t>소이시딜 투인원 트리트먼트 265ml</t>
  </si>
  <si>
    <t>SOYXIDILL 2IN1 TREATMENT 265ml</t>
  </si>
  <si>
    <t>소이민트 스케일링 샴푸 490ml</t>
  </si>
  <si>
    <t>SOYMINT SCALING SHAMPOO 490ml</t>
  </si>
  <si>
    <t>PDRN 원데이 세럼1.5ml x 10개</t>
  </si>
  <si>
    <t>PDRN PINK ONE DAY SERUM 1.5ml x 10pcs</t>
  </si>
  <si>
    <t>PDRN 핑크 펩타이드 세럼 30ml</t>
  </si>
  <si>
    <t>PDRN PINK PEPTIDE SERUM 30ml</t>
  </si>
  <si>
    <t>PDRN 핑크 시카 수딩 토너 250ml</t>
  </si>
  <si>
    <t>PDRN PINK CICA SOOTHING TONER 250ml</t>
  </si>
  <si>
    <t>PDRN 핑크 히알루로닉 수분크림 50ml</t>
  </si>
  <si>
    <t>PDRN PINK HYALURONIC MOISTURIZING CREAM 50ml</t>
  </si>
  <si>
    <t>PDRN 부스터 젤 300ml</t>
  </si>
  <si>
    <t>PDRN BOOSTER GEL 300ml</t>
  </si>
  <si>
    <t>PDRN 핑크 엑소좀 샷 흔적 앰플 2000 30ml</t>
  </si>
  <si>
    <t>PDRN PINK EXOSOME SHOT SERUM 2000 30ml</t>
  </si>
  <si>
    <t>PDRN 핑크 엑소좀 샷 흔적 앰플 7500 30ml</t>
  </si>
  <si>
    <t>PDRN PINK EXOSOME SHOT SERUM 7500 30ml</t>
  </si>
  <si>
    <t>PDRN 핑크 콜라겐 토닝 겔 토너패드</t>
  </si>
  <si>
    <t>PDRN PINK COLLAGEN TONING GEL TONER PAD</t>
  </si>
  <si>
    <t>PDRN 핑크 톤 업 선크림 50ml</t>
  </si>
  <si>
    <t>PDRN PINK TONE UP SUN CREAM 50ml</t>
  </si>
  <si>
    <t>PDRN 하이드레이팅 선 세럼</t>
  </si>
  <si>
    <t>PDRN HYDRATING UV SERUM 50ml</t>
  </si>
  <si>
    <t>PDRN 핑크 펩타이드 아이크림 30ml</t>
  </si>
  <si>
    <t>PDRN PINK PEPTIDE EYE CREAM 30ml</t>
  </si>
  <si>
    <t>PDRN 핑크 카페인 콜라겐 아이 패치</t>
  </si>
  <si>
    <t>PDRN PINK CAFFEINE COLLAGEN EYE PATCH</t>
  </si>
  <si>
    <t>PDRN 핑크 콜라겐 캡슐 크림</t>
  </si>
  <si>
    <t>PDRN PINK COLLAGEN CAPSULE CREAM 55g</t>
  </si>
  <si>
    <t>PDRN 글루타치온 캡슐 폼 클렌저</t>
  </si>
  <si>
    <t>PDRN PINK GLUTATHIONE CAPSULE CLEANSING FOAM</t>
  </si>
  <si>
    <t>PDRN 립 슬리핑 마스크</t>
  </si>
  <si>
    <t>PDRN LIP SLEEPING MASK</t>
  </si>
  <si>
    <t>PDRN 나이아신아마이드 밀키 토너 150ml</t>
  </si>
  <si>
    <t>PDRN PINK NIACINAMAIDE MILKY TONER 150ml</t>
  </si>
  <si>
    <t>PDRN 핑크 나이아신아마이드 휩 클렌저</t>
  </si>
  <si>
    <t>PDRN PINK NIACINEAMIDE WHIP CLEANSER 120g</t>
  </si>
  <si>
    <t>PDRN 핑크 카페인 나이트 랩핑 마스크</t>
  </si>
  <si>
    <t>PDRN PINK CAFFEINE NIGHT WRAPPING MASK 75ml</t>
  </si>
  <si>
    <t>PDRN 젤투폼 클렌저 200ml</t>
  </si>
  <si>
    <t>PDRN HYDRATING GEL CLEANSER 200ml</t>
  </si>
  <si>
    <t>PDRN 핑크 글루타치온 세럼 미스트 100ml</t>
  </si>
  <si>
    <t>PDRN PINK GLUTATHIONE SERUM MIST 100ml</t>
  </si>
  <si>
    <t>PDRN 콜라겐 글로우 젤리 세럼</t>
  </si>
  <si>
    <t>PDRN  COLLAGEN GLOW JELLY  SERUM 30ml</t>
  </si>
  <si>
    <t>PDRN 핑크 콜라겐 버블 세럼 95ml</t>
  </si>
  <si>
    <t>PDRN PINK COLLAGEN BUBBLE SERUM 95ml</t>
  </si>
  <si>
    <t>로즈마리 PDRN 쿨링 탈모 샴푸</t>
  </si>
  <si>
    <t>ROSEMARY PDRN COOLING THICKENING SHAMPOO</t>
  </si>
  <si>
    <t>로즈마리 PDRN 스칼프 앰플</t>
  </si>
  <si>
    <t>ROSEMARY PDRN SCALP SERUM</t>
  </si>
  <si>
    <t>로즈마리 PDRN 헤어 &amp; 스칼프 컨디셔너</t>
  </si>
  <si>
    <t>ROSEMARY PDRN HAIR &amp; SCALP CONDITIONER</t>
  </si>
  <si>
    <t>나이아신아마이드 트라넥사믹 애씨드 세럼 30ml</t>
  </si>
  <si>
    <t>TXA NIACINAMIDE 15 SERUM 30ml</t>
  </si>
  <si>
    <t>나이아신아마이드 트라넥사믹 캡슐크림</t>
  </si>
  <si>
    <t>TXA NIACINAMIDE CAPSULE CREAM 55g</t>
  </si>
  <si>
    <t>PDRN 핑크 콜라겐 겔 마스크 (1매입)</t>
  </si>
  <si>
    <t>PDRN PINK COLLAGEN GEL MASK (1EA) / PMEKR02060</t>
  </si>
  <si>
    <t>PDRN 핑크 콜라겐 겔 마스크 (4매입)</t>
  </si>
  <si>
    <t>PDRN PINK COLLAGEN GEL MASK (4EA)</t>
  </si>
  <si>
    <t>PDRN 핑크 비타 코팅 마스크 (1매입)</t>
  </si>
  <si>
    <t>PDRN PINK VITA COATING MASK (1EA) / PMEKR53009R00</t>
  </si>
  <si>
    <t>PDRN 핑크 비타 코팅 마스크 (10매입)</t>
  </si>
  <si>
    <t>PDRN PINK VITA COATING MASK (10EA)</t>
  </si>
  <si>
    <t>PDRN 핑크 펩타이드 앰플 마스크 (1매입)</t>
  </si>
  <si>
    <t>PDRN PINK PEPTIDE SERUM MASK (1EA)</t>
  </si>
  <si>
    <t>울트라 라이트 PDRN 핑크 펩타이드 앰플 30ml</t>
  </si>
  <si>
    <t>ULTRA LIGHT PDRN PINK PEPTIDE SERUM 30ml</t>
  </si>
  <si>
    <t>울트라 라이트 PDRN 핑크 펩타이드 앰플 110ml</t>
  </si>
  <si>
    <t>ULTRA LIGHT PDRN PINK PEPTIDE SERUM 110ml</t>
  </si>
  <si>
    <t>PDRN 핑크 콜라겐 볼륨 멀티밤</t>
  </si>
  <si>
    <t>PDRN PINK COLLAGEN VOLUME MULTI BALM</t>
  </si>
  <si>
    <t>PDRN 핑크 콜라겐 젤리 미스트 세럼 100ml</t>
  </si>
  <si>
    <t>PDRN PINK COLLAGEN GLOW JELLY MIST SERUM 100ml</t>
  </si>
  <si>
    <t>히알루로닉 수분 캡슐 크림 55g</t>
  </si>
  <si>
    <t>HYALURONIC MOISTURIZING CAPSULE CREAM 55g</t>
  </si>
  <si>
    <t>히알루로닉 세라마이드 젤리 크림 50ml</t>
  </si>
  <si>
    <t>HYALURONIC CERAMIDE JELLY CREAM 50ml</t>
  </si>
  <si>
    <t>히알루로닉 멀티 펩타이드 세럼 30ml</t>
  </si>
  <si>
    <t>HYALURONIC MULTI PEPTIDE SERUM 30ml</t>
  </si>
  <si>
    <t>글루타치온 글로우 세럼</t>
  </si>
  <si>
    <t>GLUTATHIONE GLOW SERUM</t>
  </si>
  <si>
    <t>에이지알 비타 씨 프로 앰플</t>
  </si>
  <si>
    <t>AGE-R VITA C PRO AMPOULE</t>
  </si>
  <si>
    <t>글루타치온 글로우 캡슐 크림</t>
  </si>
  <si>
    <t>GLUTATHIONE GLOW CAPSULE CREAM</t>
  </si>
  <si>
    <t>에이지알 글루타치온 글로우 토너 140ml</t>
  </si>
  <si>
    <t>AGE-R GLUTATHIONE GLOW TONER 140ml</t>
  </si>
  <si>
    <t>에이지알 글루타치온 글로우 앰플</t>
  </si>
  <si>
    <t>AGE-R GLUTATHIONE GLOW SERUM</t>
  </si>
  <si>
    <t>에이지알 펩타이드 멜라앰플</t>
  </si>
  <si>
    <t>AGE-R PEPTIDE MELA AMPOULE</t>
  </si>
  <si>
    <t>에이지알 부스터 프로 X2 핑크</t>
  </si>
  <si>
    <t xml:space="preserve">AGE-R BOOSTER PRO X2 PINK </t>
  </si>
  <si>
    <t>에이지알 부스터 프로 X2 화이트</t>
  </si>
  <si>
    <t xml:space="preserve">AGE-R BOOSTER PRO X2 WHITE </t>
  </si>
  <si>
    <t>에이지알 부스터 프로 미니 플러스 핑크</t>
  </si>
  <si>
    <t>AGE-R BOOSTER PRO MINI PLUS PINK</t>
  </si>
  <si>
    <t>에이지알 부스터 프로 미니 플러스 베이지</t>
  </si>
  <si>
    <t>AGE-R BOOSTER PRO MINI PLUS BEIGE</t>
  </si>
  <si>
    <t>에이지알 부스터 브이 롤러 헤드 핑크</t>
  </si>
  <si>
    <t>AGE-R BOOSTER V ROLLER HEAD PINK</t>
  </si>
  <si>
    <t>에이지알 부스터 브이 롤러 헤드 베이지</t>
  </si>
  <si>
    <t>AGE-R BOOSTER V ROLLER HEAD BEIGE</t>
  </si>
  <si>
    <t>에이지알 부스터 진동클렌저 헤드 핑크</t>
  </si>
  <si>
    <t xml:space="preserve">AGE-R BOOSTER CLEANSER PINK </t>
  </si>
  <si>
    <t>에이지알 부스터 진동클렌저 헤드 베이지</t>
  </si>
  <si>
    <t xml:space="preserve">AGE-R BOOSTER CLEANSER BEIGE </t>
  </si>
  <si>
    <t>에이지알 하이 포커스 샷 플러스 핑크</t>
  </si>
  <si>
    <t xml:space="preserve">AGE-R HIGH FOCUS SHOT PLUS PINK </t>
  </si>
  <si>
    <t>에이지알 하이 포커스 샷 플러스 화이트</t>
  </si>
  <si>
    <t>AGE-R HIGH FOCUS SHOT PLUS WHITE</t>
  </si>
  <si>
    <t>이지에프엔에이디탄력앰플</t>
  </si>
  <si>
    <t>EGF NAD FIRMING SERUM</t>
  </si>
  <si>
    <t>디옥시리보스 두피 앰플</t>
  </si>
  <si>
    <t>DEOXYRIBOSE SCALP SERUM</t>
  </si>
  <si>
    <t>먹는 슈퍼 콜라겐</t>
  </si>
  <si>
    <t>EDIBLE SUPER COLLAGEN</t>
  </si>
  <si>
    <t>먹는 토닝 글루타치온</t>
  </si>
  <si>
    <t>EDIBLE TONING GLUTATHION</t>
  </si>
  <si>
    <t>연어디엔에이콜라겐필름</t>
  </si>
  <si>
    <t>Salmon DNA Collagen</t>
  </si>
  <si>
    <t>PAPACOSMETIC MEDICUBE PRICE LIST</t>
    <phoneticPr fontId="2" type="noConversion"/>
  </si>
  <si>
    <r>
      <t xml:space="preserve">MOA : </t>
    </r>
    <r>
      <rPr>
        <b/>
        <sz val="14"/>
        <color theme="1"/>
        <rFont val="맑은 고딕"/>
        <family val="3"/>
        <charset val="129"/>
      </rPr>
      <t>\1</t>
    </r>
    <r>
      <rPr>
        <b/>
        <sz val="14"/>
        <color theme="1"/>
        <rFont val="맑은 고딕"/>
        <family val="3"/>
        <charset val="129"/>
        <scheme val="minor"/>
      </rPr>
      <t>00,000,000</t>
    </r>
    <phoneticPr fontId="2" type="noConversion"/>
  </si>
  <si>
    <t>MSRP
(KRW)</t>
  </si>
  <si>
    <t>Supply Price
(KRW)</t>
  </si>
  <si>
    <t>Supply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</si>
</sst>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-[$₩-412]* #,##0_-;\-[$₩-412]* #,##0_-;_-[$₩-412]* &quot;-&quot;??_-;_-@_-"/>
    <numFmt numFmtId="177" formatCode="#,##0_ "/>
    <numFmt numFmtId="178" formatCode="_-* #,##0_-;\-* #,##0_-;_-* &quot;-&quot;_-;_-@_-"/>
    <numFmt numFmtId="179" formatCode="&quot;₩&quot;#,##0_);[Red]\(&quot;₩&quot;#,##0\)"/>
    <numFmt numFmtId="180" formatCode="0_);[Red]\(0\)"/>
    <numFmt numFmtId="181" formatCode="_-[$₩-412]* #,##0.00_-;\-[$₩-412]* #,##0.00_-;_-[$₩-412]* &quot;-&quot;??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4"/>
      <color rgb="FF00B0F0"/>
      <name val="맑은 고딕"/>
      <family val="3"/>
      <charset val="129"/>
      <scheme val="minor"/>
    </font>
    <font>
      <b/>
      <sz val="11"/>
      <color theme="5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3" fillId="3" borderId="1" xfId="1" applyFont="1" applyFill="1" applyBorder="1" applyAlignment="1">
      <alignment horizontal="center" vertical="center"/>
    </xf>
    <xf numFmtId="178" fontId="7" fillId="4" borderId="1" xfId="1" applyNumberFormat="1" applyFont="1" applyFill="1" applyBorder="1" applyAlignment="1">
      <alignment horizontal="center" vertical="center"/>
    </xf>
    <xf numFmtId="178" fontId="7" fillId="0" borderId="1" xfId="1" applyNumberFormat="1" applyFont="1" applyFill="1" applyBorder="1" applyAlignment="1">
      <alignment horizontal="center" vertical="center"/>
    </xf>
    <xf numFmtId="179" fontId="7" fillId="0" borderId="1" xfId="1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80" fontId="8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80" fontId="9" fillId="0" borderId="1" xfId="0" applyNumberFormat="1" applyFont="1" applyBorder="1" applyAlignment="1">
      <alignment horizontal="center" vertical="center" wrapText="1"/>
    </xf>
    <xf numFmtId="179" fontId="9" fillId="0" borderId="1" xfId="0" applyNumberFormat="1" applyFont="1" applyBorder="1" applyAlignment="1">
      <alignment horizontal="center" vertical="center" wrapText="1"/>
    </xf>
    <xf numFmtId="0" fontId="0" fillId="4" borderId="1" xfId="0" applyFill="1" applyBorder="1">
      <alignment vertical="center"/>
    </xf>
    <xf numFmtId="178" fontId="8" fillId="0" borderId="1" xfId="0" applyNumberFormat="1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0" fontId="10" fillId="5" borderId="1" xfId="1" applyFont="1" applyFill="1" applyBorder="1" applyAlignment="1">
      <alignment horizontal="center" vertical="center"/>
    </xf>
    <xf numFmtId="0" fontId="10" fillId="5" borderId="1" xfId="1" applyFont="1" applyFill="1" applyBorder="1" applyAlignment="1">
      <alignment horizontal="center" vertical="center" wrapText="1"/>
    </xf>
    <xf numFmtId="177" fontId="10" fillId="5" borderId="1" xfId="1" applyNumberFormat="1" applyFont="1" applyFill="1" applyBorder="1" applyAlignment="1">
      <alignment horizontal="center" vertical="center" wrapText="1"/>
    </xf>
    <xf numFmtId="176" fontId="10" fillId="5" borderId="1" xfId="1" applyNumberFormat="1" applyFont="1" applyFill="1" applyBorder="1" applyAlignment="1">
      <alignment horizontal="center" vertical="center" wrapText="1"/>
    </xf>
    <xf numFmtId="176" fontId="10" fillId="5" borderId="1" xfId="1" applyNumberFormat="1" applyFont="1" applyFill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181" fontId="11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 shrinkToFit="1"/>
    </xf>
    <xf numFmtId="0" fontId="12" fillId="6" borderId="0" xfId="0" quotePrefix="1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</cellXfs>
  <cellStyles count="2">
    <cellStyle name="20% - Accent6" xfId="1" builtinId="50"/>
    <cellStyle name="Normal" xfId="0" builtinId="0"/>
  </cellStyles>
  <dxfs count="6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2E3E2-90B0-403A-99C2-4817F58E66FE}">
  <dimension ref="A1:K530"/>
  <sheetViews>
    <sheetView tabSelected="1" zoomScale="70" zoomScaleNormal="70" workbookViewId="0">
      <selection activeCell="M15" sqref="M15"/>
    </sheetView>
  </sheetViews>
  <sheetFormatPr defaultRowHeight="16.5" x14ac:dyDescent="0.3"/>
  <cols>
    <col min="2" max="2" width="15.625" bestFit="1" customWidth="1"/>
    <col min="3" max="3" width="47.75" bestFit="1" customWidth="1"/>
    <col min="4" max="4" width="50.625" customWidth="1"/>
    <col min="5" max="5" width="12.875" customWidth="1"/>
    <col min="6" max="6" width="13.375" customWidth="1"/>
    <col min="7" max="7" width="11.875" bestFit="1" customWidth="1"/>
    <col min="9" max="9" width="16.875" bestFit="1" customWidth="1"/>
    <col min="10" max="10" width="22.5" bestFit="1" customWidth="1"/>
    <col min="11" max="11" width="20.125" bestFit="1" customWidth="1"/>
    <col min="12" max="12" width="20.125" customWidth="1"/>
  </cols>
  <sheetData>
    <row r="1" spans="1:11" ht="42.75" customHeight="1" x14ac:dyDescent="0.3">
      <c r="A1" s="22" t="s">
        <v>267</v>
      </c>
      <c r="B1" s="23"/>
      <c r="C1" s="23"/>
      <c r="D1" s="20" t="s">
        <v>268</v>
      </c>
    </row>
    <row r="4" spans="1:11" x14ac:dyDescent="0.3">
      <c r="F4" s="1"/>
      <c r="G4" s="1"/>
    </row>
    <row r="5" spans="1:11" ht="30" customHeight="1" x14ac:dyDescent="0.3">
      <c r="A5" s="14" t="s">
        <v>0</v>
      </c>
      <c r="B5" s="14" t="s">
        <v>1</v>
      </c>
      <c r="C5" s="14" t="s">
        <v>8</v>
      </c>
      <c r="D5" s="14" t="s">
        <v>2</v>
      </c>
      <c r="E5" s="16" t="s">
        <v>269</v>
      </c>
      <c r="F5" s="16" t="s">
        <v>270</v>
      </c>
      <c r="G5" s="17" t="s">
        <v>271</v>
      </c>
      <c r="H5" s="15" t="s">
        <v>3</v>
      </c>
      <c r="I5" s="18" t="s">
        <v>4</v>
      </c>
      <c r="J5" s="18" t="s">
        <v>5</v>
      </c>
      <c r="K5" s="18" t="s">
        <v>6</v>
      </c>
    </row>
    <row r="6" spans="1:11" ht="30" customHeight="1" x14ac:dyDescent="0.3">
      <c r="A6" s="2"/>
      <c r="B6" s="2"/>
      <c r="C6" s="2"/>
      <c r="D6" s="2"/>
      <c r="E6" s="21" t="s">
        <v>7</v>
      </c>
      <c r="F6" s="21"/>
      <c r="G6" s="21"/>
      <c r="H6" s="2"/>
      <c r="I6" s="3">
        <f>SUM(I7:I135)</f>
        <v>0</v>
      </c>
      <c r="J6" s="4">
        <f>SUM(J7:J135)</f>
        <v>0</v>
      </c>
      <c r="K6" s="5">
        <f>SUM(K7:K135)</f>
        <v>0</v>
      </c>
    </row>
    <row r="7" spans="1:11" ht="30" customHeight="1" x14ac:dyDescent="0.3">
      <c r="A7" s="6">
        <v>1</v>
      </c>
      <c r="B7" s="7">
        <v>8809960356170</v>
      </c>
      <c r="C7" s="6" t="s">
        <v>9</v>
      </c>
      <c r="D7" s="8" t="s">
        <v>10</v>
      </c>
      <c r="E7" s="10">
        <v>18000</v>
      </c>
      <c r="F7" s="10">
        <v>12045</v>
      </c>
      <c r="G7" s="19">
        <f>F7/E7</f>
        <v>0.66916666666666669</v>
      </c>
      <c r="H7" s="9">
        <v>20</v>
      </c>
      <c r="I7" s="11"/>
      <c r="J7" s="12">
        <f>I7*H7</f>
        <v>0</v>
      </c>
      <c r="K7" s="13">
        <f>IF($F7&gt;0,$J7*$F7,"")</f>
        <v>0</v>
      </c>
    </row>
    <row r="8" spans="1:11" ht="30" customHeight="1" x14ac:dyDescent="0.3">
      <c r="A8" s="6">
        <v>2</v>
      </c>
      <c r="B8" s="7">
        <v>8800289461194</v>
      </c>
      <c r="C8" s="6" t="s">
        <v>11</v>
      </c>
      <c r="D8" s="8" t="s">
        <v>12</v>
      </c>
      <c r="E8" s="10">
        <v>20000</v>
      </c>
      <c r="F8" s="10">
        <v>10840.5</v>
      </c>
      <c r="G8" s="19">
        <f t="shared" ref="G8:G71" si="0">F8/E8</f>
        <v>0.54202499999999998</v>
      </c>
      <c r="H8" s="9">
        <v>80</v>
      </c>
      <c r="I8" s="11"/>
      <c r="J8" s="12">
        <f t="shared" ref="J8:J71" si="1">I8*H8</f>
        <v>0</v>
      </c>
      <c r="K8" s="13">
        <f t="shared" ref="K8:K71" si="2">IF($F8&gt;0,$J8*$F8,"")</f>
        <v>0</v>
      </c>
    </row>
    <row r="9" spans="1:11" ht="30" customHeight="1" x14ac:dyDescent="0.3">
      <c r="A9" s="6">
        <v>3</v>
      </c>
      <c r="B9" s="7">
        <v>8800289479618</v>
      </c>
      <c r="C9" s="6" t="s">
        <v>13</v>
      </c>
      <c r="D9" s="8" t="s">
        <v>14</v>
      </c>
      <c r="E9" s="10">
        <v>24000</v>
      </c>
      <c r="F9" s="10">
        <v>13249.5</v>
      </c>
      <c r="G9" s="19">
        <f t="shared" si="0"/>
        <v>0.55206250000000001</v>
      </c>
      <c r="H9" s="9">
        <v>50</v>
      </c>
      <c r="I9" s="11"/>
      <c r="J9" s="12">
        <f t="shared" si="1"/>
        <v>0</v>
      </c>
      <c r="K9" s="13">
        <f t="shared" si="2"/>
        <v>0</v>
      </c>
    </row>
    <row r="10" spans="1:11" ht="30" customHeight="1" x14ac:dyDescent="0.3">
      <c r="A10" s="6">
        <v>4</v>
      </c>
      <c r="B10" s="7">
        <v>8800289479830</v>
      </c>
      <c r="C10" s="6" t="s">
        <v>15</v>
      </c>
      <c r="D10" s="8" t="s">
        <v>16</v>
      </c>
      <c r="E10" s="10">
        <v>18000</v>
      </c>
      <c r="F10" s="10">
        <v>10840.5</v>
      </c>
      <c r="G10" s="19">
        <f t="shared" si="0"/>
        <v>0.60224999999999995</v>
      </c>
      <c r="H10" s="9">
        <v>90</v>
      </c>
      <c r="I10" s="11"/>
      <c r="J10" s="12">
        <f t="shared" si="1"/>
        <v>0</v>
      </c>
      <c r="K10" s="13">
        <f t="shared" si="2"/>
        <v>0</v>
      </c>
    </row>
    <row r="11" spans="1:11" ht="30" customHeight="1" x14ac:dyDescent="0.3">
      <c r="A11" s="6">
        <v>5</v>
      </c>
      <c r="B11" s="7">
        <v>8809517419709</v>
      </c>
      <c r="C11" s="6" t="s">
        <v>17</v>
      </c>
      <c r="D11" s="8" t="s">
        <v>18</v>
      </c>
      <c r="E11" s="10">
        <v>24000</v>
      </c>
      <c r="F11" s="10">
        <v>14454</v>
      </c>
      <c r="G11" s="19">
        <f t="shared" si="0"/>
        <v>0.60224999999999995</v>
      </c>
      <c r="H11" s="9">
        <v>80</v>
      </c>
      <c r="I11" s="11"/>
      <c r="J11" s="12">
        <f t="shared" si="1"/>
        <v>0</v>
      </c>
      <c r="K11" s="13">
        <f t="shared" si="2"/>
        <v>0</v>
      </c>
    </row>
    <row r="12" spans="1:11" ht="30" customHeight="1" x14ac:dyDescent="0.3">
      <c r="A12" s="6">
        <v>6</v>
      </c>
      <c r="B12" s="7">
        <v>8809921774258</v>
      </c>
      <c r="C12" s="6" t="s">
        <v>19</v>
      </c>
      <c r="D12" s="8" t="s">
        <v>20</v>
      </c>
      <c r="E12" s="10">
        <v>18000</v>
      </c>
      <c r="F12" s="10">
        <v>12045</v>
      </c>
      <c r="G12" s="19">
        <f t="shared" si="0"/>
        <v>0.66916666666666669</v>
      </c>
      <c r="H12" s="9">
        <v>100</v>
      </c>
      <c r="I12" s="11"/>
      <c r="J12" s="12">
        <f t="shared" si="1"/>
        <v>0</v>
      </c>
      <c r="K12" s="13">
        <f t="shared" si="2"/>
        <v>0</v>
      </c>
    </row>
    <row r="13" spans="1:11" ht="30" customHeight="1" x14ac:dyDescent="0.3">
      <c r="A13" s="6">
        <v>7</v>
      </c>
      <c r="B13" s="7">
        <v>8809921779093</v>
      </c>
      <c r="C13" s="6" t="s">
        <v>21</v>
      </c>
      <c r="D13" s="8" t="s">
        <v>22</v>
      </c>
      <c r="E13" s="10">
        <v>18000</v>
      </c>
      <c r="F13" s="10">
        <v>12045</v>
      </c>
      <c r="G13" s="19">
        <f t="shared" si="0"/>
        <v>0.66916666666666669</v>
      </c>
      <c r="H13" s="9">
        <v>100</v>
      </c>
      <c r="I13" s="11"/>
      <c r="J13" s="12">
        <f t="shared" si="1"/>
        <v>0</v>
      </c>
      <c r="K13" s="13">
        <f t="shared" si="2"/>
        <v>0</v>
      </c>
    </row>
    <row r="14" spans="1:11" ht="30" customHeight="1" x14ac:dyDescent="0.3">
      <c r="A14" s="6">
        <v>8</v>
      </c>
      <c r="B14" s="7">
        <v>8809921779109</v>
      </c>
      <c r="C14" s="6" t="s">
        <v>23</v>
      </c>
      <c r="D14" s="8" t="s">
        <v>24</v>
      </c>
      <c r="E14" s="10">
        <v>25600</v>
      </c>
      <c r="F14" s="10">
        <v>17465.25</v>
      </c>
      <c r="G14" s="19">
        <f t="shared" si="0"/>
        <v>0.68223632812500001</v>
      </c>
      <c r="H14" s="9">
        <v>100</v>
      </c>
      <c r="I14" s="11"/>
      <c r="J14" s="12">
        <f t="shared" si="1"/>
        <v>0</v>
      </c>
      <c r="K14" s="13">
        <f t="shared" si="2"/>
        <v>0</v>
      </c>
    </row>
    <row r="15" spans="1:11" ht="30" customHeight="1" x14ac:dyDescent="0.3">
      <c r="A15" s="6">
        <v>9</v>
      </c>
      <c r="B15" s="7">
        <v>8809517411345</v>
      </c>
      <c r="C15" s="6" t="s">
        <v>25</v>
      </c>
      <c r="D15" s="8" t="s">
        <v>26</v>
      </c>
      <c r="E15" s="10">
        <v>11000</v>
      </c>
      <c r="F15" s="10">
        <v>8431.5</v>
      </c>
      <c r="G15" s="19">
        <f t="shared" si="0"/>
        <v>0.76649999999999996</v>
      </c>
      <c r="H15" s="9">
        <v>50</v>
      </c>
      <c r="I15" s="11"/>
      <c r="J15" s="12">
        <f t="shared" si="1"/>
        <v>0</v>
      </c>
      <c r="K15" s="13">
        <f t="shared" si="2"/>
        <v>0</v>
      </c>
    </row>
    <row r="16" spans="1:11" ht="30" customHeight="1" x14ac:dyDescent="0.3">
      <c r="A16" s="6">
        <v>10</v>
      </c>
      <c r="B16" s="7">
        <v>8809517411352</v>
      </c>
      <c r="C16" s="6" t="s">
        <v>27</v>
      </c>
      <c r="D16" s="8" t="s">
        <v>28</v>
      </c>
      <c r="E16" s="10">
        <v>20100</v>
      </c>
      <c r="F16" s="10">
        <v>14454</v>
      </c>
      <c r="G16" s="19">
        <f t="shared" si="0"/>
        <v>0.7191044776119403</v>
      </c>
      <c r="H16" s="9">
        <v>50</v>
      </c>
      <c r="I16" s="11"/>
      <c r="J16" s="12">
        <f t="shared" si="1"/>
        <v>0</v>
      </c>
      <c r="K16" s="13">
        <f t="shared" si="2"/>
        <v>0</v>
      </c>
    </row>
    <row r="17" spans="1:11" ht="30" customHeight="1" x14ac:dyDescent="0.3">
      <c r="A17" s="6">
        <v>11</v>
      </c>
      <c r="B17" s="7">
        <v>8809883882275</v>
      </c>
      <c r="C17" s="6" t="s">
        <v>29</v>
      </c>
      <c r="D17" s="8" t="s">
        <v>30</v>
      </c>
      <c r="E17" s="10">
        <v>21000</v>
      </c>
      <c r="F17" s="10">
        <v>14454</v>
      </c>
      <c r="G17" s="19">
        <f t="shared" si="0"/>
        <v>0.68828571428571428</v>
      </c>
      <c r="H17" s="9">
        <v>50</v>
      </c>
      <c r="I17" s="11"/>
      <c r="J17" s="12">
        <f t="shared" si="1"/>
        <v>0</v>
      </c>
      <c r="K17" s="13">
        <f t="shared" si="2"/>
        <v>0</v>
      </c>
    </row>
    <row r="18" spans="1:11" ht="30" customHeight="1" x14ac:dyDescent="0.3">
      <c r="A18" s="6">
        <v>12</v>
      </c>
      <c r="B18" s="7">
        <v>8809883888581</v>
      </c>
      <c r="C18" s="6" t="s">
        <v>31</v>
      </c>
      <c r="D18" s="8" t="s">
        <v>32</v>
      </c>
      <c r="E18" s="10">
        <v>23000</v>
      </c>
      <c r="F18" s="10">
        <v>15658.5</v>
      </c>
      <c r="G18" s="19">
        <f t="shared" si="0"/>
        <v>0.68080434782608701</v>
      </c>
      <c r="H18" s="9">
        <v>100</v>
      </c>
      <c r="I18" s="11"/>
      <c r="J18" s="12">
        <f t="shared" si="1"/>
        <v>0</v>
      </c>
      <c r="K18" s="13">
        <f t="shared" si="2"/>
        <v>0</v>
      </c>
    </row>
    <row r="19" spans="1:11" ht="30" customHeight="1" x14ac:dyDescent="0.3">
      <c r="A19" s="6">
        <v>13</v>
      </c>
      <c r="B19" s="7">
        <v>8809883882251</v>
      </c>
      <c r="C19" s="6" t="s">
        <v>33</v>
      </c>
      <c r="D19" s="8" t="s">
        <v>34</v>
      </c>
      <c r="E19" s="10">
        <v>27000</v>
      </c>
      <c r="F19" s="10">
        <v>16863</v>
      </c>
      <c r="G19" s="19">
        <f t="shared" si="0"/>
        <v>0.62455555555555553</v>
      </c>
      <c r="H19" s="9"/>
      <c r="I19" s="11"/>
      <c r="J19" s="12">
        <f t="shared" si="1"/>
        <v>0</v>
      </c>
      <c r="K19" s="13">
        <f t="shared" si="2"/>
        <v>0</v>
      </c>
    </row>
    <row r="20" spans="1:11" ht="30" customHeight="1" x14ac:dyDescent="0.3">
      <c r="A20" s="6">
        <v>14</v>
      </c>
      <c r="B20" s="7">
        <v>8809960356569</v>
      </c>
      <c r="C20" s="6" t="s">
        <v>35</v>
      </c>
      <c r="D20" s="8" t="s">
        <v>36</v>
      </c>
      <c r="E20" s="10">
        <v>17000</v>
      </c>
      <c r="F20" s="10">
        <v>13249.5</v>
      </c>
      <c r="G20" s="19">
        <f t="shared" si="0"/>
        <v>0.77938235294117653</v>
      </c>
      <c r="H20" s="9">
        <v>40</v>
      </c>
      <c r="I20" s="11"/>
      <c r="J20" s="12">
        <f t="shared" si="1"/>
        <v>0</v>
      </c>
      <c r="K20" s="13">
        <f t="shared" si="2"/>
        <v>0</v>
      </c>
    </row>
    <row r="21" spans="1:11" ht="30" customHeight="1" x14ac:dyDescent="0.3">
      <c r="A21" s="6">
        <v>15</v>
      </c>
      <c r="B21" s="7">
        <v>8809506808262</v>
      </c>
      <c r="C21" s="6" t="s">
        <v>37</v>
      </c>
      <c r="D21" s="8" t="s">
        <v>38</v>
      </c>
      <c r="E21" s="10">
        <v>16000</v>
      </c>
      <c r="F21" s="10">
        <v>9636</v>
      </c>
      <c r="G21" s="19">
        <f t="shared" si="0"/>
        <v>0.60224999999999995</v>
      </c>
      <c r="H21" s="9">
        <v>100</v>
      </c>
      <c r="I21" s="11"/>
      <c r="J21" s="12">
        <f t="shared" si="1"/>
        <v>0</v>
      </c>
      <c r="K21" s="13">
        <f t="shared" si="2"/>
        <v>0</v>
      </c>
    </row>
    <row r="22" spans="1:11" ht="30" customHeight="1" x14ac:dyDescent="0.3">
      <c r="A22" s="6">
        <v>16</v>
      </c>
      <c r="B22" s="7">
        <v>8809506808279</v>
      </c>
      <c r="C22" s="6" t="s">
        <v>39</v>
      </c>
      <c r="D22" s="8" t="s">
        <v>40</v>
      </c>
      <c r="E22" s="10">
        <v>16000</v>
      </c>
      <c r="F22" s="10">
        <v>9636</v>
      </c>
      <c r="G22" s="19">
        <f t="shared" si="0"/>
        <v>0.60224999999999995</v>
      </c>
      <c r="H22" s="9">
        <v>100</v>
      </c>
      <c r="I22" s="11"/>
      <c r="J22" s="12">
        <f t="shared" si="1"/>
        <v>0</v>
      </c>
      <c r="K22" s="13">
        <f t="shared" si="2"/>
        <v>0</v>
      </c>
    </row>
    <row r="23" spans="1:11" ht="30" customHeight="1" x14ac:dyDescent="0.3">
      <c r="A23" s="6">
        <v>17</v>
      </c>
      <c r="B23" s="7">
        <v>8800289467240</v>
      </c>
      <c r="C23" s="6" t="s">
        <v>41</v>
      </c>
      <c r="D23" s="8" t="s">
        <v>42</v>
      </c>
      <c r="E23" s="10">
        <v>19900</v>
      </c>
      <c r="F23" s="10">
        <v>10599.6</v>
      </c>
      <c r="G23" s="19">
        <f t="shared" si="0"/>
        <v>0.53264321608040199</v>
      </c>
      <c r="H23" s="9">
        <v>80</v>
      </c>
      <c r="I23" s="11"/>
      <c r="J23" s="12">
        <f t="shared" si="1"/>
        <v>0</v>
      </c>
      <c r="K23" s="13">
        <f t="shared" si="2"/>
        <v>0</v>
      </c>
    </row>
    <row r="24" spans="1:11" ht="30" customHeight="1" x14ac:dyDescent="0.3">
      <c r="A24" s="6">
        <v>18</v>
      </c>
      <c r="B24" s="7">
        <v>8800240567354</v>
      </c>
      <c r="C24" s="6" t="s">
        <v>43</v>
      </c>
      <c r="D24" s="8" t="s">
        <v>44</v>
      </c>
      <c r="E24" s="10">
        <v>26000</v>
      </c>
      <c r="F24" s="10">
        <v>13249.5</v>
      </c>
      <c r="G24" s="19">
        <f t="shared" si="0"/>
        <v>0.50959615384615387</v>
      </c>
      <c r="H24" s="9">
        <v>80</v>
      </c>
      <c r="I24" s="11"/>
      <c r="J24" s="12">
        <f t="shared" si="1"/>
        <v>0</v>
      </c>
      <c r="K24" s="13">
        <f t="shared" si="2"/>
        <v>0</v>
      </c>
    </row>
    <row r="25" spans="1:11" ht="30" customHeight="1" x14ac:dyDescent="0.3">
      <c r="A25" s="6">
        <v>19</v>
      </c>
      <c r="B25" s="7">
        <v>8809981334928</v>
      </c>
      <c r="C25" s="6" t="s">
        <v>45</v>
      </c>
      <c r="D25" s="8" t="s">
        <v>46</v>
      </c>
      <c r="E25" s="10">
        <v>22000</v>
      </c>
      <c r="F25" s="10">
        <v>11924.55</v>
      </c>
      <c r="G25" s="19">
        <f t="shared" si="0"/>
        <v>0.54202499999999998</v>
      </c>
      <c r="H25" s="9">
        <v>100</v>
      </c>
      <c r="I25" s="11"/>
      <c r="J25" s="12">
        <f t="shared" si="1"/>
        <v>0</v>
      </c>
      <c r="K25" s="13">
        <f t="shared" si="2"/>
        <v>0</v>
      </c>
    </row>
    <row r="26" spans="1:11" ht="30" customHeight="1" x14ac:dyDescent="0.3">
      <c r="A26" s="6">
        <v>20</v>
      </c>
      <c r="B26" s="7">
        <v>8809982768524</v>
      </c>
      <c r="C26" s="6" t="s">
        <v>47</v>
      </c>
      <c r="D26" s="8" t="s">
        <v>48</v>
      </c>
      <c r="E26" s="10">
        <v>24900</v>
      </c>
      <c r="F26" s="10">
        <v>13129.05</v>
      </c>
      <c r="G26" s="19">
        <f t="shared" si="0"/>
        <v>0.52727108433734937</v>
      </c>
      <c r="H26" s="9">
        <v>100</v>
      </c>
      <c r="I26" s="11"/>
      <c r="J26" s="12">
        <f t="shared" si="1"/>
        <v>0</v>
      </c>
      <c r="K26" s="13">
        <f t="shared" si="2"/>
        <v>0</v>
      </c>
    </row>
    <row r="27" spans="1:11" ht="30" customHeight="1" x14ac:dyDescent="0.3">
      <c r="A27" s="6">
        <v>21</v>
      </c>
      <c r="B27" s="7">
        <v>8800256115556</v>
      </c>
      <c r="C27" s="6" t="s">
        <v>49</v>
      </c>
      <c r="D27" s="8" t="s">
        <v>50</v>
      </c>
      <c r="E27" s="10">
        <v>29900</v>
      </c>
      <c r="F27" s="10">
        <v>14454</v>
      </c>
      <c r="G27" s="19">
        <f t="shared" si="0"/>
        <v>0.4834113712374582</v>
      </c>
      <c r="H27" s="9">
        <v>200</v>
      </c>
      <c r="I27" s="11"/>
      <c r="J27" s="12">
        <f t="shared" si="1"/>
        <v>0</v>
      </c>
      <c r="K27" s="13">
        <f t="shared" si="2"/>
        <v>0</v>
      </c>
    </row>
    <row r="28" spans="1:11" ht="30" customHeight="1" x14ac:dyDescent="0.3">
      <c r="A28" s="6">
        <v>22</v>
      </c>
      <c r="B28" s="7">
        <v>8809960356767</v>
      </c>
      <c r="C28" s="6" t="s">
        <v>51</v>
      </c>
      <c r="D28" s="8" t="s">
        <v>52</v>
      </c>
      <c r="E28" s="10">
        <v>15000</v>
      </c>
      <c r="F28" s="10">
        <v>8431.5</v>
      </c>
      <c r="G28" s="19">
        <f t="shared" si="0"/>
        <v>0.56210000000000004</v>
      </c>
      <c r="H28" s="9">
        <v>80</v>
      </c>
      <c r="I28" s="11"/>
      <c r="J28" s="12">
        <f t="shared" si="1"/>
        <v>0</v>
      </c>
      <c r="K28" s="13">
        <f t="shared" si="2"/>
        <v>0</v>
      </c>
    </row>
    <row r="29" spans="1:11" ht="30" customHeight="1" x14ac:dyDescent="0.3">
      <c r="A29" s="6">
        <v>23</v>
      </c>
      <c r="B29" s="7">
        <v>8800256114665</v>
      </c>
      <c r="C29" s="6" t="s">
        <v>53</v>
      </c>
      <c r="D29" s="8" t="s">
        <v>54</v>
      </c>
      <c r="E29" s="10">
        <v>17500</v>
      </c>
      <c r="F29" s="10">
        <v>12045</v>
      </c>
      <c r="G29" s="19">
        <f t="shared" si="0"/>
        <v>0.68828571428571428</v>
      </c>
      <c r="H29" s="9">
        <v>20</v>
      </c>
      <c r="I29" s="11"/>
      <c r="J29" s="12">
        <f t="shared" si="1"/>
        <v>0</v>
      </c>
      <c r="K29" s="13">
        <f t="shared" si="2"/>
        <v>0</v>
      </c>
    </row>
    <row r="30" spans="1:11" ht="30" customHeight="1" x14ac:dyDescent="0.3">
      <c r="A30" s="6">
        <v>24</v>
      </c>
      <c r="B30" s="7">
        <v>8809517414315</v>
      </c>
      <c r="C30" s="6" t="s">
        <v>55</v>
      </c>
      <c r="D30" s="8" t="s">
        <v>56</v>
      </c>
      <c r="E30" s="10">
        <v>17500</v>
      </c>
      <c r="F30" s="10">
        <v>12045</v>
      </c>
      <c r="G30" s="19">
        <f t="shared" si="0"/>
        <v>0.68828571428571428</v>
      </c>
      <c r="H30" s="9">
        <v>20</v>
      </c>
      <c r="I30" s="11"/>
      <c r="J30" s="12">
        <f t="shared" si="1"/>
        <v>0</v>
      </c>
      <c r="K30" s="13">
        <f t="shared" si="2"/>
        <v>0</v>
      </c>
    </row>
    <row r="31" spans="1:11" ht="30" customHeight="1" x14ac:dyDescent="0.3">
      <c r="A31" s="6">
        <v>25</v>
      </c>
      <c r="B31" s="7">
        <v>8800240575298</v>
      </c>
      <c r="C31" s="6" t="s">
        <v>57</v>
      </c>
      <c r="D31" s="8" t="s">
        <v>58</v>
      </c>
      <c r="E31" s="10">
        <v>11500</v>
      </c>
      <c r="F31" s="10">
        <v>9274.65</v>
      </c>
      <c r="G31" s="19">
        <f t="shared" si="0"/>
        <v>0.80649130434782601</v>
      </c>
      <c r="H31" s="9">
        <v>50</v>
      </c>
      <c r="I31" s="11"/>
      <c r="J31" s="12">
        <f t="shared" si="1"/>
        <v>0</v>
      </c>
      <c r="K31" s="13">
        <f t="shared" si="2"/>
        <v>0</v>
      </c>
    </row>
    <row r="32" spans="1:11" ht="30" customHeight="1" x14ac:dyDescent="0.3">
      <c r="A32" s="6">
        <v>26</v>
      </c>
      <c r="B32" s="7">
        <v>8800256119226</v>
      </c>
      <c r="C32" s="6" t="s">
        <v>59</v>
      </c>
      <c r="D32" s="8" t="s">
        <v>60</v>
      </c>
      <c r="E32" s="10">
        <v>11500</v>
      </c>
      <c r="F32" s="10">
        <v>9274.65</v>
      </c>
      <c r="G32" s="19">
        <f t="shared" si="0"/>
        <v>0.80649130434782601</v>
      </c>
      <c r="H32" s="9">
        <v>45</v>
      </c>
      <c r="I32" s="11"/>
      <c r="J32" s="12">
        <f t="shared" si="1"/>
        <v>0</v>
      </c>
      <c r="K32" s="13">
        <f t="shared" si="2"/>
        <v>0</v>
      </c>
    </row>
    <row r="33" spans="1:11" ht="30" customHeight="1" x14ac:dyDescent="0.3">
      <c r="A33" s="6">
        <v>27</v>
      </c>
      <c r="B33" s="7">
        <v>8800256115167</v>
      </c>
      <c r="C33" s="6" t="s">
        <v>61</v>
      </c>
      <c r="D33" s="8" t="s">
        <v>62</v>
      </c>
      <c r="E33" s="10">
        <v>14000</v>
      </c>
      <c r="F33" s="10">
        <v>10599.6</v>
      </c>
      <c r="G33" s="19">
        <f t="shared" si="0"/>
        <v>0.75711428571428574</v>
      </c>
      <c r="H33" s="9">
        <v>40</v>
      </c>
      <c r="I33" s="11"/>
      <c r="J33" s="12">
        <f t="shared" si="1"/>
        <v>0</v>
      </c>
      <c r="K33" s="13">
        <f t="shared" si="2"/>
        <v>0</v>
      </c>
    </row>
    <row r="34" spans="1:11" ht="30" customHeight="1" x14ac:dyDescent="0.3">
      <c r="A34" s="6">
        <v>28</v>
      </c>
      <c r="B34" s="7">
        <v>8800256114610</v>
      </c>
      <c r="C34" s="6" t="s">
        <v>63</v>
      </c>
      <c r="D34" s="8" t="s">
        <v>64</v>
      </c>
      <c r="E34" s="10">
        <v>14000</v>
      </c>
      <c r="F34" s="10">
        <v>10599.6</v>
      </c>
      <c r="G34" s="19">
        <f t="shared" si="0"/>
        <v>0.75711428571428574</v>
      </c>
      <c r="H34" s="9">
        <v>40</v>
      </c>
      <c r="I34" s="11"/>
      <c r="J34" s="12">
        <f t="shared" si="1"/>
        <v>0</v>
      </c>
      <c r="K34" s="13">
        <f t="shared" si="2"/>
        <v>0</v>
      </c>
    </row>
    <row r="35" spans="1:11" ht="30" customHeight="1" x14ac:dyDescent="0.3">
      <c r="A35" s="6">
        <v>29</v>
      </c>
      <c r="B35" s="7">
        <v>8800256119332</v>
      </c>
      <c r="C35" s="6" t="s">
        <v>65</v>
      </c>
      <c r="D35" s="8" t="s">
        <v>66</v>
      </c>
      <c r="E35" s="10">
        <v>17000</v>
      </c>
      <c r="F35" s="10">
        <v>9636</v>
      </c>
      <c r="G35" s="19">
        <f t="shared" si="0"/>
        <v>0.56682352941176473</v>
      </c>
      <c r="H35" s="9">
        <v>100</v>
      </c>
      <c r="I35" s="11"/>
      <c r="J35" s="12">
        <f t="shared" si="1"/>
        <v>0</v>
      </c>
      <c r="K35" s="13">
        <f t="shared" si="2"/>
        <v>0</v>
      </c>
    </row>
    <row r="36" spans="1:11" ht="30" customHeight="1" x14ac:dyDescent="0.3">
      <c r="A36" s="6">
        <v>30</v>
      </c>
      <c r="B36" s="7">
        <v>8800256114283</v>
      </c>
      <c r="C36" s="6" t="s">
        <v>67</v>
      </c>
      <c r="D36" s="8" t="s">
        <v>68</v>
      </c>
      <c r="E36" s="10">
        <v>24500</v>
      </c>
      <c r="F36" s="10">
        <v>13249.5</v>
      </c>
      <c r="G36" s="19">
        <f t="shared" si="0"/>
        <v>0.54079591836734697</v>
      </c>
      <c r="H36" s="9">
        <v>100</v>
      </c>
      <c r="I36" s="11"/>
      <c r="J36" s="12">
        <f t="shared" si="1"/>
        <v>0</v>
      </c>
      <c r="K36" s="13">
        <f t="shared" si="2"/>
        <v>0</v>
      </c>
    </row>
    <row r="37" spans="1:11" ht="30" customHeight="1" x14ac:dyDescent="0.3">
      <c r="A37" s="6">
        <v>31</v>
      </c>
      <c r="B37" s="7">
        <v>8800240567330</v>
      </c>
      <c r="C37" s="6" t="s">
        <v>69</v>
      </c>
      <c r="D37" s="8" t="s">
        <v>70</v>
      </c>
      <c r="E37" s="10">
        <v>27500</v>
      </c>
      <c r="F37" s="10">
        <v>14454</v>
      </c>
      <c r="G37" s="19">
        <f t="shared" si="0"/>
        <v>0.52559999999999996</v>
      </c>
      <c r="H37" s="9">
        <v>80</v>
      </c>
      <c r="I37" s="11"/>
      <c r="J37" s="12">
        <f t="shared" si="1"/>
        <v>0</v>
      </c>
      <c r="K37" s="13">
        <f t="shared" si="2"/>
        <v>0</v>
      </c>
    </row>
    <row r="38" spans="1:11" ht="30" customHeight="1" x14ac:dyDescent="0.3">
      <c r="A38" s="6">
        <v>32</v>
      </c>
      <c r="B38" s="7">
        <v>8800240569969</v>
      </c>
      <c r="C38" s="6" t="s">
        <v>71</v>
      </c>
      <c r="D38" s="8" t="s">
        <v>72</v>
      </c>
      <c r="E38" s="10">
        <v>2500</v>
      </c>
      <c r="F38" s="10">
        <v>963.6</v>
      </c>
      <c r="G38" s="19">
        <f t="shared" si="0"/>
        <v>0.38544</v>
      </c>
      <c r="H38" s="9">
        <v>200</v>
      </c>
      <c r="I38" s="11"/>
      <c r="J38" s="12">
        <f t="shared" si="1"/>
        <v>0</v>
      </c>
      <c r="K38" s="13">
        <f t="shared" si="2"/>
        <v>0</v>
      </c>
    </row>
    <row r="39" spans="1:11" ht="30" customHeight="1" x14ac:dyDescent="0.3">
      <c r="A39" s="6">
        <v>33</v>
      </c>
      <c r="B39" s="7">
        <v>8800256109661</v>
      </c>
      <c r="C39" s="6" t="s">
        <v>73</v>
      </c>
      <c r="D39" s="8" t="s">
        <v>74</v>
      </c>
      <c r="E39" s="10">
        <v>21000</v>
      </c>
      <c r="F39" s="10">
        <v>14454</v>
      </c>
      <c r="G39" s="19">
        <f t="shared" si="0"/>
        <v>0.68828571428571428</v>
      </c>
      <c r="H39" s="9">
        <v>20</v>
      </c>
      <c r="I39" s="11"/>
      <c r="J39" s="12">
        <f t="shared" si="1"/>
        <v>0</v>
      </c>
      <c r="K39" s="13">
        <f t="shared" si="2"/>
        <v>0</v>
      </c>
    </row>
    <row r="40" spans="1:11" ht="30" customHeight="1" x14ac:dyDescent="0.3">
      <c r="A40" s="6">
        <v>34</v>
      </c>
      <c r="B40" s="7">
        <v>8800240579838</v>
      </c>
      <c r="C40" s="6" t="s">
        <v>75</v>
      </c>
      <c r="D40" s="8" t="s">
        <v>76</v>
      </c>
      <c r="E40" s="10">
        <v>30000</v>
      </c>
      <c r="F40" s="10">
        <v>15658.5</v>
      </c>
      <c r="G40" s="19">
        <f t="shared" si="0"/>
        <v>0.52195000000000003</v>
      </c>
      <c r="H40" s="9">
        <v>100</v>
      </c>
      <c r="I40" s="11"/>
      <c r="J40" s="12">
        <f t="shared" si="1"/>
        <v>0</v>
      </c>
      <c r="K40" s="13">
        <f t="shared" si="2"/>
        <v>0</v>
      </c>
    </row>
    <row r="41" spans="1:11" ht="30" customHeight="1" x14ac:dyDescent="0.3">
      <c r="A41" s="6">
        <v>35</v>
      </c>
      <c r="B41" s="7">
        <v>8800240566944</v>
      </c>
      <c r="C41" s="6" t="s">
        <v>77</v>
      </c>
      <c r="D41" s="8" t="s">
        <v>78</v>
      </c>
      <c r="E41" s="10">
        <v>30000</v>
      </c>
      <c r="F41" s="10">
        <v>15658.5</v>
      </c>
      <c r="G41" s="19">
        <f t="shared" si="0"/>
        <v>0.52195000000000003</v>
      </c>
      <c r="H41" s="9">
        <v>50</v>
      </c>
      <c r="I41" s="11"/>
      <c r="J41" s="12">
        <f t="shared" si="1"/>
        <v>0</v>
      </c>
      <c r="K41" s="13">
        <f t="shared" si="2"/>
        <v>0</v>
      </c>
    </row>
    <row r="42" spans="1:11" ht="30" customHeight="1" x14ac:dyDescent="0.3">
      <c r="A42" s="6">
        <v>36</v>
      </c>
      <c r="B42" s="7">
        <v>8809982769866</v>
      </c>
      <c r="C42" s="6" t="s">
        <v>79</v>
      </c>
      <c r="D42" s="8" t="s">
        <v>80</v>
      </c>
      <c r="E42" s="10">
        <v>26200</v>
      </c>
      <c r="F42" s="10">
        <v>14454</v>
      </c>
      <c r="G42" s="19">
        <f t="shared" si="0"/>
        <v>0.55167938931297711</v>
      </c>
      <c r="H42" s="9">
        <v>80</v>
      </c>
      <c r="I42" s="11"/>
      <c r="J42" s="12">
        <f t="shared" si="1"/>
        <v>0</v>
      </c>
      <c r="K42" s="13">
        <f t="shared" si="2"/>
        <v>0</v>
      </c>
    </row>
    <row r="43" spans="1:11" ht="30" customHeight="1" x14ac:dyDescent="0.3">
      <c r="A43" s="6">
        <v>37</v>
      </c>
      <c r="B43" s="7">
        <v>8800289479977</v>
      </c>
      <c r="C43" s="6" t="s">
        <v>81</v>
      </c>
      <c r="D43" s="8" t="s">
        <v>82</v>
      </c>
      <c r="E43" s="10">
        <v>23500</v>
      </c>
      <c r="F43" s="10">
        <v>13249.5</v>
      </c>
      <c r="G43" s="19">
        <f t="shared" si="0"/>
        <v>0.56380851063829784</v>
      </c>
      <c r="H43" s="9">
        <v>80</v>
      </c>
      <c r="I43" s="11"/>
      <c r="J43" s="12">
        <f t="shared" si="1"/>
        <v>0</v>
      </c>
      <c r="K43" s="13">
        <f t="shared" si="2"/>
        <v>0</v>
      </c>
    </row>
    <row r="44" spans="1:11" ht="30" customHeight="1" x14ac:dyDescent="0.3">
      <c r="A44" s="6">
        <v>38</v>
      </c>
      <c r="B44" s="7">
        <v>8809982769941</v>
      </c>
      <c r="C44" s="6" t="s">
        <v>83</v>
      </c>
      <c r="D44" s="8" t="s">
        <v>84</v>
      </c>
      <c r="E44" s="10">
        <v>20000</v>
      </c>
      <c r="F44" s="10">
        <v>12045</v>
      </c>
      <c r="G44" s="19">
        <f t="shared" si="0"/>
        <v>0.60224999999999995</v>
      </c>
      <c r="H44" s="9">
        <v>16</v>
      </c>
      <c r="I44" s="11"/>
      <c r="J44" s="12">
        <f t="shared" si="1"/>
        <v>0</v>
      </c>
      <c r="K44" s="13">
        <f t="shared" si="2"/>
        <v>0</v>
      </c>
    </row>
    <row r="45" spans="1:11" ht="30" customHeight="1" x14ac:dyDescent="0.3">
      <c r="A45" s="6">
        <v>39</v>
      </c>
      <c r="B45" s="7">
        <v>8809852977001</v>
      </c>
      <c r="C45" s="6" t="s">
        <v>85</v>
      </c>
      <c r="D45" s="8" t="s">
        <v>86</v>
      </c>
      <c r="E45" s="10">
        <v>12500</v>
      </c>
      <c r="F45" s="10">
        <v>7227</v>
      </c>
      <c r="G45" s="19">
        <f t="shared" si="0"/>
        <v>0.57816000000000001</v>
      </c>
      <c r="H45" s="9">
        <v>40</v>
      </c>
      <c r="I45" s="11"/>
      <c r="J45" s="12">
        <f t="shared" si="1"/>
        <v>0</v>
      </c>
      <c r="K45" s="13">
        <f t="shared" si="2"/>
        <v>0</v>
      </c>
    </row>
    <row r="46" spans="1:11" ht="30" customHeight="1" x14ac:dyDescent="0.3">
      <c r="A46" s="6">
        <v>40</v>
      </c>
      <c r="B46" s="7">
        <v>8809960356620</v>
      </c>
      <c r="C46" s="6" t="s">
        <v>87</v>
      </c>
      <c r="D46" s="8" t="s">
        <v>88</v>
      </c>
      <c r="E46" s="10">
        <v>34000</v>
      </c>
      <c r="F46" s="10">
        <v>14454</v>
      </c>
      <c r="G46" s="19">
        <f t="shared" si="0"/>
        <v>0.42511764705882354</v>
      </c>
      <c r="H46" s="9">
        <v>120</v>
      </c>
      <c r="I46" s="11"/>
      <c r="J46" s="12">
        <f t="shared" si="1"/>
        <v>0</v>
      </c>
      <c r="K46" s="13">
        <f t="shared" si="2"/>
        <v>0</v>
      </c>
    </row>
    <row r="47" spans="1:11" ht="30" customHeight="1" x14ac:dyDescent="0.3">
      <c r="A47" s="6">
        <v>41</v>
      </c>
      <c r="B47" s="7">
        <v>8800289474859</v>
      </c>
      <c r="C47" s="6" t="s">
        <v>89</v>
      </c>
      <c r="D47" s="8" t="s">
        <v>90</v>
      </c>
      <c r="E47" s="10">
        <v>19900</v>
      </c>
      <c r="F47" s="10">
        <v>9636</v>
      </c>
      <c r="G47" s="19">
        <f t="shared" si="0"/>
        <v>0.4842211055276382</v>
      </c>
      <c r="H47" s="9">
        <v>80</v>
      </c>
      <c r="I47" s="11"/>
      <c r="J47" s="12">
        <f t="shared" si="1"/>
        <v>0</v>
      </c>
      <c r="K47" s="13">
        <f t="shared" si="2"/>
        <v>0</v>
      </c>
    </row>
    <row r="48" spans="1:11" ht="30" customHeight="1" x14ac:dyDescent="0.3">
      <c r="A48" s="6">
        <v>42</v>
      </c>
      <c r="B48" s="7">
        <v>8800289475023</v>
      </c>
      <c r="C48" s="6" t="s">
        <v>91</v>
      </c>
      <c r="D48" s="8" t="s">
        <v>92</v>
      </c>
      <c r="E48" s="10">
        <v>18000</v>
      </c>
      <c r="F48" s="10">
        <v>9395.1</v>
      </c>
      <c r="G48" s="19">
        <f t="shared" si="0"/>
        <v>0.52195000000000003</v>
      </c>
      <c r="H48" s="9">
        <v>30</v>
      </c>
      <c r="I48" s="11"/>
      <c r="J48" s="12">
        <f t="shared" si="1"/>
        <v>0</v>
      </c>
      <c r="K48" s="13">
        <f t="shared" si="2"/>
        <v>0</v>
      </c>
    </row>
    <row r="49" spans="1:11" ht="30" customHeight="1" x14ac:dyDescent="0.3">
      <c r="A49" s="6">
        <v>43</v>
      </c>
      <c r="B49" s="7">
        <v>8800289477416</v>
      </c>
      <c r="C49" s="6" t="s">
        <v>93</v>
      </c>
      <c r="D49" s="8" t="s">
        <v>94</v>
      </c>
      <c r="E49" s="10">
        <v>20700</v>
      </c>
      <c r="F49" s="10">
        <v>11924.55</v>
      </c>
      <c r="G49" s="19">
        <f t="shared" si="0"/>
        <v>0.57606521739130434</v>
      </c>
      <c r="H49" s="9">
        <v>80</v>
      </c>
      <c r="I49" s="11"/>
      <c r="J49" s="12">
        <f t="shared" si="1"/>
        <v>0</v>
      </c>
      <c r="K49" s="13">
        <f t="shared" si="2"/>
        <v>0</v>
      </c>
    </row>
    <row r="50" spans="1:11" ht="30" customHeight="1" x14ac:dyDescent="0.3">
      <c r="A50" s="6">
        <v>44</v>
      </c>
      <c r="B50" s="7">
        <v>8800289474958</v>
      </c>
      <c r="C50" s="6" t="s">
        <v>95</v>
      </c>
      <c r="D50" s="8" t="s">
        <v>96</v>
      </c>
      <c r="E50" s="10">
        <v>14000</v>
      </c>
      <c r="F50" s="10">
        <v>9274.65</v>
      </c>
      <c r="G50" s="19">
        <f t="shared" si="0"/>
        <v>0.66247499999999993</v>
      </c>
      <c r="H50" s="9">
        <v>80</v>
      </c>
      <c r="I50" s="11"/>
      <c r="J50" s="12">
        <f t="shared" si="1"/>
        <v>0</v>
      </c>
      <c r="K50" s="13">
        <f t="shared" si="2"/>
        <v>0</v>
      </c>
    </row>
    <row r="51" spans="1:11" ht="30" customHeight="1" x14ac:dyDescent="0.3">
      <c r="A51" s="6">
        <v>45</v>
      </c>
      <c r="B51" s="7">
        <v>8800289467554</v>
      </c>
      <c r="C51" s="6" t="s">
        <v>97</v>
      </c>
      <c r="D51" s="8" t="s">
        <v>98</v>
      </c>
      <c r="E51" s="10">
        <v>19900</v>
      </c>
      <c r="F51" s="10">
        <v>10599.6</v>
      </c>
      <c r="G51" s="19">
        <f t="shared" si="0"/>
        <v>0.53264321608040199</v>
      </c>
      <c r="H51" s="9">
        <v>10</v>
      </c>
      <c r="I51" s="11"/>
      <c r="J51" s="12">
        <f t="shared" si="1"/>
        <v>0</v>
      </c>
      <c r="K51" s="13">
        <f t="shared" si="2"/>
        <v>0</v>
      </c>
    </row>
    <row r="52" spans="1:11" ht="30" customHeight="1" x14ac:dyDescent="0.3">
      <c r="A52" s="6">
        <v>46</v>
      </c>
      <c r="B52" s="7">
        <v>8800289479588</v>
      </c>
      <c r="C52" s="6" t="s">
        <v>99</v>
      </c>
      <c r="D52" s="8" t="s">
        <v>100</v>
      </c>
      <c r="E52" s="10">
        <v>23800</v>
      </c>
      <c r="F52" s="10">
        <v>14454</v>
      </c>
      <c r="G52" s="19">
        <f t="shared" si="0"/>
        <v>0.60731092436974787</v>
      </c>
      <c r="H52" s="9">
        <v>80</v>
      </c>
      <c r="I52" s="11"/>
      <c r="J52" s="12">
        <f t="shared" si="1"/>
        <v>0</v>
      </c>
      <c r="K52" s="13">
        <f t="shared" si="2"/>
        <v>0</v>
      </c>
    </row>
    <row r="53" spans="1:11" ht="30" customHeight="1" x14ac:dyDescent="0.3">
      <c r="A53" s="6">
        <v>47</v>
      </c>
      <c r="B53" s="7">
        <v>8800289479656</v>
      </c>
      <c r="C53" s="6" t="s">
        <v>101</v>
      </c>
      <c r="D53" s="8" t="s">
        <v>102</v>
      </c>
      <c r="E53" s="10">
        <v>29000</v>
      </c>
      <c r="F53" s="10">
        <v>13249.5</v>
      </c>
      <c r="G53" s="19">
        <f t="shared" si="0"/>
        <v>0.45687931034482759</v>
      </c>
      <c r="H53" s="9">
        <v>100</v>
      </c>
      <c r="I53" s="11"/>
      <c r="J53" s="12">
        <f t="shared" si="1"/>
        <v>0</v>
      </c>
      <c r="K53" s="13">
        <f t="shared" si="2"/>
        <v>0</v>
      </c>
    </row>
    <row r="54" spans="1:11" ht="30" customHeight="1" x14ac:dyDescent="0.3">
      <c r="A54" s="6">
        <v>48</v>
      </c>
      <c r="B54" s="7">
        <v>8800289461408</v>
      </c>
      <c r="C54" s="6" t="s">
        <v>103</v>
      </c>
      <c r="D54" s="8" t="s">
        <v>104</v>
      </c>
      <c r="E54" s="10">
        <v>28900</v>
      </c>
      <c r="F54" s="10">
        <v>15056.25</v>
      </c>
      <c r="G54" s="19">
        <f t="shared" si="0"/>
        <v>0.52097750865051906</v>
      </c>
      <c r="H54" s="9">
        <v>20</v>
      </c>
      <c r="I54" s="11"/>
      <c r="J54" s="12">
        <f t="shared" si="1"/>
        <v>0</v>
      </c>
      <c r="K54" s="13">
        <f t="shared" si="2"/>
        <v>0</v>
      </c>
    </row>
    <row r="55" spans="1:11" ht="30" customHeight="1" x14ac:dyDescent="0.3">
      <c r="A55" s="6">
        <v>49</v>
      </c>
      <c r="B55" s="7">
        <v>8800289461217</v>
      </c>
      <c r="C55" s="6" t="s">
        <v>105</v>
      </c>
      <c r="D55" s="8" t="s">
        <v>106</v>
      </c>
      <c r="E55" s="10">
        <v>24000</v>
      </c>
      <c r="F55" s="10">
        <v>13249.5</v>
      </c>
      <c r="G55" s="19">
        <f t="shared" si="0"/>
        <v>0.55206250000000001</v>
      </c>
      <c r="H55" s="9">
        <v>50</v>
      </c>
      <c r="I55" s="11"/>
      <c r="J55" s="12">
        <f t="shared" si="1"/>
        <v>0</v>
      </c>
      <c r="K55" s="13">
        <f t="shared" si="2"/>
        <v>0</v>
      </c>
    </row>
    <row r="56" spans="1:11" ht="30" customHeight="1" x14ac:dyDescent="0.3">
      <c r="A56" s="6">
        <v>50</v>
      </c>
      <c r="B56" s="7">
        <v>8800289479519</v>
      </c>
      <c r="C56" s="6" t="s">
        <v>107</v>
      </c>
      <c r="D56" s="8" t="s">
        <v>108</v>
      </c>
      <c r="E56" s="10">
        <v>19900</v>
      </c>
      <c r="F56" s="10">
        <v>10117.799999999999</v>
      </c>
      <c r="G56" s="19">
        <f t="shared" si="0"/>
        <v>0.50843216080402009</v>
      </c>
      <c r="H56" s="9">
        <v>30</v>
      </c>
      <c r="I56" s="11"/>
      <c r="J56" s="12">
        <f t="shared" si="1"/>
        <v>0</v>
      </c>
      <c r="K56" s="13">
        <f t="shared" si="2"/>
        <v>0</v>
      </c>
    </row>
    <row r="57" spans="1:11" ht="30" customHeight="1" x14ac:dyDescent="0.3">
      <c r="A57" s="6">
        <v>51</v>
      </c>
      <c r="B57" s="7">
        <v>8800289477386</v>
      </c>
      <c r="C57" s="6" t="s">
        <v>109</v>
      </c>
      <c r="D57" s="8" t="s">
        <v>110</v>
      </c>
      <c r="E57" s="10">
        <v>17500</v>
      </c>
      <c r="F57" s="10">
        <v>12045</v>
      </c>
      <c r="G57" s="19">
        <f t="shared" si="0"/>
        <v>0.68828571428571428</v>
      </c>
      <c r="H57" s="9">
        <v>20</v>
      </c>
      <c r="I57" s="11"/>
      <c r="J57" s="12">
        <f t="shared" si="1"/>
        <v>0</v>
      </c>
      <c r="K57" s="13">
        <f t="shared" si="2"/>
        <v>0</v>
      </c>
    </row>
    <row r="58" spans="1:11" ht="30" customHeight="1" x14ac:dyDescent="0.3">
      <c r="A58" s="6">
        <v>52</v>
      </c>
      <c r="B58" s="7">
        <v>8800289479458</v>
      </c>
      <c r="C58" s="6" t="s">
        <v>111</v>
      </c>
      <c r="D58" s="8" t="s">
        <v>112</v>
      </c>
      <c r="E58" s="10">
        <v>19900</v>
      </c>
      <c r="F58" s="10">
        <v>10117.799999999999</v>
      </c>
      <c r="G58" s="19">
        <f t="shared" si="0"/>
        <v>0.50843216080402009</v>
      </c>
      <c r="H58" s="9">
        <v>40</v>
      </c>
      <c r="I58" s="11"/>
      <c r="J58" s="12">
        <f t="shared" si="1"/>
        <v>0</v>
      </c>
      <c r="K58" s="13">
        <f t="shared" si="2"/>
        <v>0</v>
      </c>
    </row>
    <row r="59" spans="1:11" ht="30" customHeight="1" x14ac:dyDescent="0.3">
      <c r="A59" s="6">
        <v>53</v>
      </c>
      <c r="B59" s="7">
        <v>8800256114320</v>
      </c>
      <c r="C59" s="6" t="s">
        <v>113</v>
      </c>
      <c r="D59" s="8" t="s">
        <v>114</v>
      </c>
      <c r="E59" s="10">
        <v>15000</v>
      </c>
      <c r="F59" s="10">
        <v>8431.5</v>
      </c>
      <c r="G59" s="19">
        <f t="shared" si="0"/>
        <v>0.56210000000000004</v>
      </c>
      <c r="H59" s="9">
        <v>60</v>
      </c>
      <c r="I59" s="11"/>
      <c r="J59" s="12">
        <f t="shared" si="1"/>
        <v>0</v>
      </c>
      <c r="K59" s="13">
        <f t="shared" si="2"/>
        <v>0</v>
      </c>
    </row>
    <row r="60" spans="1:11" ht="30" customHeight="1" x14ac:dyDescent="0.3">
      <c r="A60" s="6">
        <v>54</v>
      </c>
      <c r="B60" s="7">
        <v>8800256114351</v>
      </c>
      <c r="C60" s="6" t="s">
        <v>115</v>
      </c>
      <c r="D60" s="8" t="s">
        <v>116</v>
      </c>
      <c r="E60" s="10">
        <v>22500</v>
      </c>
      <c r="F60" s="10">
        <v>12045</v>
      </c>
      <c r="G60" s="19">
        <f t="shared" si="0"/>
        <v>0.53533333333333333</v>
      </c>
      <c r="H60" s="9">
        <v>60</v>
      </c>
      <c r="I60" s="11"/>
      <c r="J60" s="12">
        <f t="shared" si="1"/>
        <v>0</v>
      </c>
      <c r="K60" s="13">
        <f t="shared" si="2"/>
        <v>0</v>
      </c>
    </row>
    <row r="61" spans="1:11" ht="30" customHeight="1" x14ac:dyDescent="0.3">
      <c r="A61" s="6">
        <v>55</v>
      </c>
      <c r="B61" s="7">
        <v>8800256114313</v>
      </c>
      <c r="C61" s="6" t="s">
        <v>117</v>
      </c>
      <c r="D61" s="8" t="s">
        <v>118</v>
      </c>
      <c r="E61" s="10">
        <v>27500</v>
      </c>
      <c r="F61" s="10">
        <v>15056.25</v>
      </c>
      <c r="G61" s="19">
        <f t="shared" si="0"/>
        <v>0.54749999999999999</v>
      </c>
      <c r="H61" s="9">
        <v>60</v>
      </c>
      <c r="I61" s="11"/>
      <c r="J61" s="12">
        <f t="shared" si="1"/>
        <v>0</v>
      </c>
      <c r="K61" s="13">
        <f t="shared" si="2"/>
        <v>0</v>
      </c>
    </row>
    <row r="62" spans="1:11" ht="30" customHeight="1" x14ac:dyDescent="0.3">
      <c r="A62" s="6">
        <v>56</v>
      </c>
      <c r="B62" s="7">
        <v>8800256113217</v>
      </c>
      <c r="C62" s="6" t="s">
        <v>119</v>
      </c>
      <c r="D62" s="8" t="s">
        <v>120</v>
      </c>
      <c r="E62" s="10">
        <v>25000</v>
      </c>
      <c r="F62" s="10">
        <v>14454</v>
      </c>
      <c r="G62" s="19">
        <f t="shared" si="0"/>
        <v>0.57816000000000001</v>
      </c>
      <c r="H62" s="9">
        <v>80</v>
      </c>
      <c r="I62" s="11"/>
      <c r="J62" s="12">
        <f t="shared" si="1"/>
        <v>0</v>
      </c>
      <c r="K62" s="13">
        <f t="shared" si="2"/>
        <v>0</v>
      </c>
    </row>
    <row r="63" spans="1:11" ht="30" customHeight="1" x14ac:dyDescent="0.3">
      <c r="A63" s="6">
        <v>57</v>
      </c>
      <c r="B63" s="7">
        <v>8800256112227</v>
      </c>
      <c r="C63" s="6" t="s">
        <v>121</v>
      </c>
      <c r="D63" s="8" t="s">
        <v>122</v>
      </c>
      <c r="E63" s="10">
        <v>19500</v>
      </c>
      <c r="F63" s="10">
        <v>9636</v>
      </c>
      <c r="G63" s="19">
        <f t="shared" si="0"/>
        <v>0.49415384615384617</v>
      </c>
      <c r="H63" s="9">
        <v>80</v>
      </c>
      <c r="I63" s="11"/>
      <c r="J63" s="12">
        <f t="shared" si="1"/>
        <v>0</v>
      </c>
      <c r="K63" s="13">
        <f t="shared" si="2"/>
        <v>0</v>
      </c>
    </row>
    <row r="64" spans="1:11" ht="30" customHeight="1" x14ac:dyDescent="0.3">
      <c r="A64" s="6">
        <v>58</v>
      </c>
      <c r="B64" s="7">
        <v>8809981339206</v>
      </c>
      <c r="C64" s="6" t="s">
        <v>123</v>
      </c>
      <c r="D64" s="8" t="s">
        <v>124</v>
      </c>
      <c r="E64" s="10">
        <v>26000</v>
      </c>
      <c r="F64" s="10">
        <v>14454</v>
      </c>
      <c r="G64" s="19">
        <f t="shared" si="0"/>
        <v>0.55592307692307696</v>
      </c>
      <c r="H64" s="9">
        <v>100</v>
      </c>
      <c r="I64" s="11"/>
      <c r="J64" s="12">
        <f t="shared" si="1"/>
        <v>0</v>
      </c>
      <c r="K64" s="13">
        <f t="shared" si="2"/>
        <v>0</v>
      </c>
    </row>
    <row r="65" spans="1:11" ht="30" customHeight="1" x14ac:dyDescent="0.3">
      <c r="A65" s="6">
        <v>59</v>
      </c>
      <c r="B65" s="7">
        <v>8800240576608</v>
      </c>
      <c r="C65" s="6" t="s">
        <v>125</v>
      </c>
      <c r="D65" s="8" t="s">
        <v>126</v>
      </c>
      <c r="E65" s="10">
        <v>19500</v>
      </c>
      <c r="F65" s="10">
        <v>11924.55</v>
      </c>
      <c r="G65" s="19">
        <f t="shared" si="0"/>
        <v>0.61151538461538457</v>
      </c>
      <c r="H65" s="9">
        <v>100</v>
      </c>
      <c r="I65" s="11"/>
      <c r="J65" s="12">
        <f t="shared" si="1"/>
        <v>0</v>
      </c>
      <c r="K65" s="13">
        <f t="shared" si="2"/>
        <v>0</v>
      </c>
    </row>
    <row r="66" spans="1:11" ht="30" customHeight="1" x14ac:dyDescent="0.3">
      <c r="A66" s="6">
        <v>60</v>
      </c>
      <c r="B66" s="7">
        <v>8800240576783</v>
      </c>
      <c r="C66" s="6" t="s">
        <v>127</v>
      </c>
      <c r="D66" s="8" t="s">
        <v>128</v>
      </c>
      <c r="E66" s="10">
        <v>26000</v>
      </c>
      <c r="F66" s="10">
        <v>13851.75</v>
      </c>
      <c r="G66" s="19">
        <f t="shared" si="0"/>
        <v>0.53275961538461536</v>
      </c>
      <c r="H66" s="9">
        <v>100</v>
      </c>
      <c r="I66" s="11"/>
      <c r="J66" s="12">
        <f t="shared" si="1"/>
        <v>0</v>
      </c>
      <c r="K66" s="13">
        <f t="shared" si="2"/>
        <v>0</v>
      </c>
    </row>
    <row r="67" spans="1:11" ht="30" customHeight="1" x14ac:dyDescent="0.3">
      <c r="A67" s="6">
        <v>61</v>
      </c>
      <c r="B67" s="7">
        <v>8800289478161</v>
      </c>
      <c r="C67" s="6" t="s">
        <v>129</v>
      </c>
      <c r="D67" s="8" t="s">
        <v>130</v>
      </c>
      <c r="E67" s="10">
        <v>19900</v>
      </c>
      <c r="F67" s="10">
        <v>9636</v>
      </c>
      <c r="G67" s="19">
        <f t="shared" si="0"/>
        <v>0.4842211055276382</v>
      </c>
      <c r="H67" s="9">
        <v>80</v>
      </c>
      <c r="I67" s="11"/>
      <c r="J67" s="12">
        <f t="shared" si="1"/>
        <v>0</v>
      </c>
      <c r="K67" s="13">
        <f t="shared" si="2"/>
        <v>0</v>
      </c>
    </row>
    <row r="68" spans="1:11" ht="30" customHeight="1" x14ac:dyDescent="0.3">
      <c r="A68" s="6">
        <v>62</v>
      </c>
      <c r="B68" s="7">
        <v>8809936587119</v>
      </c>
      <c r="C68" s="6" t="s">
        <v>131</v>
      </c>
      <c r="D68" s="8" t="s">
        <v>132</v>
      </c>
      <c r="E68" s="10">
        <v>19900</v>
      </c>
      <c r="F68" s="10">
        <v>10840.5</v>
      </c>
      <c r="G68" s="19">
        <f t="shared" si="0"/>
        <v>0.54474874371859294</v>
      </c>
      <c r="H68" s="9">
        <v>30</v>
      </c>
      <c r="I68" s="11"/>
      <c r="J68" s="12">
        <f t="shared" si="1"/>
        <v>0</v>
      </c>
      <c r="K68" s="13">
        <f t="shared" si="2"/>
        <v>0</v>
      </c>
    </row>
    <row r="69" spans="1:11" ht="30" customHeight="1" x14ac:dyDescent="0.3">
      <c r="A69" s="6">
        <v>63</v>
      </c>
      <c r="B69" s="7">
        <v>8800240576233</v>
      </c>
      <c r="C69" s="6" t="s">
        <v>133</v>
      </c>
      <c r="D69" s="8" t="s">
        <v>134</v>
      </c>
      <c r="E69" s="10">
        <v>19000</v>
      </c>
      <c r="F69" s="10">
        <v>10840.5</v>
      </c>
      <c r="G69" s="19">
        <f t="shared" si="0"/>
        <v>0.57055263157894742</v>
      </c>
      <c r="H69" s="9">
        <v>80</v>
      </c>
      <c r="I69" s="11"/>
      <c r="J69" s="12">
        <f t="shared" si="1"/>
        <v>0</v>
      </c>
      <c r="K69" s="13">
        <f t="shared" si="2"/>
        <v>0</v>
      </c>
    </row>
    <row r="70" spans="1:11" ht="30" customHeight="1" x14ac:dyDescent="0.3">
      <c r="A70" s="6">
        <v>64</v>
      </c>
      <c r="B70" s="7">
        <v>8809960356644</v>
      </c>
      <c r="C70" s="6" t="s">
        <v>135</v>
      </c>
      <c r="D70" s="8" t="s">
        <v>136</v>
      </c>
      <c r="E70" s="10">
        <v>19000</v>
      </c>
      <c r="F70" s="10">
        <v>10840.5</v>
      </c>
      <c r="G70" s="19">
        <f t="shared" si="0"/>
        <v>0.57055263157894742</v>
      </c>
      <c r="H70" s="9">
        <v>40</v>
      </c>
      <c r="I70" s="11"/>
      <c r="J70" s="12">
        <f t="shared" si="1"/>
        <v>0</v>
      </c>
      <c r="K70" s="13">
        <f t="shared" si="2"/>
        <v>0</v>
      </c>
    </row>
    <row r="71" spans="1:11" ht="30" customHeight="1" x14ac:dyDescent="0.3">
      <c r="A71" s="6">
        <v>65</v>
      </c>
      <c r="B71" s="7">
        <v>8800289469077</v>
      </c>
      <c r="C71" s="6" t="s">
        <v>137</v>
      </c>
      <c r="D71" s="8" t="s">
        <v>138</v>
      </c>
      <c r="E71" s="10">
        <v>14900</v>
      </c>
      <c r="F71" s="10">
        <v>14454</v>
      </c>
      <c r="G71" s="19">
        <f t="shared" si="0"/>
        <v>0.97006711409395974</v>
      </c>
      <c r="H71" s="9">
        <v>30</v>
      </c>
      <c r="I71" s="11"/>
      <c r="J71" s="12">
        <f t="shared" si="1"/>
        <v>0</v>
      </c>
      <c r="K71" s="13">
        <f t="shared" si="2"/>
        <v>0</v>
      </c>
    </row>
    <row r="72" spans="1:11" ht="30" customHeight="1" x14ac:dyDescent="0.3">
      <c r="A72" s="6">
        <v>66</v>
      </c>
      <c r="B72" s="7">
        <v>8800289479618</v>
      </c>
      <c r="C72" s="6" t="s">
        <v>139</v>
      </c>
      <c r="D72" s="8" t="s">
        <v>140</v>
      </c>
      <c r="E72" s="10">
        <v>29000</v>
      </c>
      <c r="F72" s="10">
        <v>15658.5</v>
      </c>
      <c r="G72" s="19">
        <f t="shared" ref="G72:G135" si="3">F72/E72</f>
        <v>0.53994827586206895</v>
      </c>
      <c r="H72" s="9">
        <v>50</v>
      </c>
      <c r="I72" s="11"/>
      <c r="J72" s="12">
        <f t="shared" ref="J72:J135" si="4">I72*H72</f>
        <v>0</v>
      </c>
      <c r="K72" s="13">
        <f t="shared" ref="K72:K135" si="5">IF($F72&gt;0,$J72*$F72,"")</f>
        <v>0</v>
      </c>
    </row>
    <row r="73" spans="1:11" ht="30" customHeight="1" x14ac:dyDescent="0.3">
      <c r="A73" s="6">
        <v>67</v>
      </c>
      <c r="B73" s="7">
        <v>8809517413646</v>
      </c>
      <c r="C73" s="6" t="s">
        <v>141</v>
      </c>
      <c r="D73" s="8" t="s">
        <v>142</v>
      </c>
      <c r="E73" s="10">
        <v>24000</v>
      </c>
      <c r="F73" s="10">
        <v>13249.5</v>
      </c>
      <c r="G73" s="19">
        <f t="shared" si="3"/>
        <v>0.55206250000000001</v>
      </c>
      <c r="H73" s="9">
        <v>20</v>
      </c>
      <c r="I73" s="11"/>
      <c r="J73" s="12">
        <f t="shared" si="4"/>
        <v>0</v>
      </c>
      <c r="K73" s="13">
        <f t="shared" si="5"/>
        <v>0</v>
      </c>
    </row>
    <row r="74" spans="1:11" ht="30" customHeight="1" x14ac:dyDescent="0.3">
      <c r="A74" s="6">
        <v>68</v>
      </c>
      <c r="B74" s="7">
        <v>8809517413653</v>
      </c>
      <c r="C74" s="6" t="s">
        <v>143</v>
      </c>
      <c r="D74" s="8" t="s">
        <v>144</v>
      </c>
      <c r="E74" s="10">
        <v>23000</v>
      </c>
      <c r="F74" s="10">
        <v>12647.25</v>
      </c>
      <c r="G74" s="19">
        <f t="shared" si="3"/>
        <v>0.54988043478260873</v>
      </c>
      <c r="H74" s="9">
        <v>20</v>
      </c>
      <c r="I74" s="11"/>
      <c r="J74" s="12">
        <f t="shared" si="4"/>
        <v>0</v>
      </c>
      <c r="K74" s="13">
        <f t="shared" si="5"/>
        <v>0</v>
      </c>
    </row>
    <row r="75" spans="1:11" ht="30" customHeight="1" x14ac:dyDescent="0.3">
      <c r="A75" s="6">
        <v>69</v>
      </c>
      <c r="B75" s="7">
        <v>8800256112487</v>
      </c>
      <c r="C75" s="6" t="s">
        <v>145</v>
      </c>
      <c r="D75" s="8" t="s">
        <v>146</v>
      </c>
      <c r="E75" s="10">
        <v>18000</v>
      </c>
      <c r="F75" s="10">
        <v>9636</v>
      </c>
      <c r="G75" s="19">
        <f t="shared" si="3"/>
        <v>0.53533333333333333</v>
      </c>
      <c r="H75" s="9">
        <v>20</v>
      </c>
      <c r="I75" s="11"/>
      <c r="J75" s="12">
        <f t="shared" si="4"/>
        <v>0</v>
      </c>
      <c r="K75" s="13">
        <f t="shared" si="5"/>
        <v>0</v>
      </c>
    </row>
    <row r="76" spans="1:11" ht="30" customHeight="1" x14ac:dyDescent="0.3">
      <c r="A76" s="6">
        <v>70</v>
      </c>
      <c r="B76" s="7">
        <v>8800256115365</v>
      </c>
      <c r="C76" s="6" t="s">
        <v>147</v>
      </c>
      <c r="D76" s="8" t="s">
        <v>148</v>
      </c>
      <c r="E76" s="10">
        <v>10900</v>
      </c>
      <c r="F76" s="10">
        <v>7227</v>
      </c>
      <c r="G76" s="19">
        <f t="shared" si="3"/>
        <v>0.66302752293577982</v>
      </c>
      <c r="H76" s="9">
        <v>60</v>
      </c>
      <c r="I76" s="11"/>
      <c r="J76" s="12">
        <f t="shared" si="4"/>
        <v>0</v>
      </c>
      <c r="K76" s="13">
        <f t="shared" si="5"/>
        <v>0</v>
      </c>
    </row>
    <row r="77" spans="1:11" ht="30" customHeight="1" x14ac:dyDescent="0.3">
      <c r="A77" s="6">
        <v>71</v>
      </c>
      <c r="B77" s="7">
        <v>8800256108053</v>
      </c>
      <c r="C77" s="6" t="s">
        <v>149</v>
      </c>
      <c r="D77" s="8" t="s">
        <v>150</v>
      </c>
      <c r="E77" s="10">
        <v>20700</v>
      </c>
      <c r="F77" s="10">
        <v>10599.6</v>
      </c>
      <c r="G77" s="19">
        <f t="shared" si="3"/>
        <v>0.5120579710144928</v>
      </c>
      <c r="H77" s="9">
        <v>80</v>
      </c>
      <c r="I77" s="11"/>
      <c r="J77" s="12">
        <f t="shared" si="4"/>
        <v>0</v>
      </c>
      <c r="K77" s="13">
        <f t="shared" si="5"/>
        <v>0</v>
      </c>
    </row>
    <row r="78" spans="1:11" ht="30" customHeight="1" x14ac:dyDescent="0.3">
      <c r="A78" s="6">
        <v>72</v>
      </c>
      <c r="B78" s="7">
        <v>8800256112234</v>
      </c>
      <c r="C78" s="6" t="s">
        <v>151</v>
      </c>
      <c r="D78" s="8" t="s">
        <v>152</v>
      </c>
      <c r="E78" s="10">
        <v>18900</v>
      </c>
      <c r="F78" s="10">
        <v>9636</v>
      </c>
      <c r="G78" s="19">
        <f t="shared" si="3"/>
        <v>0.50984126984126987</v>
      </c>
      <c r="H78" s="9">
        <v>40</v>
      </c>
      <c r="I78" s="11"/>
      <c r="J78" s="12">
        <f t="shared" si="4"/>
        <v>0</v>
      </c>
      <c r="K78" s="13">
        <f t="shared" si="5"/>
        <v>0</v>
      </c>
    </row>
    <row r="79" spans="1:11" ht="30" customHeight="1" x14ac:dyDescent="0.3">
      <c r="A79" s="6">
        <v>73</v>
      </c>
      <c r="B79" s="7">
        <v>8800256113101</v>
      </c>
      <c r="C79" s="6" t="s">
        <v>153</v>
      </c>
      <c r="D79" s="8" t="s">
        <v>154</v>
      </c>
      <c r="E79" s="10">
        <v>13900</v>
      </c>
      <c r="F79" s="10">
        <v>10532</v>
      </c>
      <c r="G79" s="19">
        <f t="shared" si="3"/>
        <v>0.75769784172661869</v>
      </c>
      <c r="H79" s="9">
        <v>100</v>
      </c>
      <c r="I79" s="11"/>
      <c r="J79" s="12">
        <f t="shared" si="4"/>
        <v>0</v>
      </c>
      <c r="K79" s="13">
        <f t="shared" si="5"/>
        <v>0</v>
      </c>
    </row>
    <row r="80" spans="1:11" ht="30" customHeight="1" x14ac:dyDescent="0.3">
      <c r="A80" s="6">
        <v>74</v>
      </c>
      <c r="B80" s="7">
        <v>8800256114979</v>
      </c>
      <c r="C80" s="6" t="s">
        <v>155</v>
      </c>
      <c r="D80" s="8" t="s">
        <v>156</v>
      </c>
      <c r="E80" s="10">
        <v>15000</v>
      </c>
      <c r="F80" s="10">
        <v>9033.75</v>
      </c>
      <c r="G80" s="19">
        <f t="shared" si="3"/>
        <v>0.60224999999999995</v>
      </c>
      <c r="H80" s="9">
        <v>30</v>
      </c>
      <c r="I80" s="11"/>
      <c r="J80" s="12">
        <f t="shared" si="4"/>
        <v>0</v>
      </c>
      <c r="K80" s="13">
        <f t="shared" si="5"/>
        <v>0</v>
      </c>
    </row>
    <row r="81" spans="1:11" ht="30" customHeight="1" x14ac:dyDescent="0.3">
      <c r="A81" s="6">
        <v>75</v>
      </c>
      <c r="B81" s="7">
        <v>8800256115532</v>
      </c>
      <c r="C81" s="6" t="s">
        <v>157</v>
      </c>
      <c r="D81" s="8" t="s">
        <v>158</v>
      </c>
      <c r="E81" s="10">
        <v>22000</v>
      </c>
      <c r="F81" s="10">
        <v>11924.55</v>
      </c>
      <c r="G81" s="19">
        <f t="shared" si="3"/>
        <v>0.54202499999999998</v>
      </c>
      <c r="H81" s="9">
        <v>100</v>
      </c>
      <c r="I81" s="11"/>
      <c r="J81" s="12">
        <f t="shared" si="4"/>
        <v>0</v>
      </c>
      <c r="K81" s="13">
        <f t="shared" si="5"/>
        <v>0</v>
      </c>
    </row>
    <row r="82" spans="1:11" ht="30" customHeight="1" x14ac:dyDescent="0.3">
      <c r="A82" s="6">
        <v>76</v>
      </c>
      <c r="B82" s="7">
        <v>8800256115549</v>
      </c>
      <c r="C82" s="6" t="s">
        <v>159</v>
      </c>
      <c r="D82" s="8" t="s">
        <v>160</v>
      </c>
      <c r="E82" s="10">
        <v>24900</v>
      </c>
      <c r="F82" s="10">
        <v>13129.05</v>
      </c>
      <c r="G82" s="19">
        <f t="shared" si="3"/>
        <v>0.52727108433734937</v>
      </c>
      <c r="H82" s="9">
        <v>100</v>
      </c>
      <c r="I82" s="11"/>
      <c r="J82" s="12">
        <f t="shared" si="4"/>
        <v>0</v>
      </c>
      <c r="K82" s="13">
        <f t="shared" si="5"/>
        <v>0</v>
      </c>
    </row>
    <row r="83" spans="1:11" ht="30" customHeight="1" x14ac:dyDescent="0.3">
      <c r="A83" s="6">
        <v>77</v>
      </c>
      <c r="B83" s="7">
        <v>8800289470448</v>
      </c>
      <c r="C83" s="6" t="s">
        <v>161</v>
      </c>
      <c r="D83" s="8" t="s">
        <v>162</v>
      </c>
      <c r="E83" s="10">
        <v>19900</v>
      </c>
      <c r="F83" s="10">
        <v>14454</v>
      </c>
      <c r="G83" s="19">
        <f t="shared" si="3"/>
        <v>0.72633165829145729</v>
      </c>
      <c r="H83" s="9">
        <v>20</v>
      </c>
      <c r="I83" s="11"/>
      <c r="J83" s="12">
        <f t="shared" si="4"/>
        <v>0</v>
      </c>
      <c r="K83" s="13">
        <f t="shared" si="5"/>
        <v>0</v>
      </c>
    </row>
    <row r="84" spans="1:11" ht="30" customHeight="1" x14ac:dyDescent="0.3">
      <c r="A84" s="6">
        <v>78</v>
      </c>
      <c r="B84" s="7">
        <v>8800256119219</v>
      </c>
      <c r="C84" s="6" t="s">
        <v>163</v>
      </c>
      <c r="D84" s="8" t="s">
        <v>164</v>
      </c>
      <c r="E84" s="10">
        <v>17000</v>
      </c>
      <c r="F84" s="10">
        <v>9636</v>
      </c>
      <c r="G84" s="19">
        <f t="shared" si="3"/>
        <v>0.56682352941176473</v>
      </c>
      <c r="H84" s="9">
        <v>100</v>
      </c>
      <c r="I84" s="11"/>
      <c r="J84" s="12">
        <f t="shared" si="4"/>
        <v>0</v>
      </c>
      <c r="K84" s="13">
        <f t="shared" si="5"/>
        <v>0</v>
      </c>
    </row>
    <row r="85" spans="1:11" ht="30" customHeight="1" x14ac:dyDescent="0.3">
      <c r="A85" s="6">
        <v>79</v>
      </c>
      <c r="B85" s="7">
        <v>8800289469619</v>
      </c>
      <c r="C85" s="6" t="s">
        <v>165</v>
      </c>
      <c r="D85" s="8" t="s">
        <v>166</v>
      </c>
      <c r="E85" s="10">
        <v>23900</v>
      </c>
      <c r="F85" s="10">
        <v>14454</v>
      </c>
      <c r="G85" s="19">
        <f t="shared" si="3"/>
        <v>0.60476987447698749</v>
      </c>
      <c r="H85" s="9">
        <v>80</v>
      </c>
      <c r="I85" s="11"/>
      <c r="J85" s="12">
        <f t="shared" si="4"/>
        <v>0</v>
      </c>
      <c r="K85" s="13">
        <f t="shared" si="5"/>
        <v>0</v>
      </c>
    </row>
    <row r="86" spans="1:11" ht="30" customHeight="1" x14ac:dyDescent="0.3">
      <c r="A86" s="6">
        <v>80</v>
      </c>
      <c r="B86" s="7">
        <v>8800256119042</v>
      </c>
      <c r="C86" s="6" t="s">
        <v>167</v>
      </c>
      <c r="D86" s="8" t="s">
        <v>168</v>
      </c>
      <c r="E86" s="10">
        <v>29000</v>
      </c>
      <c r="F86" s="10">
        <v>16260.75</v>
      </c>
      <c r="G86" s="19">
        <f t="shared" si="3"/>
        <v>0.56071551724137936</v>
      </c>
      <c r="H86" s="9">
        <v>100</v>
      </c>
      <c r="I86" s="11"/>
      <c r="J86" s="12">
        <f t="shared" si="4"/>
        <v>0</v>
      </c>
      <c r="K86" s="13">
        <f t="shared" si="5"/>
        <v>0</v>
      </c>
    </row>
    <row r="87" spans="1:11" ht="30" customHeight="1" x14ac:dyDescent="0.3">
      <c r="A87" s="6">
        <v>81</v>
      </c>
      <c r="B87" s="7">
        <v>8800289466441</v>
      </c>
      <c r="C87" s="6" t="s">
        <v>169</v>
      </c>
      <c r="D87" s="8" t="s">
        <v>170</v>
      </c>
      <c r="E87" s="10">
        <v>29000</v>
      </c>
      <c r="F87" s="10">
        <v>16260.75</v>
      </c>
      <c r="G87" s="19">
        <f t="shared" si="3"/>
        <v>0.56071551724137936</v>
      </c>
      <c r="H87" s="9">
        <v>80</v>
      </c>
      <c r="I87" s="11"/>
      <c r="J87" s="12">
        <f t="shared" si="4"/>
        <v>0</v>
      </c>
      <c r="K87" s="13">
        <f t="shared" si="5"/>
        <v>0</v>
      </c>
    </row>
    <row r="88" spans="1:11" ht="30" customHeight="1" x14ac:dyDescent="0.3">
      <c r="A88" s="6">
        <v>82</v>
      </c>
      <c r="B88" s="7">
        <v>8800256118885</v>
      </c>
      <c r="C88" s="6" t="s">
        <v>171</v>
      </c>
      <c r="D88" s="8" t="s">
        <v>172</v>
      </c>
      <c r="E88" s="10">
        <v>23800</v>
      </c>
      <c r="F88" s="10">
        <v>15900</v>
      </c>
      <c r="G88" s="19">
        <f t="shared" si="3"/>
        <v>0.66806722689075626</v>
      </c>
      <c r="H88" s="9">
        <v>80</v>
      </c>
      <c r="I88" s="11"/>
      <c r="J88" s="12">
        <f t="shared" si="4"/>
        <v>0</v>
      </c>
      <c r="K88" s="13">
        <f t="shared" si="5"/>
        <v>0</v>
      </c>
    </row>
    <row r="89" spans="1:11" ht="30" customHeight="1" x14ac:dyDescent="0.3">
      <c r="A89" s="6">
        <v>83</v>
      </c>
      <c r="B89" s="7">
        <v>8800289461415</v>
      </c>
      <c r="C89" s="6" t="s">
        <v>173</v>
      </c>
      <c r="D89" s="8" t="s">
        <v>174</v>
      </c>
      <c r="E89" s="10">
        <v>11500</v>
      </c>
      <c r="F89" s="10">
        <v>8431.5</v>
      </c>
      <c r="G89" s="19">
        <f t="shared" si="3"/>
        <v>0.73317391304347823</v>
      </c>
      <c r="H89" s="9">
        <v>50</v>
      </c>
      <c r="I89" s="11"/>
      <c r="J89" s="12">
        <f t="shared" si="4"/>
        <v>0</v>
      </c>
      <c r="K89" s="13">
        <f t="shared" si="5"/>
        <v>0</v>
      </c>
    </row>
    <row r="90" spans="1:11" ht="30" customHeight="1" x14ac:dyDescent="0.3">
      <c r="A90" s="6">
        <v>84</v>
      </c>
      <c r="B90" s="7">
        <v>8800289470455</v>
      </c>
      <c r="C90" s="6" t="s">
        <v>175</v>
      </c>
      <c r="D90" s="8" t="s">
        <v>176</v>
      </c>
      <c r="E90" s="10">
        <v>7900</v>
      </c>
      <c r="F90" s="10">
        <v>6624.75</v>
      </c>
      <c r="G90" s="19">
        <f t="shared" si="3"/>
        <v>0.83857594936708857</v>
      </c>
      <c r="H90" s="9">
        <v>100</v>
      </c>
      <c r="I90" s="11"/>
      <c r="J90" s="12">
        <f t="shared" si="4"/>
        <v>0</v>
      </c>
      <c r="K90" s="13">
        <f t="shared" si="5"/>
        <v>0</v>
      </c>
    </row>
    <row r="91" spans="1:11" ht="30" customHeight="1" x14ac:dyDescent="0.3">
      <c r="A91" s="6">
        <v>85</v>
      </c>
      <c r="B91" s="7">
        <v>8800256119653</v>
      </c>
      <c r="C91" s="6" t="s">
        <v>177</v>
      </c>
      <c r="D91" s="8" t="s">
        <v>178</v>
      </c>
      <c r="E91" s="10">
        <v>15000</v>
      </c>
      <c r="F91" s="10">
        <v>10238.25</v>
      </c>
      <c r="G91" s="19">
        <f t="shared" si="3"/>
        <v>0.68254999999999999</v>
      </c>
      <c r="H91" s="9">
        <v>60</v>
      </c>
      <c r="I91" s="11"/>
      <c r="J91" s="12">
        <f t="shared" si="4"/>
        <v>0</v>
      </c>
      <c r="K91" s="13">
        <f t="shared" si="5"/>
        <v>0</v>
      </c>
    </row>
    <row r="92" spans="1:11" ht="30" customHeight="1" x14ac:dyDescent="0.3">
      <c r="A92" s="6">
        <v>86</v>
      </c>
      <c r="B92" s="7">
        <v>8800289473159</v>
      </c>
      <c r="C92" s="6" t="s">
        <v>179</v>
      </c>
      <c r="D92" s="8" t="s">
        <v>180</v>
      </c>
      <c r="E92" s="10">
        <v>14000</v>
      </c>
      <c r="F92" s="10">
        <v>9636</v>
      </c>
      <c r="G92" s="19">
        <f t="shared" si="3"/>
        <v>0.68828571428571428</v>
      </c>
      <c r="H92" s="9">
        <v>80</v>
      </c>
      <c r="I92" s="11"/>
      <c r="J92" s="12">
        <f t="shared" si="4"/>
        <v>0</v>
      </c>
      <c r="K92" s="13">
        <f t="shared" si="5"/>
        <v>0</v>
      </c>
    </row>
    <row r="93" spans="1:11" ht="30" customHeight="1" x14ac:dyDescent="0.3">
      <c r="A93" s="6">
        <v>87</v>
      </c>
      <c r="B93" s="7">
        <v>8800289474774</v>
      </c>
      <c r="C93" s="6" t="s">
        <v>181</v>
      </c>
      <c r="D93" s="8" t="s">
        <v>182</v>
      </c>
      <c r="E93" s="10">
        <v>19900</v>
      </c>
      <c r="F93" s="10">
        <v>13249.5</v>
      </c>
      <c r="G93" s="19">
        <f t="shared" si="3"/>
        <v>0.66580402010050255</v>
      </c>
      <c r="H93" s="9">
        <v>80</v>
      </c>
      <c r="I93" s="11"/>
      <c r="J93" s="12">
        <f t="shared" si="4"/>
        <v>0</v>
      </c>
      <c r="K93" s="13">
        <f t="shared" si="5"/>
        <v>0</v>
      </c>
    </row>
    <row r="94" spans="1:11" ht="30" customHeight="1" x14ac:dyDescent="0.3">
      <c r="A94" s="6">
        <v>88</v>
      </c>
      <c r="B94" s="7">
        <v>8800289473852</v>
      </c>
      <c r="C94" s="6" t="s">
        <v>183</v>
      </c>
      <c r="D94" s="8" t="s">
        <v>184</v>
      </c>
      <c r="E94" s="10">
        <v>19000</v>
      </c>
      <c r="F94" s="10">
        <v>13249.5</v>
      </c>
      <c r="G94" s="19">
        <f t="shared" si="3"/>
        <v>0.69734210526315787</v>
      </c>
      <c r="H94" s="9">
        <v>40</v>
      </c>
      <c r="I94" s="11"/>
      <c r="J94" s="12">
        <f t="shared" si="4"/>
        <v>0</v>
      </c>
      <c r="K94" s="13">
        <f t="shared" si="5"/>
        <v>0</v>
      </c>
    </row>
    <row r="95" spans="1:11" ht="30" customHeight="1" x14ac:dyDescent="0.3">
      <c r="A95" s="6">
        <v>89</v>
      </c>
      <c r="B95" s="7">
        <v>8800256112432</v>
      </c>
      <c r="C95" s="6" t="s">
        <v>185</v>
      </c>
      <c r="D95" s="8" t="s">
        <v>186</v>
      </c>
      <c r="E95" s="10">
        <v>19900</v>
      </c>
      <c r="F95" s="10">
        <v>13249.5</v>
      </c>
      <c r="G95" s="19">
        <f t="shared" si="3"/>
        <v>0.66580402010050255</v>
      </c>
      <c r="H95" s="9">
        <v>40</v>
      </c>
      <c r="I95" s="11"/>
      <c r="J95" s="12">
        <f t="shared" si="4"/>
        <v>0</v>
      </c>
      <c r="K95" s="13">
        <f t="shared" si="5"/>
        <v>0</v>
      </c>
    </row>
    <row r="96" spans="1:11" ht="30" customHeight="1" x14ac:dyDescent="0.3">
      <c r="A96" s="6">
        <v>90</v>
      </c>
      <c r="B96" s="7">
        <v>8800289479496</v>
      </c>
      <c r="C96" s="6" t="s">
        <v>187</v>
      </c>
      <c r="D96" s="8" t="s">
        <v>188</v>
      </c>
      <c r="E96" s="10">
        <v>17500</v>
      </c>
      <c r="F96" s="10">
        <v>10238.25</v>
      </c>
      <c r="G96" s="19">
        <f t="shared" si="3"/>
        <v>0.5850428571428572</v>
      </c>
      <c r="H96" s="9">
        <v>40</v>
      </c>
      <c r="I96" s="11"/>
      <c r="J96" s="12">
        <f t="shared" si="4"/>
        <v>0</v>
      </c>
      <c r="K96" s="13">
        <f t="shared" si="5"/>
        <v>0</v>
      </c>
    </row>
    <row r="97" spans="1:11" ht="30" customHeight="1" x14ac:dyDescent="0.3">
      <c r="A97" s="6">
        <v>91</v>
      </c>
      <c r="B97" s="7">
        <v>8800289478796</v>
      </c>
      <c r="C97" s="6" t="s">
        <v>189</v>
      </c>
      <c r="D97" s="8" t="s">
        <v>190</v>
      </c>
      <c r="E97" s="10">
        <v>26000</v>
      </c>
      <c r="F97" s="10">
        <v>15056.25</v>
      </c>
      <c r="G97" s="19">
        <f t="shared" si="3"/>
        <v>0.57908653846153846</v>
      </c>
      <c r="H97" s="9">
        <v>80</v>
      </c>
      <c r="I97" s="11"/>
      <c r="J97" s="12">
        <f t="shared" si="4"/>
        <v>0</v>
      </c>
      <c r="K97" s="13">
        <f t="shared" si="5"/>
        <v>0</v>
      </c>
    </row>
    <row r="98" spans="1:11" ht="30" customHeight="1" x14ac:dyDescent="0.3">
      <c r="A98" s="6">
        <v>92</v>
      </c>
      <c r="B98" s="7">
        <v>8800289461965</v>
      </c>
      <c r="C98" s="6" t="s">
        <v>191</v>
      </c>
      <c r="D98" s="8" t="s">
        <v>192</v>
      </c>
      <c r="E98" s="10">
        <v>19900</v>
      </c>
      <c r="F98" s="10">
        <v>13249.5</v>
      </c>
      <c r="G98" s="19">
        <f t="shared" si="3"/>
        <v>0.66580402010050255</v>
      </c>
      <c r="H98" s="9">
        <v>30</v>
      </c>
      <c r="I98" s="11"/>
      <c r="J98" s="12">
        <f t="shared" si="4"/>
        <v>0</v>
      </c>
      <c r="K98" s="13">
        <f t="shared" si="5"/>
        <v>0</v>
      </c>
    </row>
    <row r="99" spans="1:11" ht="30" customHeight="1" x14ac:dyDescent="0.3">
      <c r="A99" s="6">
        <v>93</v>
      </c>
      <c r="B99" s="7">
        <v>8800289461972</v>
      </c>
      <c r="C99" s="6" t="s">
        <v>193</v>
      </c>
      <c r="D99" s="8" t="s">
        <v>194</v>
      </c>
      <c r="E99" s="10">
        <v>18900</v>
      </c>
      <c r="F99" s="10">
        <v>13249.5</v>
      </c>
      <c r="G99" s="19">
        <f t="shared" si="3"/>
        <v>0.70103174603174601</v>
      </c>
      <c r="H99" s="9">
        <v>100</v>
      </c>
      <c r="I99" s="11"/>
      <c r="J99" s="12">
        <f t="shared" si="4"/>
        <v>0</v>
      </c>
      <c r="K99" s="13">
        <f t="shared" si="5"/>
        <v>0</v>
      </c>
    </row>
    <row r="100" spans="1:11" ht="30" customHeight="1" x14ac:dyDescent="0.3">
      <c r="A100" s="6">
        <v>94</v>
      </c>
      <c r="B100" s="7">
        <v>8800289461989</v>
      </c>
      <c r="C100" s="6" t="s">
        <v>195</v>
      </c>
      <c r="D100" s="8" t="s">
        <v>196</v>
      </c>
      <c r="E100" s="10">
        <v>18900</v>
      </c>
      <c r="F100" s="10">
        <v>13249.5</v>
      </c>
      <c r="G100" s="19">
        <f t="shared" si="3"/>
        <v>0.70103174603174601</v>
      </c>
      <c r="H100" s="9">
        <v>40</v>
      </c>
      <c r="I100" s="11"/>
      <c r="J100" s="12">
        <f t="shared" si="4"/>
        <v>0</v>
      </c>
      <c r="K100" s="13">
        <f t="shared" si="5"/>
        <v>0</v>
      </c>
    </row>
    <row r="101" spans="1:11" ht="30" customHeight="1" x14ac:dyDescent="0.3">
      <c r="A101" s="6">
        <v>95</v>
      </c>
      <c r="B101" s="7">
        <v>8800256119134</v>
      </c>
      <c r="C101" s="6" t="s">
        <v>197</v>
      </c>
      <c r="D101" s="8" t="s">
        <v>198</v>
      </c>
      <c r="E101" s="10">
        <v>20700</v>
      </c>
      <c r="F101" s="10">
        <v>10238.25</v>
      </c>
      <c r="G101" s="19">
        <f t="shared" si="3"/>
        <v>0.49460144927536231</v>
      </c>
      <c r="H101" s="9">
        <v>80</v>
      </c>
      <c r="I101" s="11"/>
      <c r="J101" s="12">
        <f t="shared" si="4"/>
        <v>0</v>
      </c>
      <c r="K101" s="13">
        <f t="shared" si="5"/>
        <v>0</v>
      </c>
    </row>
    <row r="102" spans="1:11" ht="30" customHeight="1" x14ac:dyDescent="0.3">
      <c r="A102" s="6">
        <v>96</v>
      </c>
      <c r="B102" s="7">
        <v>8800256119660</v>
      </c>
      <c r="C102" s="6" t="s">
        <v>199</v>
      </c>
      <c r="D102" s="8" t="s">
        <v>200</v>
      </c>
      <c r="E102" s="10">
        <v>23800</v>
      </c>
      <c r="F102" s="10">
        <v>14490</v>
      </c>
      <c r="G102" s="19">
        <f t="shared" si="3"/>
        <v>0.60882352941176465</v>
      </c>
      <c r="H102" s="9">
        <v>80</v>
      </c>
      <c r="I102" s="11"/>
      <c r="J102" s="12">
        <f t="shared" si="4"/>
        <v>0</v>
      </c>
      <c r="K102" s="13">
        <f t="shared" si="5"/>
        <v>0</v>
      </c>
    </row>
    <row r="103" spans="1:11" ht="30" customHeight="1" x14ac:dyDescent="0.3">
      <c r="A103" s="6">
        <v>97</v>
      </c>
      <c r="B103" s="7">
        <v>8800256108046</v>
      </c>
      <c r="C103" s="6" t="s">
        <v>201</v>
      </c>
      <c r="D103" s="8" t="s">
        <v>202</v>
      </c>
      <c r="E103" s="10">
        <v>4500</v>
      </c>
      <c r="F103" s="10">
        <v>2409</v>
      </c>
      <c r="G103" s="19">
        <f t="shared" si="3"/>
        <v>0.53533333333333333</v>
      </c>
      <c r="H103" s="9">
        <v>120</v>
      </c>
      <c r="I103" s="11"/>
      <c r="J103" s="12">
        <f t="shared" si="4"/>
        <v>0</v>
      </c>
      <c r="K103" s="13">
        <f t="shared" si="5"/>
        <v>0</v>
      </c>
    </row>
    <row r="104" spans="1:11" ht="30" customHeight="1" x14ac:dyDescent="0.3">
      <c r="A104" s="6">
        <v>98</v>
      </c>
      <c r="B104" s="7">
        <v>8800256114399</v>
      </c>
      <c r="C104" s="6" t="s">
        <v>203</v>
      </c>
      <c r="D104" s="8" t="s">
        <v>204</v>
      </c>
      <c r="E104" s="10">
        <v>18000</v>
      </c>
      <c r="F104" s="10">
        <v>9636</v>
      </c>
      <c r="G104" s="19">
        <f t="shared" si="3"/>
        <v>0.53533333333333333</v>
      </c>
      <c r="H104" s="9">
        <v>120</v>
      </c>
      <c r="I104" s="11"/>
      <c r="J104" s="12">
        <f t="shared" si="4"/>
        <v>0</v>
      </c>
      <c r="K104" s="13">
        <f t="shared" si="5"/>
        <v>0</v>
      </c>
    </row>
    <row r="105" spans="1:11" ht="30" customHeight="1" x14ac:dyDescent="0.3">
      <c r="A105" s="6">
        <v>99</v>
      </c>
      <c r="B105" s="7">
        <v>8800289470165</v>
      </c>
      <c r="C105" s="6" t="s">
        <v>205</v>
      </c>
      <c r="D105" s="8" t="s">
        <v>206</v>
      </c>
      <c r="E105" s="10">
        <v>2500</v>
      </c>
      <c r="F105" s="10">
        <v>1204.5</v>
      </c>
      <c r="G105" s="19">
        <f t="shared" si="3"/>
        <v>0.48180000000000001</v>
      </c>
      <c r="H105" s="9">
        <v>160</v>
      </c>
      <c r="I105" s="11"/>
      <c r="J105" s="12">
        <f t="shared" si="4"/>
        <v>0</v>
      </c>
      <c r="K105" s="13">
        <f t="shared" si="5"/>
        <v>0</v>
      </c>
    </row>
    <row r="106" spans="1:11" ht="30" customHeight="1" x14ac:dyDescent="0.3">
      <c r="A106" s="6">
        <v>100</v>
      </c>
      <c r="B106" s="7">
        <v>8800289470172</v>
      </c>
      <c r="C106" s="6" t="s">
        <v>207</v>
      </c>
      <c r="D106" s="8" t="s">
        <v>208</v>
      </c>
      <c r="E106" s="10">
        <v>25000</v>
      </c>
      <c r="F106" s="10">
        <v>12045</v>
      </c>
      <c r="G106" s="19">
        <f t="shared" si="3"/>
        <v>0.48180000000000001</v>
      </c>
      <c r="H106" s="9">
        <v>400</v>
      </c>
      <c r="I106" s="11"/>
      <c r="J106" s="12">
        <f t="shared" si="4"/>
        <v>0</v>
      </c>
      <c r="K106" s="13">
        <f t="shared" si="5"/>
        <v>0</v>
      </c>
    </row>
    <row r="107" spans="1:11" ht="30" customHeight="1" x14ac:dyDescent="0.3">
      <c r="A107" s="6">
        <v>101</v>
      </c>
      <c r="B107" s="7">
        <v>8800289462306</v>
      </c>
      <c r="C107" s="6" t="s">
        <v>209</v>
      </c>
      <c r="D107" s="8" t="s">
        <v>210</v>
      </c>
      <c r="E107" s="10">
        <v>3000</v>
      </c>
      <c r="F107" s="10">
        <v>1445.3999999999999</v>
      </c>
      <c r="G107" s="19">
        <f t="shared" si="3"/>
        <v>0.48179999999999995</v>
      </c>
      <c r="H107" s="9">
        <v>300</v>
      </c>
      <c r="I107" s="11"/>
      <c r="J107" s="12">
        <f t="shared" si="4"/>
        <v>0</v>
      </c>
      <c r="K107" s="13">
        <f t="shared" si="5"/>
        <v>0</v>
      </c>
    </row>
    <row r="108" spans="1:11" ht="30" customHeight="1" x14ac:dyDescent="0.3">
      <c r="A108" s="6">
        <v>102</v>
      </c>
      <c r="B108" s="7">
        <v>8800289462719</v>
      </c>
      <c r="C108" s="6" t="s">
        <v>211</v>
      </c>
      <c r="D108" s="8" t="s">
        <v>212</v>
      </c>
      <c r="E108" s="10">
        <v>20700</v>
      </c>
      <c r="F108" s="10">
        <v>10599.6</v>
      </c>
      <c r="G108" s="19">
        <f t="shared" si="3"/>
        <v>0.5120579710144928</v>
      </c>
      <c r="H108" s="9">
        <v>80</v>
      </c>
      <c r="I108" s="11"/>
      <c r="J108" s="12">
        <f t="shared" si="4"/>
        <v>0</v>
      </c>
      <c r="K108" s="13">
        <f t="shared" si="5"/>
        <v>0</v>
      </c>
    </row>
    <row r="109" spans="1:11" ht="30" customHeight="1" x14ac:dyDescent="0.3">
      <c r="A109" s="6">
        <v>103</v>
      </c>
      <c r="B109" s="7">
        <v>8800289462726</v>
      </c>
      <c r="C109" s="6" t="s">
        <v>213</v>
      </c>
      <c r="D109" s="8" t="s">
        <v>214</v>
      </c>
      <c r="E109" s="10">
        <v>35000</v>
      </c>
      <c r="F109" s="10">
        <v>14454</v>
      </c>
      <c r="G109" s="19">
        <f t="shared" si="3"/>
        <v>0.41297142857142854</v>
      </c>
      <c r="H109" s="9">
        <v>40</v>
      </c>
      <c r="I109" s="11"/>
      <c r="J109" s="12">
        <f t="shared" si="4"/>
        <v>0</v>
      </c>
      <c r="K109" s="13">
        <f t="shared" si="5"/>
        <v>0</v>
      </c>
    </row>
    <row r="110" spans="1:11" ht="30" customHeight="1" x14ac:dyDescent="0.3">
      <c r="A110" s="6">
        <v>104</v>
      </c>
      <c r="B110" s="7">
        <v>8800289467707</v>
      </c>
      <c r="C110" s="6" t="s">
        <v>215</v>
      </c>
      <c r="D110" s="8" t="s">
        <v>216</v>
      </c>
      <c r="E110" s="10">
        <v>29000</v>
      </c>
      <c r="F110" s="10">
        <v>13249.5</v>
      </c>
      <c r="G110" s="19">
        <f t="shared" si="3"/>
        <v>0.45687931034482759</v>
      </c>
      <c r="H110" s="9">
        <v>200</v>
      </c>
      <c r="I110" s="11"/>
      <c r="J110" s="12">
        <f t="shared" si="4"/>
        <v>0</v>
      </c>
      <c r="K110" s="13">
        <f t="shared" si="5"/>
        <v>0</v>
      </c>
    </row>
    <row r="111" spans="1:11" ht="30" customHeight="1" x14ac:dyDescent="0.3">
      <c r="A111" s="6">
        <v>105</v>
      </c>
      <c r="B111" s="7">
        <v>8800289478772</v>
      </c>
      <c r="C111" s="6" t="s">
        <v>217</v>
      </c>
      <c r="D111" s="8" t="s">
        <v>218</v>
      </c>
      <c r="E111" s="10">
        <v>19900</v>
      </c>
      <c r="F111" s="10">
        <v>13249.5</v>
      </c>
      <c r="G111" s="19">
        <f t="shared" si="3"/>
        <v>0.66580402010050255</v>
      </c>
      <c r="H111" s="9">
        <v>40</v>
      </c>
      <c r="I111" s="11"/>
      <c r="J111" s="12">
        <f t="shared" si="4"/>
        <v>0</v>
      </c>
      <c r="K111" s="13">
        <f t="shared" si="5"/>
        <v>0</v>
      </c>
    </row>
    <row r="112" spans="1:11" ht="30" customHeight="1" x14ac:dyDescent="0.3">
      <c r="A112" s="6">
        <v>106</v>
      </c>
      <c r="B112" s="7">
        <v>8800289477478</v>
      </c>
      <c r="C112" s="6" t="s">
        <v>219</v>
      </c>
      <c r="D112" s="8" t="s">
        <v>220</v>
      </c>
      <c r="E112" s="10">
        <v>24300</v>
      </c>
      <c r="F112" s="10">
        <v>14454</v>
      </c>
      <c r="G112" s="19">
        <f t="shared" si="3"/>
        <v>0.5948148148148148</v>
      </c>
      <c r="H112" s="9">
        <v>80</v>
      </c>
      <c r="I112" s="11"/>
      <c r="J112" s="12">
        <f t="shared" si="4"/>
        <v>0</v>
      </c>
      <c r="K112" s="13">
        <f t="shared" si="5"/>
        <v>0</v>
      </c>
    </row>
    <row r="113" spans="1:11" ht="30" customHeight="1" x14ac:dyDescent="0.3">
      <c r="A113" s="6">
        <v>107</v>
      </c>
      <c r="B113" s="7">
        <v>8800289477423</v>
      </c>
      <c r="C113" s="6" t="s">
        <v>221</v>
      </c>
      <c r="D113" s="8" t="s">
        <v>222</v>
      </c>
      <c r="E113" s="10">
        <v>19500</v>
      </c>
      <c r="F113" s="10">
        <v>9636</v>
      </c>
      <c r="G113" s="19">
        <f t="shared" si="3"/>
        <v>0.49415384615384617</v>
      </c>
      <c r="H113" s="9">
        <v>80</v>
      </c>
      <c r="I113" s="11"/>
      <c r="J113" s="12">
        <f t="shared" si="4"/>
        <v>0</v>
      </c>
      <c r="K113" s="13">
        <f t="shared" si="5"/>
        <v>0</v>
      </c>
    </row>
    <row r="114" spans="1:11" ht="30" customHeight="1" x14ac:dyDescent="0.3">
      <c r="A114" s="6">
        <v>108</v>
      </c>
      <c r="B114" s="7">
        <v>8800256119141</v>
      </c>
      <c r="C114" s="6" t="s">
        <v>223</v>
      </c>
      <c r="D114" s="8" t="s">
        <v>224</v>
      </c>
      <c r="E114" s="10">
        <v>21000</v>
      </c>
      <c r="F114" s="10">
        <v>10599.6</v>
      </c>
      <c r="G114" s="19">
        <f t="shared" si="3"/>
        <v>0.50474285714285716</v>
      </c>
      <c r="H114" s="9">
        <v>80</v>
      </c>
      <c r="I114" s="11"/>
      <c r="J114" s="12">
        <f t="shared" si="4"/>
        <v>0</v>
      </c>
      <c r="K114" s="13">
        <f t="shared" si="5"/>
        <v>0</v>
      </c>
    </row>
    <row r="115" spans="1:11" ht="30" customHeight="1" x14ac:dyDescent="0.3">
      <c r="A115" s="6">
        <v>109</v>
      </c>
      <c r="B115" s="7">
        <v>8800256115174</v>
      </c>
      <c r="C115" s="6" t="s">
        <v>225</v>
      </c>
      <c r="D115" s="8" t="s">
        <v>226</v>
      </c>
      <c r="E115" s="10">
        <v>19000</v>
      </c>
      <c r="F115" s="10">
        <v>9274.65</v>
      </c>
      <c r="G115" s="19">
        <f t="shared" si="3"/>
        <v>0.48813947368421051</v>
      </c>
      <c r="H115" s="9">
        <v>80</v>
      </c>
      <c r="I115" s="11"/>
      <c r="J115" s="12">
        <f t="shared" si="4"/>
        <v>0</v>
      </c>
      <c r="K115" s="13">
        <f t="shared" si="5"/>
        <v>0</v>
      </c>
    </row>
    <row r="116" spans="1:11" ht="30" customHeight="1" x14ac:dyDescent="0.3">
      <c r="A116" s="6">
        <v>110</v>
      </c>
      <c r="B116" s="7">
        <v>8809960356033</v>
      </c>
      <c r="C116" s="6" t="s">
        <v>227</v>
      </c>
      <c r="D116" s="8" t="s">
        <v>228</v>
      </c>
      <c r="E116" s="10">
        <v>33000</v>
      </c>
      <c r="F116" s="10">
        <v>14454</v>
      </c>
      <c r="G116" s="19">
        <f t="shared" si="3"/>
        <v>0.438</v>
      </c>
      <c r="H116" s="9">
        <v>120</v>
      </c>
      <c r="I116" s="11"/>
      <c r="J116" s="12">
        <f t="shared" si="4"/>
        <v>0</v>
      </c>
      <c r="K116" s="13">
        <f t="shared" si="5"/>
        <v>0</v>
      </c>
    </row>
    <row r="117" spans="1:11" ht="30" customHeight="1" x14ac:dyDescent="0.3">
      <c r="A117" s="6">
        <v>111</v>
      </c>
      <c r="B117" s="7">
        <v>8800240573188</v>
      </c>
      <c r="C117" s="6" t="s">
        <v>229</v>
      </c>
      <c r="D117" s="8" t="s">
        <v>230</v>
      </c>
      <c r="E117" s="10">
        <v>32000</v>
      </c>
      <c r="F117" s="10">
        <v>14454</v>
      </c>
      <c r="G117" s="19">
        <f t="shared" si="3"/>
        <v>0.45168750000000002</v>
      </c>
      <c r="H117" s="9">
        <v>60</v>
      </c>
      <c r="I117" s="11"/>
      <c r="J117" s="12">
        <f t="shared" si="4"/>
        <v>0</v>
      </c>
      <c r="K117" s="13">
        <f t="shared" si="5"/>
        <v>0</v>
      </c>
    </row>
    <row r="118" spans="1:11" ht="30" customHeight="1" x14ac:dyDescent="0.3">
      <c r="A118" s="6">
        <v>112</v>
      </c>
      <c r="B118" s="7">
        <v>8800256114382</v>
      </c>
      <c r="C118" s="6" t="s">
        <v>231</v>
      </c>
      <c r="D118" s="8" t="s">
        <v>232</v>
      </c>
      <c r="E118" s="10">
        <v>26000</v>
      </c>
      <c r="F118" s="10">
        <v>10840.5</v>
      </c>
      <c r="G118" s="19">
        <f t="shared" si="3"/>
        <v>0.41694230769230767</v>
      </c>
      <c r="H118" s="9">
        <v>60</v>
      </c>
      <c r="I118" s="11"/>
      <c r="J118" s="12">
        <f t="shared" si="4"/>
        <v>0</v>
      </c>
      <c r="K118" s="13">
        <f t="shared" si="5"/>
        <v>0</v>
      </c>
    </row>
    <row r="119" spans="1:11" ht="30" customHeight="1" x14ac:dyDescent="0.3">
      <c r="A119" s="6">
        <v>113</v>
      </c>
      <c r="B119" s="7">
        <v>8809936589168</v>
      </c>
      <c r="C119" s="6" t="s">
        <v>233</v>
      </c>
      <c r="D119" s="8" t="s">
        <v>234</v>
      </c>
      <c r="E119" s="10">
        <v>49000</v>
      </c>
      <c r="F119" s="10">
        <v>14454</v>
      </c>
      <c r="G119" s="19">
        <f t="shared" si="3"/>
        <v>0.29497959183673467</v>
      </c>
      <c r="H119" s="9">
        <v>80</v>
      </c>
      <c r="I119" s="11"/>
      <c r="J119" s="12">
        <f t="shared" si="4"/>
        <v>0</v>
      </c>
      <c r="K119" s="13">
        <f t="shared" si="5"/>
        <v>0</v>
      </c>
    </row>
    <row r="120" spans="1:11" ht="30" customHeight="1" x14ac:dyDescent="0.3">
      <c r="A120" s="6">
        <v>114</v>
      </c>
      <c r="B120" s="7">
        <v>8800256115280</v>
      </c>
      <c r="C120" s="6" t="s">
        <v>235</v>
      </c>
      <c r="D120" s="8" t="s">
        <v>236</v>
      </c>
      <c r="E120" s="10">
        <v>29000</v>
      </c>
      <c r="F120" s="10">
        <v>14454</v>
      </c>
      <c r="G120" s="19">
        <f t="shared" si="3"/>
        <v>0.4984137931034483</v>
      </c>
      <c r="H120" s="9">
        <v>80</v>
      </c>
      <c r="I120" s="11"/>
      <c r="J120" s="12">
        <f t="shared" si="4"/>
        <v>0</v>
      </c>
      <c r="K120" s="13">
        <f t="shared" si="5"/>
        <v>0</v>
      </c>
    </row>
    <row r="121" spans="1:11" ht="30" customHeight="1" x14ac:dyDescent="0.3">
      <c r="A121" s="6">
        <v>115</v>
      </c>
      <c r="B121" s="7">
        <v>8800289468735</v>
      </c>
      <c r="C121" s="6" t="s">
        <v>237</v>
      </c>
      <c r="D121" s="8" t="s">
        <v>238</v>
      </c>
      <c r="E121" s="10">
        <v>359000</v>
      </c>
      <c r="F121" s="10">
        <v>198742.5</v>
      </c>
      <c r="G121" s="19">
        <f t="shared" si="3"/>
        <v>0.55360027855153204</v>
      </c>
      <c r="H121" s="9">
        <v>20</v>
      </c>
      <c r="I121" s="11"/>
      <c r="J121" s="12">
        <f t="shared" si="4"/>
        <v>0</v>
      </c>
      <c r="K121" s="13">
        <f t="shared" si="5"/>
        <v>0</v>
      </c>
    </row>
    <row r="122" spans="1:11" ht="30" customHeight="1" x14ac:dyDescent="0.3">
      <c r="A122" s="6">
        <v>116</v>
      </c>
      <c r="B122" s="7">
        <v>8800289468650</v>
      </c>
      <c r="C122" s="6" t="s">
        <v>239</v>
      </c>
      <c r="D122" s="8" t="s">
        <v>240</v>
      </c>
      <c r="E122" s="10">
        <v>359000</v>
      </c>
      <c r="F122" s="10">
        <v>198742.5</v>
      </c>
      <c r="G122" s="19">
        <f t="shared" si="3"/>
        <v>0.55360027855153204</v>
      </c>
      <c r="H122" s="9">
        <v>20</v>
      </c>
      <c r="I122" s="11"/>
      <c r="J122" s="12">
        <f t="shared" si="4"/>
        <v>0</v>
      </c>
      <c r="K122" s="13">
        <f t="shared" si="5"/>
        <v>0</v>
      </c>
    </row>
    <row r="123" spans="1:11" ht="30" customHeight="1" x14ac:dyDescent="0.3">
      <c r="A123" s="6">
        <v>117</v>
      </c>
      <c r="B123" s="7">
        <v>8800289475207</v>
      </c>
      <c r="C123" s="6" t="s">
        <v>241</v>
      </c>
      <c r="D123" s="8" t="s">
        <v>242</v>
      </c>
      <c r="E123" s="10">
        <v>129000</v>
      </c>
      <c r="F123" s="10">
        <v>78292.5</v>
      </c>
      <c r="G123" s="19">
        <f t="shared" si="3"/>
        <v>0.60691860465116276</v>
      </c>
      <c r="H123" s="9">
        <v>30</v>
      </c>
      <c r="I123" s="11"/>
      <c r="J123" s="12">
        <f t="shared" si="4"/>
        <v>0</v>
      </c>
      <c r="K123" s="13">
        <f t="shared" si="5"/>
        <v>0</v>
      </c>
    </row>
    <row r="124" spans="1:11" ht="30" customHeight="1" x14ac:dyDescent="0.3">
      <c r="A124" s="6">
        <v>118</v>
      </c>
      <c r="B124" s="7">
        <v>8800289475214</v>
      </c>
      <c r="C124" s="6" t="s">
        <v>243</v>
      </c>
      <c r="D124" s="8" t="s">
        <v>244</v>
      </c>
      <c r="E124" s="10">
        <v>129000</v>
      </c>
      <c r="F124" s="10">
        <v>78292.5</v>
      </c>
      <c r="G124" s="19">
        <f t="shared" si="3"/>
        <v>0.60691860465116276</v>
      </c>
      <c r="H124" s="9">
        <v>30</v>
      </c>
      <c r="I124" s="11"/>
      <c r="J124" s="12">
        <f t="shared" si="4"/>
        <v>0</v>
      </c>
      <c r="K124" s="13">
        <f t="shared" si="5"/>
        <v>0</v>
      </c>
    </row>
    <row r="125" spans="1:11" ht="30" customHeight="1" x14ac:dyDescent="0.3">
      <c r="A125" s="6">
        <v>119</v>
      </c>
      <c r="B125" s="7">
        <v>8800289466274</v>
      </c>
      <c r="C125" s="6" t="s">
        <v>245</v>
      </c>
      <c r="D125" s="8" t="s">
        <v>246</v>
      </c>
      <c r="E125" s="10">
        <v>59000</v>
      </c>
      <c r="F125" s="10">
        <v>43362</v>
      </c>
      <c r="G125" s="19">
        <f t="shared" si="3"/>
        <v>0.73494915254237292</v>
      </c>
      <c r="H125" s="9">
        <v>20</v>
      </c>
      <c r="I125" s="11"/>
      <c r="J125" s="12">
        <f t="shared" si="4"/>
        <v>0</v>
      </c>
      <c r="K125" s="13">
        <f t="shared" si="5"/>
        <v>0</v>
      </c>
    </row>
    <row r="126" spans="1:11" ht="30" customHeight="1" x14ac:dyDescent="0.3">
      <c r="A126" s="6">
        <v>120</v>
      </c>
      <c r="B126" s="7">
        <v>8800289466199</v>
      </c>
      <c r="C126" s="6" t="s">
        <v>247</v>
      </c>
      <c r="D126" s="8" t="s">
        <v>248</v>
      </c>
      <c r="E126" s="10">
        <v>59000</v>
      </c>
      <c r="F126" s="10">
        <v>43362</v>
      </c>
      <c r="G126" s="19">
        <f t="shared" si="3"/>
        <v>0.73494915254237292</v>
      </c>
      <c r="H126" s="9">
        <v>20</v>
      </c>
      <c r="I126" s="11"/>
      <c r="J126" s="12">
        <f t="shared" si="4"/>
        <v>0</v>
      </c>
      <c r="K126" s="13">
        <f t="shared" si="5"/>
        <v>0</v>
      </c>
    </row>
    <row r="127" spans="1:11" ht="30" customHeight="1" x14ac:dyDescent="0.3">
      <c r="A127" s="6">
        <v>121</v>
      </c>
      <c r="B127" s="7">
        <v>8800289479748</v>
      </c>
      <c r="C127" s="6" t="s">
        <v>249</v>
      </c>
      <c r="D127" s="8" t="s">
        <v>250</v>
      </c>
      <c r="E127" s="10">
        <v>49000</v>
      </c>
      <c r="F127" s="10">
        <v>30112.5</v>
      </c>
      <c r="G127" s="19">
        <f t="shared" si="3"/>
        <v>0.61454081632653057</v>
      </c>
      <c r="H127" s="9">
        <v>25</v>
      </c>
      <c r="I127" s="11"/>
      <c r="J127" s="12">
        <f t="shared" si="4"/>
        <v>0</v>
      </c>
      <c r="K127" s="13">
        <f t="shared" si="5"/>
        <v>0</v>
      </c>
    </row>
    <row r="128" spans="1:11" ht="30" customHeight="1" x14ac:dyDescent="0.3">
      <c r="A128" s="6">
        <v>122</v>
      </c>
      <c r="B128" s="7">
        <v>8800289479731</v>
      </c>
      <c r="C128" s="6" t="s">
        <v>251</v>
      </c>
      <c r="D128" s="8" t="s">
        <v>252</v>
      </c>
      <c r="E128" s="10">
        <v>49000</v>
      </c>
      <c r="F128" s="10">
        <v>30112.5</v>
      </c>
      <c r="G128" s="19">
        <f t="shared" si="3"/>
        <v>0.61454081632653057</v>
      </c>
      <c r="H128" s="9">
        <v>25</v>
      </c>
      <c r="I128" s="11"/>
      <c r="J128" s="12">
        <f t="shared" si="4"/>
        <v>0</v>
      </c>
      <c r="K128" s="13">
        <f t="shared" si="5"/>
        <v>0</v>
      </c>
    </row>
    <row r="129" spans="1:11" ht="30" customHeight="1" x14ac:dyDescent="0.3">
      <c r="A129" s="6">
        <v>123</v>
      </c>
      <c r="B129" s="7">
        <v>8800289479557</v>
      </c>
      <c r="C129" s="6" t="s">
        <v>253</v>
      </c>
      <c r="D129" s="8" t="s">
        <v>254</v>
      </c>
      <c r="E129" s="10">
        <v>299000</v>
      </c>
      <c r="F129" s="10">
        <v>180675</v>
      </c>
      <c r="G129" s="19">
        <f t="shared" si="3"/>
        <v>0.60426421404682273</v>
      </c>
      <c r="H129" s="9">
        <v>20</v>
      </c>
      <c r="I129" s="11"/>
      <c r="J129" s="12">
        <f t="shared" si="4"/>
        <v>0</v>
      </c>
      <c r="K129" s="13">
        <f t="shared" si="5"/>
        <v>0</v>
      </c>
    </row>
    <row r="130" spans="1:11" ht="30" customHeight="1" x14ac:dyDescent="0.3">
      <c r="A130" s="6">
        <v>124</v>
      </c>
      <c r="B130" s="7">
        <v>8800289479540</v>
      </c>
      <c r="C130" s="6" t="s">
        <v>255</v>
      </c>
      <c r="D130" s="8" t="s">
        <v>256</v>
      </c>
      <c r="E130" s="10">
        <v>299000</v>
      </c>
      <c r="F130" s="10">
        <v>180675</v>
      </c>
      <c r="G130" s="19">
        <f t="shared" si="3"/>
        <v>0.60426421404682273</v>
      </c>
      <c r="H130" s="9">
        <v>20</v>
      </c>
      <c r="I130" s="11"/>
      <c r="J130" s="12">
        <f t="shared" si="4"/>
        <v>0</v>
      </c>
      <c r="K130" s="13">
        <f t="shared" si="5"/>
        <v>0</v>
      </c>
    </row>
    <row r="131" spans="1:11" ht="30" customHeight="1" x14ac:dyDescent="0.3">
      <c r="A131" s="6">
        <v>125</v>
      </c>
      <c r="B131" s="7">
        <v>8800289467271</v>
      </c>
      <c r="C131" s="6" t="s">
        <v>257</v>
      </c>
      <c r="D131" s="8" t="s">
        <v>258</v>
      </c>
      <c r="E131" s="10">
        <v>39000</v>
      </c>
      <c r="F131" s="10">
        <v>18067.5</v>
      </c>
      <c r="G131" s="19">
        <f t="shared" si="3"/>
        <v>0.46326923076923077</v>
      </c>
      <c r="H131" s="9">
        <v>80</v>
      </c>
      <c r="I131" s="11"/>
      <c r="J131" s="12">
        <f t="shared" si="4"/>
        <v>0</v>
      </c>
      <c r="K131" s="13">
        <f t="shared" si="5"/>
        <v>0</v>
      </c>
    </row>
    <row r="132" spans="1:11" ht="30" customHeight="1" x14ac:dyDescent="0.3">
      <c r="A132" s="6">
        <v>126</v>
      </c>
      <c r="B132" s="7">
        <v>8800289468049</v>
      </c>
      <c r="C132" s="6" t="s">
        <v>259</v>
      </c>
      <c r="D132" s="8" t="s">
        <v>260</v>
      </c>
      <c r="E132" s="10">
        <v>29000</v>
      </c>
      <c r="F132" s="10">
        <v>15658.5</v>
      </c>
      <c r="G132" s="19">
        <f t="shared" si="3"/>
        <v>0.53994827586206895</v>
      </c>
      <c r="H132" s="9">
        <v>80</v>
      </c>
      <c r="I132" s="11"/>
      <c r="J132" s="12">
        <f t="shared" si="4"/>
        <v>0</v>
      </c>
      <c r="K132" s="13">
        <f t="shared" si="5"/>
        <v>0</v>
      </c>
    </row>
    <row r="133" spans="1:11" ht="30" customHeight="1" x14ac:dyDescent="0.3">
      <c r="A133" s="6">
        <v>127</v>
      </c>
      <c r="B133" s="7">
        <v>8800256115594</v>
      </c>
      <c r="C133" s="6" t="s">
        <v>261</v>
      </c>
      <c r="D133" s="8" t="s">
        <v>262</v>
      </c>
      <c r="E133" s="10">
        <v>14900</v>
      </c>
      <c r="F133" s="10">
        <v>10599.6</v>
      </c>
      <c r="G133" s="19">
        <f t="shared" si="3"/>
        <v>0.71138255033557052</v>
      </c>
      <c r="H133" s="9">
        <v>120</v>
      </c>
      <c r="I133" s="11"/>
      <c r="J133" s="12">
        <f t="shared" si="4"/>
        <v>0</v>
      </c>
      <c r="K133" s="13">
        <f t="shared" si="5"/>
        <v>0</v>
      </c>
    </row>
    <row r="134" spans="1:11" ht="30" customHeight="1" x14ac:dyDescent="0.3">
      <c r="A134" s="6">
        <v>128</v>
      </c>
      <c r="B134" s="7">
        <v>8800240576578</v>
      </c>
      <c r="C134" s="6" t="s">
        <v>263</v>
      </c>
      <c r="D134" s="8" t="s">
        <v>264</v>
      </c>
      <c r="E134" s="10">
        <v>17900</v>
      </c>
      <c r="F134" s="10">
        <v>11924.55</v>
      </c>
      <c r="G134" s="19">
        <f t="shared" si="3"/>
        <v>0.66617597765363123</v>
      </c>
      <c r="H134" s="9">
        <v>120</v>
      </c>
      <c r="I134" s="11"/>
      <c r="J134" s="12">
        <f t="shared" si="4"/>
        <v>0</v>
      </c>
      <c r="K134" s="13">
        <f t="shared" si="5"/>
        <v>0</v>
      </c>
    </row>
    <row r="135" spans="1:11" ht="30" customHeight="1" x14ac:dyDescent="0.3">
      <c r="A135" s="6">
        <v>129</v>
      </c>
      <c r="B135" s="7">
        <v>8800289477348</v>
      </c>
      <c r="C135" s="6" t="s">
        <v>265</v>
      </c>
      <c r="D135" s="8" t="s">
        <v>266</v>
      </c>
      <c r="E135" s="10">
        <v>12900</v>
      </c>
      <c r="F135" s="10">
        <v>7227</v>
      </c>
      <c r="G135" s="19">
        <f t="shared" si="3"/>
        <v>0.56023255813953488</v>
      </c>
      <c r="H135" s="9">
        <v>240</v>
      </c>
      <c r="I135" s="11"/>
      <c r="J135" s="12">
        <f t="shared" si="4"/>
        <v>0</v>
      </c>
      <c r="K135" s="13">
        <f t="shared" si="5"/>
        <v>0</v>
      </c>
    </row>
    <row r="136" spans="1:11" ht="30" customHeight="1" x14ac:dyDescent="0.3"/>
    <row r="137" spans="1:11" ht="30" customHeight="1" x14ac:dyDescent="0.3"/>
    <row r="138" spans="1:11" ht="30" customHeight="1" x14ac:dyDescent="0.3"/>
    <row r="139" spans="1:11" ht="30" customHeight="1" x14ac:dyDescent="0.3"/>
    <row r="140" spans="1:11" ht="30" customHeight="1" x14ac:dyDescent="0.3"/>
    <row r="141" spans="1:11" ht="30" customHeight="1" x14ac:dyDescent="0.3"/>
    <row r="142" spans="1:11" ht="30" customHeight="1" x14ac:dyDescent="0.3"/>
    <row r="143" spans="1:11" ht="30" customHeight="1" x14ac:dyDescent="0.3"/>
    <row r="144" spans="1:11" ht="30" customHeight="1" x14ac:dyDescent="0.3"/>
    <row r="145" ht="30" customHeight="1" x14ac:dyDescent="0.3"/>
    <row r="146" ht="30" customHeight="1" x14ac:dyDescent="0.3"/>
    <row r="147" ht="30" customHeight="1" x14ac:dyDescent="0.3"/>
    <row r="148" ht="30" customHeight="1" x14ac:dyDescent="0.3"/>
    <row r="149" ht="30" customHeight="1" x14ac:dyDescent="0.3"/>
    <row r="150" ht="30" customHeight="1" x14ac:dyDescent="0.3"/>
    <row r="151" ht="30" customHeight="1" x14ac:dyDescent="0.3"/>
    <row r="152" ht="30" customHeight="1" x14ac:dyDescent="0.3"/>
    <row r="153" ht="30" customHeight="1" x14ac:dyDescent="0.3"/>
    <row r="154" ht="30" customHeight="1" x14ac:dyDescent="0.3"/>
    <row r="155" ht="30" customHeight="1" x14ac:dyDescent="0.3"/>
    <row r="156" ht="30" customHeight="1" x14ac:dyDescent="0.3"/>
    <row r="157" ht="30" customHeight="1" x14ac:dyDescent="0.3"/>
    <row r="158" ht="30" customHeight="1" x14ac:dyDescent="0.3"/>
    <row r="159" ht="30" customHeight="1" x14ac:dyDescent="0.3"/>
    <row r="160" ht="30" customHeight="1" x14ac:dyDescent="0.3"/>
    <row r="161" ht="30" customHeight="1" x14ac:dyDescent="0.3"/>
    <row r="162" ht="30" customHeight="1" x14ac:dyDescent="0.3"/>
    <row r="163" ht="30" customHeight="1" x14ac:dyDescent="0.3"/>
    <row r="164" ht="30" customHeight="1" x14ac:dyDescent="0.3"/>
    <row r="165" ht="30" customHeight="1" x14ac:dyDescent="0.3"/>
    <row r="166" ht="30" customHeight="1" x14ac:dyDescent="0.3"/>
    <row r="167" ht="30" customHeight="1" x14ac:dyDescent="0.3"/>
    <row r="168" ht="30" customHeight="1" x14ac:dyDescent="0.3"/>
    <row r="169" ht="30" customHeight="1" x14ac:dyDescent="0.3"/>
    <row r="170" ht="30" customHeight="1" x14ac:dyDescent="0.3"/>
    <row r="171" ht="30" customHeight="1" x14ac:dyDescent="0.3"/>
    <row r="172" ht="30" customHeight="1" x14ac:dyDescent="0.3"/>
    <row r="173" ht="30" customHeight="1" x14ac:dyDescent="0.3"/>
    <row r="174" ht="30" customHeight="1" x14ac:dyDescent="0.3"/>
    <row r="175" ht="30" customHeight="1" x14ac:dyDescent="0.3"/>
    <row r="176" ht="30" customHeight="1" x14ac:dyDescent="0.3"/>
    <row r="177" ht="30" customHeight="1" x14ac:dyDescent="0.3"/>
    <row r="178" ht="30" customHeight="1" x14ac:dyDescent="0.3"/>
    <row r="179" ht="30" customHeight="1" x14ac:dyDescent="0.3"/>
    <row r="180" ht="30" customHeight="1" x14ac:dyDescent="0.3"/>
    <row r="181" ht="30" customHeight="1" x14ac:dyDescent="0.3"/>
    <row r="182" ht="30" customHeight="1" x14ac:dyDescent="0.3"/>
    <row r="183" ht="30" customHeight="1" x14ac:dyDescent="0.3"/>
    <row r="184" ht="30" customHeight="1" x14ac:dyDescent="0.3"/>
    <row r="185" ht="30" customHeight="1" x14ac:dyDescent="0.3"/>
    <row r="186" ht="30" customHeight="1" x14ac:dyDescent="0.3"/>
    <row r="187" ht="30" customHeight="1" x14ac:dyDescent="0.3"/>
    <row r="188" ht="30" customHeight="1" x14ac:dyDescent="0.3"/>
    <row r="189" ht="30" customHeight="1" x14ac:dyDescent="0.3"/>
    <row r="190" ht="30" customHeight="1" x14ac:dyDescent="0.3"/>
    <row r="191" ht="30" customHeight="1" x14ac:dyDescent="0.3"/>
    <row r="192" ht="30" customHeight="1" x14ac:dyDescent="0.3"/>
    <row r="193" ht="30" customHeight="1" x14ac:dyDescent="0.3"/>
    <row r="194" ht="30" customHeight="1" x14ac:dyDescent="0.3"/>
    <row r="195" ht="30" customHeight="1" x14ac:dyDescent="0.3"/>
    <row r="196" ht="30" customHeight="1" x14ac:dyDescent="0.3"/>
    <row r="197" ht="30" customHeight="1" x14ac:dyDescent="0.3"/>
    <row r="198" ht="30" customHeight="1" x14ac:dyDescent="0.3"/>
    <row r="199" ht="30" customHeight="1" x14ac:dyDescent="0.3"/>
    <row r="200" ht="30" customHeight="1" x14ac:dyDescent="0.3"/>
    <row r="201" ht="30" customHeight="1" x14ac:dyDescent="0.3"/>
    <row r="202" ht="30" customHeight="1" x14ac:dyDescent="0.3"/>
    <row r="203" ht="30" customHeight="1" x14ac:dyDescent="0.3"/>
    <row r="204" ht="30" customHeight="1" x14ac:dyDescent="0.3"/>
    <row r="205" ht="30" customHeight="1" x14ac:dyDescent="0.3"/>
    <row r="206" ht="30" customHeight="1" x14ac:dyDescent="0.3"/>
    <row r="207" ht="30" customHeight="1" x14ac:dyDescent="0.3"/>
    <row r="208" ht="30" customHeight="1" x14ac:dyDescent="0.3"/>
    <row r="209" ht="30" customHeight="1" x14ac:dyDescent="0.3"/>
    <row r="210" ht="30" customHeight="1" x14ac:dyDescent="0.3"/>
    <row r="211" ht="30" customHeight="1" x14ac:dyDescent="0.3"/>
    <row r="212" ht="30" customHeight="1" x14ac:dyDescent="0.3"/>
    <row r="213" ht="30" customHeight="1" x14ac:dyDescent="0.3"/>
    <row r="214" ht="30" customHeight="1" x14ac:dyDescent="0.3"/>
    <row r="215" ht="30" customHeight="1" x14ac:dyDescent="0.3"/>
    <row r="216" ht="30" customHeight="1" x14ac:dyDescent="0.3"/>
    <row r="217" ht="30" customHeight="1" x14ac:dyDescent="0.3"/>
    <row r="218" ht="30" customHeight="1" x14ac:dyDescent="0.3"/>
    <row r="219" ht="30" customHeight="1" x14ac:dyDescent="0.3"/>
    <row r="220" ht="30" customHeight="1" x14ac:dyDescent="0.3"/>
    <row r="221" ht="30" customHeight="1" x14ac:dyDescent="0.3"/>
    <row r="222" ht="30" customHeight="1" x14ac:dyDescent="0.3"/>
    <row r="223" ht="30" customHeight="1" x14ac:dyDescent="0.3"/>
    <row r="224" ht="30" customHeight="1" x14ac:dyDescent="0.3"/>
    <row r="225" ht="30" customHeight="1" x14ac:dyDescent="0.3"/>
    <row r="226" ht="30" customHeight="1" x14ac:dyDescent="0.3"/>
    <row r="227" ht="30" customHeight="1" x14ac:dyDescent="0.3"/>
    <row r="228" ht="30" customHeight="1" x14ac:dyDescent="0.3"/>
    <row r="229" ht="30" customHeight="1" x14ac:dyDescent="0.3"/>
    <row r="230" ht="30" customHeight="1" x14ac:dyDescent="0.3"/>
    <row r="231" ht="30" customHeight="1" x14ac:dyDescent="0.3"/>
    <row r="232" ht="30" customHeight="1" x14ac:dyDescent="0.3"/>
    <row r="233" ht="30" customHeight="1" x14ac:dyDescent="0.3"/>
    <row r="234" ht="30" customHeight="1" x14ac:dyDescent="0.3"/>
    <row r="235" ht="30" customHeight="1" x14ac:dyDescent="0.3"/>
    <row r="236" ht="30" customHeight="1" x14ac:dyDescent="0.3"/>
    <row r="237" ht="30" customHeight="1" x14ac:dyDescent="0.3"/>
    <row r="238" ht="30" customHeight="1" x14ac:dyDescent="0.3"/>
    <row r="239" ht="30" customHeight="1" x14ac:dyDescent="0.3"/>
    <row r="240" ht="30" customHeight="1" x14ac:dyDescent="0.3"/>
    <row r="241" ht="30" customHeight="1" x14ac:dyDescent="0.3"/>
    <row r="242" ht="30" customHeight="1" x14ac:dyDescent="0.3"/>
    <row r="243" ht="30" customHeight="1" x14ac:dyDescent="0.3"/>
    <row r="244" ht="30" customHeight="1" x14ac:dyDescent="0.3"/>
    <row r="245" ht="30" customHeight="1" x14ac:dyDescent="0.3"/>
    <row r="246" ht="30" customHeight="1" x14ac:dyDescent="0.3"/>
    <row r="247" ht="30" customHeight="1" x14ac:dyDescent="0.3"/>
    <row r="248" ht="30" customHeight="1" x14ac:dyDescent="0.3"/>
    <row r="249" ht="30" customHeight="1" x14ac:dyDescent="0.3"/>
    <row r="250" ht="30" customHeight="1" x14ac:dyDescent="0.3"/>
    <row r="251" ht="30" customHeight="1" x14ac:dyDescent="0.3"/>
    <row r="252" ht="30" customHeight="1" x14ac:dyDescent="0.3"/>
    <row r="253" ht="30" customHeight="1" x14ac:dyDescent="0.3"/>
    <row r="254" ht="30" customHeight="1" x14ac:dyDescent="0.3"/>
    <row r="255" ht="30" customHeight="1" x14ac:dyDescent="0.3"/>
    <row r="256" ht="30" customHeight="1" x14ac:dyDescent="0.3"/>
    <row r="257" ht="30" customHeight="1" x14ac:dyDescent="0.3"/>
    <row r="258" ht="30" customHeight="1" x14ac:dyDescent="0.3"/>
    <row r="259" ht="30" customHeight="1" x14ac:dyDescent="0.3"/>
    <row r="260" ht="30" customHeight="1" x14ac:dyDescent="0.3"/>
    <row r="261" ht="30" customHeight="1" x14ac:dyDescent="0.3"/>
    <row r="262" ht="30" customHeight="1" x14ac:dyDescent="0.3"/>
    <row r="263" ht="30" customHeight="1" x14ac:dyDescent="0.3"/>
    <row r="264" ht="30" customHeight="1" x14ac:dyDescent="0.3"/>
    <row r="265" ht="30" customHeight="1" x14ac:dyDescent="0.3"/>
    <row r="266" ht="30" customHeight="1" x14ac:dyDescent="0.3"/>
    <row r="267" ht="30" customHeight="1" x14ac:dyDescent="0.3"/>
    <row r="268" ht="30" customHeight="1" x14ac:dyDescent="0.3"/>
    <row r="269" ht="30" customHeight="1" x14ac:dyDescent="0.3"/>
    <row r="270" ht="30" customHeight="1" x14ac:dyDescent="0.3"/>
    <row r="271" ht="30" customHeight="1" x14ac:dyDescent="0.3"/>
    <row r="272" ht="30" customHeight="1" x14ac:dyDescent="0.3"/>
    <row r="273" ht="30" customHeight="1" x14ac:dyDescent="0.3"/>
    <row r="274" ht="30" customHeight="1" x14ac:dyDescent="0.3"/>
    <row r="275" ht="30" customHeight="1" x14ac:dyDescent="0.3"/>
    <row r="276" ht="30" customHeight="1" x14ac:dyDescent="0.3"/>
    <row r="277" ht="30" customHeight="1" x14ac:dyDescent="0.3"/>
    <row r="278" ht="30" customHeight="1" x14ac:dyDescent="0.3"/>
    <row r="279" ht="30" customHeight="1" x14ac:dyDescent="0.3"/>
    <row r="280" ht="30" customHeight="1" x14ac:dyDescent="0.3"/>
    <row r="281" ht="30" customHeight="1" x14ac:dyDescent="0.3"/>
    <row r="282" ht="30" customHeight="1" x14ac:dyDescent="0.3"/>
    <row r="283" ht="30" customHeight="1" x14ac:dyDescent="0.3"/>
    <row r="284" ht="30" customHeight="1" x14ac:dyDescent="0.3"/>
    <row r="285" ht="30" customHeight="1" x14ac:dyDescent="0.3"/>
    <row r="286" ht="30" customHeight="1" x14ac:dyDescent="0.3"/>
    <row r="287" ht="30" customHeight="1" x14ac:dyDescent="0.3"/>
    <row r="288" ht="30" customHeight="1" x14ac:dyDescent="0.3"/>
    <row r="289" ht="30" customHeight="1" x14ac:dyDescent="0.3"/>
    <row r="290" ht="30" customHeight="1" x14ac:dyDescent="0.3"/>
    <row r="291" ht="30" customHeight="1" x14ac:dyDescent="0.3"/>
    <row r="292" ht="30" customHeight="1" x14ac:dyDescent="0.3"/>
    <row r="293" ht="30" customHeight="1" x14ac:dyDescent="0.3"/>
    <row r="294" ht="30" customHeight="1" x14ac:dyDescent="0.3"/>
    <row r="295" ht="30" customHeight="1" x14ac:dyDescent="0.3"/>
    <row r="296" ht="30" customHeight="1" x14ac:dyDescent="0.3"/>
    <row r="297" ht="30" customHeight="1" x14ac:dyDescent="0.3"/>
    <row r="298" ht="30" customHeight="1" x14ac:dyDescent="0.3"/>
    <row r="299" ht="30" customHeight="1" x14ac:dyDescent="0.3"/>
    <row r="300" ht="30" customHeight="1" x14ac:dyDescent="0.3"/>
    <row r="301" ht="30" customHeight="1" x14ac:dyDescent="0.3"/>
    <row r="302" ht="30" customHeight="1" x14ac:dyDescent="0.3"/>
    <row r="303" ht="30" customHeight="1" x14ac:dyDescent="0.3"/>
    <row r="304" ht="30" customHeight="1" x14ac:dyDescent="0.3"/>
    <row r="305" ht="30" customHeight="1" x14ac:dyDescent="0.3"/>
    <row r="306" ht="30" customHeight="1" x14ac:dyDescent="0.3"/>
    <row r="307" ht="30" customHeight="1" x14ac:dyDescent="0.3"/>
    <row r="308" ht="30" customHeight="1" x14ac:dyDescent="0.3"/>
    <row r="309" ht="30" customHeight="1" x14ac:dyDescent="0.3"/>
    <row r="310" ht="30" customHeight="1" x14ac:dyDescent="0.3"/>
    <row r="311" ht="30" customHeight="1" x14ac:dyDescent="0.3"/>
    <row r="312" ht="30" customHeight="1" x14ac:dyDescent="0.3"/>
    <row r="313" ht="30" customHeight="1" x14ac:dyDescent="0.3"/>
    <row r="314" ht="30" customHeight="1" x14ac:dyDescent="0.3"/>
    <row r="315" ht="30" customHeight="1" x14ac:dyDescent="0.3"/>
    <row r="316" ht="30" customHeight="1" x14ac:dyDescent="0.3"/>
    <row r="317" ht="30" customHeight="1" x14ac:dyDescent="0.3"/>
    <row r="318" ht="30" customHeight="1" x14ac:dyDescent="0.3"/>
    <row r="319" ht="30" customHeight="1" x14ac:dyDescent="0.3"/>
    <row r="320" ht="30" customHeight="1" x14ac:dyDescent="0.3"/>
    <row r="321" ht="30" customHeight="1" x14ac:dyDescent="0.3"/>
    <row r="322" ht="30" customHeight="1" x14ac:dyDescent="0.3"/>
    <row r="323" ht="30" customHeight="1" x14ac:dyDescent="0.3"/>
    <row r="324" ht="30" customHeight="1" x14ac:dyDescent="0.3"/>
    <row r="325" ht="30" customHeight="1" x14ac:dyDescent="0.3"/>
    <row r="326" ht="30" customHeight="1" x14ac:dyDescent="0.3"/>
    <row r="327" ht="30" customHeight="1" x14ac:dyDescent="0.3"/>
    <row r="328" ht="30" customHeight="1" x14ac:dyDescent="0.3"/>
    <row r="329" ht="30" customHeight="1" x14ac:dyDescent="0.3"/>
    <row r="330" ht="30" customHeight="1" x14ac:dyDescent="0.3"/>
    <row r="331" ht="30" customHeight="1" x14ac:dyDescent="0.3"/>
    <row r="332" ht="30" customHeight="1" x14ac:dyDescent="0.3"/>
    <row r="333" ht="30" customHeight="1" x14ac:dyDescent="0.3"/>
    <row r="334" ht="30" customHeight="1" x14ac:dyDescent="0.3"/>
    <row r="335" ht="30" customHeight="1" x14ac:dyDescent="0.3"/>
    <row r="336" ht="30" customHeight="1" x14ac:dyDescent="0.3"/>
    <row r="337" ht="30" customHeight="1" x14ac:dyDescent="0.3"/>
    <row r="338" ht="30" customHeight="1" x14ac:dyDescent="0.3"/>
    <row r="339" ht="30" customHeight="1" x14ac:dyDescent="0.3"/>
    <row r="340" ht="30" customHeight="1" x14ac:dyDescent="0.3"/>
    <row r="341" ht="30" customHeight="1" x14ac:dyDescent="0.3"/>
    <row r="342" ht="30" customHeight="1" x14ac:dyDescent="0.3"/>
    <row r="343" ht="30" customHeight="1" x14ac:dyDescent="0.3"/>
    <row r="344" ht="30" customHeight="1" x14ac:dyDescent="0.3"/>
    <row r="345" ht="30" customHeight="1" x14ac:dyDescent="0.3"/>
    <row r="346" ht="30" customHeight="1" x14ac:dyDescent="0.3"/>
    <row r="347" ht="30" customHeight="1" x14ac:dyDescent="0.3"/>
    <row r="348" ht="30" customHeight="1" x14ac:dyDescent="0.3"/>
    <row r="349" ht="30" customHeight="1" x14ac:dyDescent="0.3"/>
    <row r="350" ht="30" customHeight="1" x14ac:dyDescent="0.3"/>
    <row r="351" ht="30" customHeight="1" x14ac:dyDescent="0.3"/>
    <row r="352" ht="30" customHeight="1" x14ac:dyDescent="0.3"/>
    <row r="353" ht="30" customHeight="1" x14ac:dyDescent="0.3"/>
    <row r="354" ht="30" customHeight="1" x14ac:dyDescent="0.3"/>
    <row r="355" ht="30" customHeight="1" x14ac:dyDescent="0.3"/>
    <row r="356" ht="30" customHeight="1" x14ac:dyDescent="0.3"/>
    <row r="357" ht="30" customHeight="1" x14ac:dyDescent="0.3"/>
    <row r="358" ht="30" customHeight="1" x14ac:dyDescent="0.3"/>
    <row r="359" ht="30" customHeight="1" x14ac:dyDescent="0.3"/>
    <row r="360" ht="30" customHeight="1" x14ac:dyDescent="0.3"/>
    <row r="361" ht="30" customHeight="1" x14ac:dyDescent="0.3"/>
    <row r="362" ht="30" customHeight="1" x14ac:dyDescent="0.3"/>
    <row r="363" ht="30" customHeight="1" x14ac:dyDescent="0.3"/>
    <row r="364" ht="30" customHeight="1" x14ac:dyDescent="0.3"/>
    <row r="365" ht="30" customHeight="1" x14ac:dyDescent="0.3"/>
    <row r="366" ht="30" customHeight="1" x14ac:dyDescent="0.3"/>
    <row r="367" ht="30" customHeight="1" x14ac:dyDescent="0.3"/>
    <row r="368" ht="30" customHeight="1" x14ac:dyDescent="0.3"/>
    <row r="369" ht="30" customHeight="1" x14ac:dyDescent="0.3"/>
    <row r="370" ht="30" customHeight="1" x14ac:dyDescent="0.3"/>
    <row r="371" ht="30" customHeight="1" x14ac:dyDescent="0.3"/>
    <row r="372" ht="30" customHeight="1" x14ac:dyDescent="0.3"/>
    <row r="373" ht="30" customHeight="1" x14ac:dyDescent="0.3"/>
    <row r="374" ht="30" customHeight="1" x14ac:dyDescent="0.3"/>
    <row r="375" ht="30" customHeight="1" x14ac:dyDescent="0.3"/>
    <row r="376" ht="30" customHeight="1" x14ac:dyDescent="0.3"/>
    <row r="377" ht="30" customHeight="1" x14ac:dyDescent="0.3"/>
    <row r="378" ht="30" customHeight="1" x14ac:dyDescent="0.3"/>
    <row r="379" ht="30" customHeight="1" x14ac:dyDescent="0.3"/>
    <row r="380" ht="30" customHeight="1" x14ac:dyDescent="0.3"/>
    <row r="381" ht="30" customHeight="1" x14ac:dyDescent="0.3"/>
    <row r="382" ht="30" customHeight="1" x14ac:dyDescent="0.3"/>
    <row r="383" ht="30" customHeight="1" x14ac:dyDescent="0.3"/>
    <row r="384" ht="30" customHeight="1" x14ac:dyDescent="0.3"/>
    <row r="385" ht="30" customHeight="1" x14ac:dyDescent="0.3"/>
    <row r="386" ht="30" customHeight="1" x14ac:dyDescent="0.3"/>
    <row r="387" ht="30" customHeight="1" x14ac:dyDescent="0.3"/>
    <row r="388" ht="30" customHeight="1" x14ac:dyDescent="0.3"/>
    <row r="389" ht="30" customHeight="1" x14ac:dyDescent="0.3"/>
    <row r="390" ht="30" customHeight="1" x14ac:dyDescent="0.3"/>
    <row r="391" ht="30" customHeight="1" x14ac:dyDescent="0.3"/>
    <row r="392" ht="30" customHeight="1" x14ac:dyDescent="0.3"/>
    <row r="393" ht="30" customHeight="1" x14ac:dyDescent="0.3"/>
    <row r="394" ht="30" customHeight="1" x14ac:dyDescent="0.3"/>
    <row r="395" ht="30" customHeight="1" x14ac:dyDescent="0.3"/>
    <row r="396" ht="30" customHeight="1" x14ac:dyDescent="0.3"/>
    <row r="397" ht="30" customHeight="1" x14ac:dyDescent="0.3"/>
    <row r="398" ht="30" customHeight="1" x14ac:dyDescent="0.3"/>
    <row r="399" ht="30" customHeight="1" x14ac:dyDescent="0.3"/>
    <row r="400" ht="30" customHeight="1" x14ac:dyDescent="0.3"/>
    <row r="401" ht="30" customHeight="1" x14ac:dyDescent="0.3"/>
    <row r="402" ht="30" customHeight="1" x14ac:dyDescent="0.3"/>
    <row r="403" ht="30" customHeight="1" x14ac:dyDescent="0.3"/>
    <row r="404" ht="30" customHeight="1" x14ac:dyDescent="0.3"/>
    <row r="405" ht="30" customHeight="1" x14ac:dyDescent="0.3"/>
    <row r="406" ht="30" customHeight="1" x14ac:dyDescent="0.3"/>
    <row r="407" ht="30" customHeight="1" x14ac:dyDescent="0.3"/>
    <row r="408" ht="30" customHeight="1" x14ac:dyDescent="0.3"/>
    <row r="409" ht="30" customHeight="1" x14ac:dyDescent="0.3"/>
    <row r="410" ht="30" customHeight="1" x14ac:dyDescent="0.3"/>
    <row r="411" ht="30" customHeight="1" x14ac:dyDescent="0.3"/>
    <row r="412" ht="30" customHeight="1" x14ac:dyDescent="0.3"/>
    <row r="413" ht="30" customHeight="1" x14ac:dyDescent="0.3"/>
    <row r="414" ht="30" customHeight="1" x14ac:dyDescent="0.3"/>
    <row r="415" ht="30" customHeight="1" x14ac:dyDescent="0.3"/>
    <row r="416" ht="30" customHeight="1" x14ac:dyDescent="0.3"/>
    <row r="417" ht="30" customHeight="1" x14ac:dyDescent="0.3"/>
    <row r="418" ht="30" customHeight="1" x14ac:dyDescent="0.3"/>
    <row r="419" ht="30" customHeight="1" x14ac:dyDescent="0.3"/>
    <row r="420" ht="30" customHeight="1" x14ac:dyDescent="0.3"/>
    <row r="421" ht="30" customHeight="1" x14ac:dyDescent="0.3"/>
    <row r="422" ht="30" customHeight="1" x14ac:dyDescent="0.3"/>
    <row r="423" ht="30" customHeight="1" x14ac:dyDescent="0.3"/>
    <row r="424" ht="30" customHeight="1" x14ac:dyDescent="0.3"/>
    <row r="425" ht="30" customHeight="1" x14ac:dyDescent="0.3"/>
    <row r="426" ht="30" customHeight="1" x14ac:dyDescent="0.3"/>
    <row r="427" ht="30" customHeight="1" x14ac:dyDescent="0.3"/>
    <row r="428" ht="30" customHeight="1" x14ac:dyDescent="0.3"/>
    <row r="429" ht="30" customHeight="1" x14ac:dyDescent="0.3"/>
    <row r="430" ht="30" customHeight="1" x14ac:dyDescent="0.3"/>
    <row r="431" ht="30" customHeight="1" x14ac:dyDescent="0.3"/>
    <row r="432" ht="30" customHeight="1" x14ac:dyDescent="0.3"/>
    <row r="433" ht="30" customHeight="1" x14ac:dyDescent="0.3"/>
    <row r="434" ht="30" customHeight="1" x14ac:dyDescent="0.3"/>
    <row r="435" ht="30" customHeight="1" x14ac:dyDescent="0.3"/>
    <row r="436" ht="30" customHeight="1" x14ac:dyDescent="0.3"/>
    <row r="437" ht="30" customHeight="1" x14ac:dyDescent="0.3"/>
    <row r="438" ht="30" customHeight="1" x14ac:dyDescent="0.3"/>
    <row r="439" ht="30" customHeight="1" x14ac:dyDescent="0.3"/>
    <row r="440" ht="30" customHeight="1" x14ac:dyDescent="0.3"/>
    <row r="441" ht="30" customHeight="1" x14ac:dyDescent="0.3"/>
    <row r="442" ht="30" customHeight="1" x14ac:dyDescent="0.3"/>
    <row r="443" ht="30" customHeight="1" x14ac:dyDescent="0.3"/>
    <row r="444" ht="30" customHeight="1" x14ac:dyDescent="0.3"/>
    <row r="445" ht="30" customHeight="1" x14ac:dyDescent="0.3"/>
    <row r="446" ht="30" customHeight="1" x14ac:dyDescent="0.3"/>
    <row r="447" ht="30" customHeight="1" x14ac:dyDescent="0.3"/>
    <row r="448" ht="30" customHeight="1" x14ac:dyDescent="0.3"/>
    <row r="449" ht="30" customHeight="1" x14ac:dyDescent="0.3"/>
    <row r="450" ht="30" customHeight="1" x14ac:dyDescent="0.3"/>
    <row r="451" ht="30" customHeight="1" x14ac:dyDescent="0.3"/>
    <row r="452" ht="30" customHeight="1" x14ac:dyDescent="0.3"/>
    <row r="453" ht="30" customHeight="1" x14ac:dyDescent="0.3"/>
    <row r="454" ht="30" customHeight="1" x14ac:dyDescent="0.3"/>
    <row r="455" ht="30" customHeight="1" x14ac:dyDescent="0.3"/>
    <row r="456" ht="30" customHeight="1" x14ac:dyDescent="0.3"/>
    <row r="457" ht="30" customHeight="1" x14ac:dyDescent="0.3"/>
    <row r="458" ht="30" customHeight="1" x14ac:dyDescent="0.3"/>
    <row r="459" ht="30" customHeight="1" x14ac:dyDescent="0.3"/>
    <row r="460" ht="30" customHeight="1" x14ac:dyDescent="0.3"/>
    <row r="461" ht="30" customHeight="1" x14ac:dyDescent="0.3"/>
    <row r="462" ht="30" customHeight="1" x14ac:dyDescent="0.3"/>
    <row r="463" ht="30" customHeight="1" x14ac:dyDescent="0.3"/>
    <row r="464" ht="30" customHeight="1" x14ac:dyDescent="0.3"/>
    <row r="465" ht="30" customHeight="1" x14ac:dyDescent="0.3"/>
    <row r="466" ht="30" customHeight="1" x14ac:dyDescent="0.3"/>
    <row r="467" ht="30" customHeight="1" x14ac:dyDescent="0.3"/>
    <row r="468" ht="30" customHeight="1" x14ac:dyDescent="0.3"/>
    <row r="469" ht="30" customHeight="1" x14ac:dyDescent="0.3"/>
    <row r="470" ht="30" customHeight="1" x14ac:dyDescent="0.3"/>
    <row r="471" ht="30" customHeight="1" x14ac:dyDescent="0.3"/>
    <row r="472" ht="30" customHeight="1" x14ac:dyDescent="0.3"/>
    <row r="473" ht="30" customHeight="1" x14ac:dyDescent="0.3"/>
    <row r="474" ht="30" customHeight="1" x14ac:dyDescent="0.3"/>
    <row r="475" ht="30" customHeight="1" x14ac:dyDescent="0.3"/>
    <row r="476" ht="30" customHeight="1" x14ac:dyDescent="0.3"/>
    <row r="477" ht="30" customHeight="1" x14ac:dyDescent="0.3"/>
    <row r="478" ht="30" customHeight="1" x14ac:dyDescent="0.3"/>
    <row r="479" ht="30" customHeight="1" x14ac:dyDescent="0.3"/>
    <row r="480" ht="30" customHeight="1" x14ac:dyDescent="0.3"/>
    <row r="481" ht="30" customHeight="1" x14ac:dyDescent="0.3"/>
    <row r="482" ht="30" customHeight="1" x14ac:dyDescent="0.3"/>
    <row r="483" ht="30" customHeight="1" x14ac:dyDescent="0.3"/>
    <row r="484" ht="30" customHeight="1" x14ac:dyDescent="0.3"/>
    <row r="485" ht="30" customHeight="1" x14ac:dyDescent="0.3"/>
    <row r="486" ht="30" customHeight="1" x14ac:dyDescent="0.3"/>
    <row r="487" ht="30" customHeight="1" x14ac:dyDescent="0.3"/>
    <row r="488" ht="30" customHeight="1" x14ac:dyDescent="0.3"/>
    <row r="489" ht="30" customHeight="1" x14ac:dyDescent="0.3"/>
    <row r="490" ht="30" customHeight="1" x14ac:dyDescent="0.3"/>
    <row r="491" ht="30" customHeight="1" x14ac:dyDescent="0.3"/>
    <row r="492" ht="30" customHeight="1" x14ac:dyDescent="0.3"/>
    <row r="493" ht="30" customHeight="1" x14ac:dyDescent="0.3"/>
    <row r="494" ht="30" customHeight="1" x14ac:dyDescent="0.3"/>
    <row r="495" ht="30" customHeight="1" x14ac:dyDescent="0.3"/>
    <row r="496" ht="30" customHeight="1" x14ac:dyDescent="0.3"/>
    <row r="497" ht="30" customHeight="1" x14ac:dyDescent="0.3"/>
    <row r="498" ht="30" customHeight="1" x14ac:dyDescent="0.3"/>
    <row r="499" ht="30" customHeight="1" x14ac:dyDescent="0.3"/>
    <row r="500" ht="30" customHeight="1" x14ac:dyDescent="0.3"/>
    <row r="501" ht="30" customHeight="1" x14ac:dyDescent="0.3"/>
    <row r="502" ht="30" customHeight="1" x14ac:dyDescent="0.3"/>
    <row r="503" ht="30" customHeight="1" x14ac:dyDescent="0.3"/>
    <row r="504" ht="30" customHeight="1" x14ac:dyDescent="0.3"/>
    <row r="505" ht="30" customHeight="1" x14ac:dyDescent="0.3"/>
    <row r="506" ht="30" customHeight="1" x14ac:dyDescent="0.3"/>
    <row r="507" ht="30" customHeight="1" x14ac:dyDescent="0.3"/>
    <row r="508" ht="30" customHeight="1" x14ac:dyDescent="0.3"/>
    <row r="509" ht="30" customHeight="1" x14ac:dyDescent="0.3"/>
    <row r="510" ht="30" customHeight="1" x14ac:dyDescent="0.3"/>
    <row r="511" ht="30" customHeight="1" x14ac:dyDescent="0.3"/>
    <row r="512" ht="30" customHeight="1" x14ac:dyDescent="0.3"/>
    <row r="513" ht="30" customHeight="1" x14ac:dyDescent="0.3"/>
    <row r="514" ht="30" customHeight="1" x14ac:dyDescent="0.3"/>
    <row r="515" ht="30" customHeight="1" x14ac:dyDescent="0.3"/>
    <row r="516" ht="30" customHeight="1" x14ac:dyDescent="0.3"/>
    <row r="517" ht="30" customHeight="1" x14ac:dyDescent="0.3"/>
    <row r="518" ht="30" customHeight="1" x14ac:dyDescent="0.3"/>
    <row r="519" ht="30" customHeight="1" x14ac:dyDescent="0.3"/>
    <row r="520" ht="30" customHeight="1" x14ac:dyDescent="0.3"/>
    <row r="521" ht="30" customHeight="1" x14ac:dyDescent="0.3"/>
    <row r="522" ht="30" customHeight="1" x14ac:dyDescent="0.3"/>
    <row r="523" ht="30" customHeight="1" x14ac:dyDescent="0.3"/>
    <row r="524" ht="30" customHeight="1" x14ac:dyDescent="0.3"/>
    <row r="525" ht="30" customHeight="1" x14ac:dyDescent="0.3"/>
    <row r="526" ht="30" customHeight="1" x14ac:dyDescent="0.3"/>
    <row r="527" ht="30" customHeight="1" x14ac:dyDescent="0.3"/>
    <row r="528" ht="30" customHeight="1" x14ac:dyDescent="0.3"/>
    <row r="529" ht="30" customHeight="1" x14ac:dyDescent="0.3"/>
    <row r="530" ht="30" customHeight="1" x14ac:dyDescent="0.3"/>
  </sheetData>
  <mergeCells count="2">
    <mergeCell ref="E6:G6"/>
    <mergeCell ref="A1:C1"/>
  </mergeCells>
  <phoneticPr fontId="2" type="noConversion"/>
  <conditionalFormatting sqref="J7:J135">
    <cfRule type="expression" dxfId="5" priority="11">
      <formula>#REF!="품절"</formula>
    </cfRule>
    <cfRule type="expression" dxfId="4" priority="12">
      <formula>#REF!="단종"</formula>
    </cfRule>
  </conditionalFormatting>
  <conditionalFormatting sqref="E5:G5 I5:L5 A5:D6 K7:L7 H5:H6 K7:K135">
    <cfRule type="expression" dxfId="3" priority="13">
      <formula>#REF!="품절"</formula>
    </cfRule>
    <cfRule type="expression" dxfId="2" priority="14">
      <formula>#REF!="단종"</formula>
    </cfRule>
  </conditionalFormatting>
  <conditionalFormatting sqref="E6:L6">
    <cfRule type="expression" dxfId="1" priority="17">
      <formula>#REF!="품절"</formula>
    </cfRule>
    <cfRule type="expression" dxfId="0" priority="18">
      <formula>#REF!="단종"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Sun</dc:creator>
  <cp:lastModifiedBy>Sun Jin</cp:lastModifiedBy>
  <dcterms:created xsi:type="dcterms:W3CDTF">2026-01-07T03:25:48Z</dcterms:created>
  <dcterms:modified xsi:type="dcterms:W3CDTF">2026-07-01T05:36:25Z</dcterms:modified>
</cp:coreProperties>
</file>
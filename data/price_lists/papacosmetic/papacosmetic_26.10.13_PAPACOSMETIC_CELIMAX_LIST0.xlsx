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PACOSMETIC\Desktop\"/>
    </mc:Choice>
  </mc:AlternateContent>
  <xr:revisionPtr revIDLastSave="0" documentId="8_{BCAA0A8A-9AF9-48F1-A9EE-C106F366419D}" xr6:coauthVersionLast="47" xr6:coauthVersionMax="47" xr10:uidLastSave="{00000000-0000-0000-0000-000000000000}"/>
  <bookViews>
    <workbookView xWindow="29595" yWindow="480" windowWidth="26310" windowHeight="14925" activeTab="1" xr2:uid="{9999AC61-8E5C-480F-B905-95BDE599E2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0" i="2" l="1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I7" i="2"/>
  <c r="J7" i="2" s="1"/>
  <c r="H6" i="2"/>
  <c r="I6" i="2" l="1"/>
  <c r="J8" i="2"/>
  <c r="J6" i="2" s="1"/>
  <c r="I6" i="1" l="1"/>
  <c r="J49" i="1" l="1"/>
  <c r="K49" i="1"/>
  <c r="J50" i="1"/>
  <c r="K50" i="1" s="1"/>
  <c r="J51" i="1"/>
  <c r="K51" i="1" s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 s="1"/>
  <c r="J59" i="1"/>
  <c r="K59" i="1" s="1"/>
  <c r="J60" i="1"/>
  <c r="K60" i="1" s="1"/>
  <c r="G49" i="1"/>
  <c r="G50" i="1"/>
  <c r="G51" i="1"/>
  <c r="G52" i="1"/>
  <c r="G53" i="1"/>
  <c r="G54" i="1"/>
  <c r="G55" i="1"/>
  <c r="G56" i="1"/>
  <c r="G57" i="1"/>
  <c r="G58" i="1"/>
  <c r="G59" i="1"/>
  <c r="G60" i="1"/>
  <c r="J8" i="1"/>
  <c r="K8" i="1"/>
  <c r="J9" i="1"/>
  <c r="K9" i="1"/>
  <c r="J10" i="1"/>
  <c r="K10" i="1"/>
  <c r="J11" i="1"/>
  <c r="K11" i="1" s="1"/>
  <c r="J12" i="1"/>
  <c r="K12" i="1"/>
  <c r="J13" i="1"/>
  <c r="K13" i="1"/>
  <c r="J14" i="1"/>
  <c r="K14" i="1" s="1"/>
  <c r="J15" i="1"/>
  <c r="K15" i="1"/>
  <c r="J16" i="1"/>
  <c r="K16" i="1"/>
  <c r="J17" i="1"/>
  <c r="K17" i="1"/>
  <c r="J18" i="1"/>
  <c r="K18" i="1" s="1"/>
  <c r="J19" i="1"/>
  <c r="K19" i="1"/>
  <c r="J20" i="1"/>
  <c r="K20" i="1" s="1"/>
  <c r="J21" i="1"/>
  <c r="K21" i="1"/>
  <c r="J22" i="1"/>
  <c r="K22" i="1" s="1"/>
  <c r="J23" i="1"/>
  <c r="K23" i="1" s="1"/>
  <c r="J24" i="1"/>
  <c r="K24" i="1" s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 s="1"/>
  <c r="J33" i="1"/>
  <c r="K33" i="1" s="1"/>
  <c r="J34" i="1"/>
  <c r="K34" i="1"/>
  <c r="J35" i="1"/>
  <c r="K35" i="1"/>
  <c r="J36" i="1"/>
  <c r="K36" i="1"/>
  <c r="J37" i="1"/>
  <c r="K37" i="1"/>
  <c r="J38" i="1"/>
  <c r="K38" i="1" s="1"/>
  <c r="J39" i="1"/>
  <c r="K39" i="1"/>
  <c r="J40" i="1"/>
  <c r="K40" i="1"/>
  <c r="J41" i="1"/>
  <c r="K41" i="1"/>
  <c r="J42" i="1"/>
  <c r="K42" i="1" s="1"/>
  <c r="J43" i="1"/>
  <c r="K43" i="1"/>
  <c r="J44" i="1"/>
  <c r="K44" i="1" s="1"/>
  <c r="J45" i="1"/>
  <c r="K45" i="1"/>
  <c r="J46" i="1"/>
  <c r="K46" i="1" s="1"/>
  <c r="J47" i="1"/>
  <c r="K47" i="1"/>
  <c r="J48" i="1"/>
  <c r="K48" i="1" s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J7" i="1" l="1"/>
  <c r="J6" i="1" s="1"/>
  <c r="G7" i="1"/>
  <c r="K7" i="1" l="1"/>
  <c r="K6" i="1" s="1"/>
</calcChain>
</file>

<file path=xl/sharedStrings.xml><?xml version="1.0" encoding="utf-8"?>
<sst xmlns="http://schemas.openxmlformats.org/spreadsheetml/2006/main" count="262" uniqueCount="132">
  <si>
    <t>NO</t>
    <phoneticPr fontId="4" type="noConversion"/>
  </si>
  <si>
    <t>Bar Code</t>
    <phoneticPr fontId="2" type="noConversion"/>
  </si>
  <si>
    <t>Product Name(EN)</t>
    <phoneticPr fontId="5" type="noConversion"/>
  </si>
  <si>
    <t>PCS / 
OUTBOX</t>
    <phoneticPr fontId="5" type="noConversion"/>
  </si>
  <si>
    <t>ORDER 
BOXES</t>
    <phoneticPr fontId="5" type="noConversion"/>
  </si>
  <si>
    <t>TOTAL 
QUANTITIES</t>
    <phoneticPr fontId="5" type="noConversion"/>
  </si>
  <si>
    <t>Total Supply Price</t>
    <phoneticPr fontId="2" type="noConversion"/>
  </si>
  <si>
    <t>TOTAL</t>
    <phoneticPr fontId="2" type="noConversion"/>
  </si>
  <si>
    <t>소비자가
(KRW)</t>
    <phoneticPr fontId="5" type="noConversion"/>
  </si>
  <si>
    <t xml:space="preserve"> 공급가
(KRW)</t>
    <phoneticPr fontId="5" type="noConversion"/>
  </si>
  <si>
    <t xml:space="preserve"> 공급율
(KRW)</t>
    <phoneticPr fontId="5" type="noConversion"/>
  </si>
  <si>
    <t>Product Name(KR)</t>
    <phoneticPr fontId="5" type="noConversion"/>
  </si>
  <si>
    <t>셀리맥스 노니마스크 1매</t>
  </si>
  <si>
    <t>CELIMAX THE REAL NONI ENERGY AMPOULE MASK 1EA</t>
  </si>
  <si>
    <t>셀리맥스 노니마스크 10매</t>
  </si>
  <si>
    <t>CELIMAX THE REAL NONI ENERGY AMPOULE MASK 10EA</t>
  </si>
  <si>
    <t>셀리맥스 시카마스크 1매</t>
  </si>
  <si>
    <t>CELIMAX THE REAL CICA CALMING SERUM MASK 1EA</t>
  </si>
  <si>
    <t>셀리맥스 시카마스크 10매</t>
  </si>
  <si>
    <t>CELIMAX THE REAL CICA CALMING SERUM MASK 10EA</t>
  </si>
  <si>
    <t>셀리맥스 브라이트닝 모공잡티 세럼 마스크 1매</t>
  </si>
  <si>
    <t>CELIMAX PORE+DARK SPOT BRIGHTENING SERUM MASK 1EA</t>
  </si>
  <si>
    <t>셀리맥스 브라이트닝 모공잡티 세럼 마스크 10매</t>
  </si>
  <si>
    <t>CELIMAX PORE+DARK SPOT BRIGHTENING SERUM MASK 10EA</t>
  </si>
  <si>
    <t>셀리맥스 브라이트닝 모공잡티 크림 랩핑 마스크 1매</t>
  </si>
  <si>
    <t>CELIMAX PORE+DARK SPOT BRIGHTENING CREAM MASK 1EA</t>
  </si>
  <si>
    <t>셀리맥스 브라이트닝 모공잡티 크림 랩핑 마스크 4매</t>
  </si>
  <si>
    <t>CELIMAX PORE+DARK SPOT BRIGHTENING CREAM MASK 4EA</t>
  </si>
  <si>
    <t>시카 투스텝 겔 마스크 1매</t>
  </si>
  <si>
    <t>CELIMAX JI WOO GAE CICA PHA PEEL 2-STEP GEL MASK 1EA</t>
  </si>
  <si>
    <t>시카 투스텝 겔 마스크 4매</t>
  </si>
  <si>
    <t>CELIMAX JI WOO GAE CICA PHA PEEL 2-STEP GEL MASK 4EA</t>
  </si>
  <si>
    <t>셀리맥스 노니 클레이 마스크 120g</t>
  </si>
  <si>
    <t>CELIMAX THE REAL NONI REFRESH CLAY MASK 120G</t>
  </si>
  <si>
    <t>셀리맥스 노니 토너 150ml</t>
  </si>
  <si>
    <t>CELIMAX THE REAL NONI MOISTURE BALANCING TONER 150ML</t>
  </si>
  <si>
    <t>셀리맥스 노니 에너지 앰플 30ml</t>
  </si>
  <si>
    <t>CELIMAX THE REAL NONI ENERGY AMPOULE 30ML</t>
  </si>
  <si>
    <t>셀리맥스 더 리얼 노니 에너지 앰플 50ml</t>
  </si>
  <si>
    <t>CELIMAX THE REAL NONI ENERGY AMPOULE 50ML</t>
  </si>
  <si>
    <t xml:space="preserve"> 셀리맥스 노니 로션 150ml</t>
  </si>
  <si>
    <t>CELIMAX THE REAL NONI HYDRA FIRMING LOTION 150ML</t>
  </si>
  <si>
    <t>셀리맥스 노니 얼티밋 아이크림 20ml</t>
  </si>
  <si>
    <t>CELIMAX THE REAL NONI ULTIMATE EYE CREAM 20ML</t>
  </si>
  <si>
    <t>노니 리페어 크림 50ml</t>
  </si>
  <si>
    <t>CELIMAX THE REAL NONI ENERGY REPAIR CREAM 50ML</t>
  </si>
  <si>
    <t>셀리맥스 노니미스트 50ml</t>
  </si>
  <si>
    <t>CELIMAX THE REAL NONI ENERGY AMPOULE MIST 50ML</t>
  </si>
  <si>
    <t>셀리맥스 더 리얼 노니 아크네 버블 폼 클렌징 155ml</t>
  </si>
  <si>
    <t>CELIMAX THE REAL NONI ACNE BUBBLE CLEANSER 155ML</t>
  </si>
  <si>
    <t>노니 글로우 패드 50매</t>
  </si>
  <si>
    <t>CELIMAX THE REAL NONI CALMING GLOW PAD 50EA</t>
  </si>
  <si>
    <t>셀리맥스 더 리얼 시카 나이아신마이드 AC 카밍 세럼 40ml</t>
  </si>
  <si>
    <t>CELIMAX THE REAL CICA NIACINAMIDE AC CALMING SERUM 40ML</t>
  </si>
  <si>
    <t>셀리맥스 더 리얼 시카 수딩 크림 50ml</t>
  </si>
  <si>
    <t>CELIMAX THE REAL CICA SOOTHING CREAM 50ML</t>
  </si>
  <si>
    <t>셀리맥스 지우개패드 (22AD)</t>
  </si>
  <si>
    <t>CELIMAX JI WOO GAE HEARTLEAF BHA PEELING PAD 60PADS</t>
  </si>
  <si>
    <t>셀리맥스 원스텝 바디 브라이트닝 패드 60 pads / 110ml (22AD)</t>
  </si>
  <si>
    <t>CELIMAX ONE STEP BODY BRIGHTENING PAD 60PADS</t>
  </si>
  <si>
    <t>셀리맥스 지우개 클렌징 패드 60매</t>
  </si>
  <si>
    <t>CELIMAX JI WOO GAE ONE STEP MILD CLEANSING PAD 60PADS</t>
  </si>
  <si>
    <t>셀리맥스 시카 BHA 블레미쉬 토너 패드 170ml/60매</t>
  </si>
  <si>
    <t>CELIMAX JI WOO GAE CICA BHA BLEMISH TONER PAD 60PADS</t>
  </si>
  <si>
    <t>셀리맥스 지우개 바디 미스트 150ml</t>
  </si>
  <si>
    <t>CELIMAX JI WOO GAE HEARTLEAF BHA BODY MIST 150ML</t>
  </si>
  <si>
    <t>셀리맥스 베이킹 소다 딥 포어 지우개 폼 클렌징</t>
  </si>
  <si>
    <t>CELIMAX BAKING SODA DEEP PORE JI WOO GAE FOAM CLEANSING 150ML</t>
  </si>
  <si>
    <t>셀리맥스 시카 바하 지우개 폼 클렌징 150ml</t>
  </si>
  <si>
    <t>CELIMAX JI WOO GAE CICA BHA ACNE FOAM CLEANSING 150ML</t>
  </si>
  <si>
    <t>셀리맥스 듀얼 배리어 젤 클렌저 200ml</t>
  </si>
  <si>
    <t>CELIMAX DUAL BARRIER MILD GEL CLEANSER 200ML</t>
  </si>
  <si>
    <t>셀리맥스 듀얼 배리어 토너 150ml</t>
  </si>
  <si>
    <t>CELIMAX DUAL BARRIER CREAMY TONER 150ML</t>
  </si>
  <si>
    <t>셀리맥스 듀얼 배리어 세럼 30ml</t>
  </si>
  <si>
    <t>CELIMAX DUAL BARRIER BOOSTING SERUM 30ML</t>
  </si>
  <si>
    <t>셀리맥스 듀얼 배리어 크림 50ml</t>
  </si>
  <si>
    <t>CELIMAX DUAL BARRIER SKIN WEARABLE CREAM 50ML</t>
  </si>
  <si>
    <t>셀리맥스 듀얼 배리어 워터리 선크림 40ml</t>
  </si>
  <si>
    <t>CELIMAX DUAL BARRIER WATERY SUN CREAM 40ML</t>
  </si>
  <si>
    <t>셀리맥스 듀얼배리어 클렌징 밤 50ml *2EA (본품 + 리필)</t>
  </si>
  <si>
    <t>CELIMAX DUAL BARRIER PURIFYING CLEANSING BALM 50ML (main product + refill)</t>
  </si>
  <si>
    <t>셀리맥스 듀얼배리어 클렌징 밤 50ml (리필)</t>
  </si>
  <si>
    <t>CELIMAX DUAL BARRIER PURIFYING CLEANSING BALM 50M refill</t>
  </si>
  <si>
    <t>셀리맥스 더 비타 에이 레티놀 샷 타이트닝 세럼 30ml</t>
  </si>
  <si>
    <t>CELIMAX THE VITA-A RETINOL SHOT TIGHTENING SERUM 30ML</t>
  </si>
  <si>
    <t>셀리맥스 더 비타 에이 레티날 샷 타이트닝 부스터 15ml</t>
  </si>
  <si>
    <t>CELIMAX THE VITA-A RETINAL SHOT TIGHTENING BOOSTER 15ML</t>
  </si>
  <si>
    <t>셀리맥스 프레시 클렌징 오일</t>
  </si>
  <si>
    <t>CELIMAX DERMA NATURE FRESH BLACKHEAD JOJOBA CLEANSING OIL 150ML</t>
  </si>
  <si>
    <t>셀리맥스 마데시카 약산성 폼 클렌징</t>
  </si>
  <si>
    <t>CELIMAX DERMA NATURE RELIEF MADECICA PH BALANCING FOAM CLEANSING 150ML</t>
  </si>
  <si>
    <t>셀리맥스 환생 톤업크림</t>
  </si>
  <si>
    <t>CELIMAX DERMA NATURE GLUTATHIONE LONGLASTING TONE-UP CREAM 35ML</t>
  </si>
  <si>
    <t>셀리맥스 오일 컨트롤 에센스 30ml</t>
  </si>
  <si>
    <t>CELIMAX OIL CONTROL CAPSULE ESSENCE 30ML</t>
  </si>
  <si>
    <t>셀리맥스 오일 컨트롤 라이트 선크림 40ml</t>
  </si>
  <si>
    <t>CELIMAX OIL CONTROL LIGHT SUNSCREEN 40ML</t>
  </si>
  <si>
    <t>셀리맥스 오일 컨트롤 수분 크림 80ml</t>
  </si>
  <si>
    <t>CELIMAX OIL CONTROL MOISTURIZING CREAM 80ML</t>
  </si>
  <si>
    <t>셀리맥스 오일 컨트롤 매티파잉 선스틱 19g</t>
  </si>
  <si>
    <t>CELIMAX OIL CONTROL MATTIFYING SUN STICK 19G</t>
  </si>
  <si>
    <t>셀리맥스 하트핑크 톤업 선크림 40ml</t>
  </si>
  <si>
    <t>CELIMAX HEART PINK TONE UP SUN CREAM 40ML</t>
  </si>
  <si>
    <t>셀리맥스 브라이트닝 모공잡티 세럼 30ml</t>
  </si>
  <si>
    <t>CELIMAX PORE+DARK SPOT BRIGHTENING SERUM 30ML</t>
  </si>
  <si>
    <t>셀리맥스 브라이트닝 모공잡티 패드 40pads</t>
  </si>
  <si>
    <t>CELIMAX PORE+DARK SPOT BRIGHTENING PAD 40PADS</t>
  </si>
  <si>
    <t>셀리맥스 브라이트닝 모공잡티 패드 80pads</t>
  </si>
  <si>
    <t>CELIMAX PORE+DARK SPOT BRIGHTENING PAD 80PADS</t>
  </si>
  <si>
    <t>셀리맥스 모공잡티 크림 35ml</t>
  </si>
  <si>
    <t>CELIMAX PORE+DARK SPOT BRIGHTENING CREAM 35ML</t>
  </si>
  <si>
    <t>셀리맥스 모공잡티 선스크린 50ml</t>
  </si>
  <si>
    <t>CELIMAX PORE+DARK SPOT BRIGHTENING CARE SUNSCREEN 50ML</t>
  </si>
  <si>
    <t>셀리맥스 더 리얼 노니 스타터 키트</t>
  </si>
  <si>
    <t>CELIMAX THE REAL NONI STARTER KIT</t>
  </si>
  <si>
    <t>셀리맥스 듀얼 베리어 트라이얼 키트</t>
  </si>
  <si>
    <t>CELIMAX DUAL BARRIER TRIAL KIT</t>
  </si>
  <si>
    <t>셀리맥스 모공 다크 스팟 브라이트닝 키트</t>
  </si>
  <si>
    <t>CELIMAX PORE+DARK SPOT BRIGHTENING KIT</t>
  </si>
  <si>
    <t xml:space="preserve">8809849807410					</t>
  </si>
  <si>
    <t xml:space="preserve">8809849807427					</t>
  </si>
  <si>
    <t xml:space="preserve">8809743548525					</t>
  </si>
  <si>
    <t xml:space="preserve">8809743548532					</t>
  </si>
  <si>
    <t xml:space="preserve">8809750465228					</t>
  </si>
  <si>
    <t xml:space="preserve">8809750465235					</t>
  </si>
  <si>
    <t xml:space="preserve">8809541379468					</t>
  </si>
  <si>
    <t xml:space="preserve">8809463992738					</t>
  </si>
  <si>
    <t xml:space="preserve">8809606852578					</t>
  </si>
  <si>
    <t xml:space="preserve">8809606852585					</t>
  </si>
  <si>
    <r>
      <t xml:space="preserve">MOA : </t>
    </r>
    <r>
      <rPr>
        <b/>
        <sz val="14"/>
        <color theme="1"/>
        <rFont val="맑은 고딕"/>
        <family val="3"/>
        <charset val="129"/>
      </rPr>
      <t>\1</t>
    </r>
    <r>
      <rPr>
        <b/>
        <sz val="14"/>
        <color theme="1"/>
        <rFont val="맑은 고딕"/>
        <family val="3"/>
        <charset val="129"/>
        <scheme val="minor"/>
      </rPr>
      <t>00,000,000</t>
    </r>
    <phoneticPr fontId="2" type="noConversion"/>
  </si>
  <si>
    <t>PAPACOSMETIC CELIMAX PRICE LIST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</si>
</sst>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-[$₩-412]* #,##0_-;\-[$₩-412]* #,##0_-;_-[$₩-412]* &quot;-&quot;??_-;_-@_-"/>
    <numFmt numFmtId="177" formatCode="#,##0_ "/>
    <numFmt numFmtId="178" formatCode="&quot;₩&quot;#,##0_);[Red]\(&quot;₩&quot;#,##0\)"/>
    <numFmt numFmtId="179" formatCode="0_);[Red]\(0\)"/>
    <numFmt numFmtId="180" formatCode="_-[$₩-412]* #,##0.00_-;\-[$₩-412]* #,##0.00_-;_-[$₩-412]* &quot;-&quot;??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color rgb="FF00B0F0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3" fillId="3" borderId="1" xfId="1" applyFont="1" applyFill="1" applyBorder="1" applyAlignment="1">
      <alignment horizontal="center" vertical="center"/>
    </xf>
    <xf numFmtId="41" fontId="7" fillId="4" borderId="1" xfId="1" applyNumberFormat="1" applyFont="1" applyFill="1" applyBorder="1" applyAlignment="1">
      <alignment horizontal="center" vertical="center"/>
    </xf>
    <xf numFmtId="41" fontId="7" fillId="0" borderId="1" xfId="1" applyNumberFormat="1" applyFont="1" applyFill="1" applyBorder="1" applyAlignment="1">
      <alignment horizontal="center" vertical="center"/>
    </xf>
    <xf numFmtId="178" fontId="7" fillId="0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41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177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 wrapText="1"/>
    </xf>
    <xf numFmtId="176" fontId="10" fillId="5" borderId="1" xfId="1" applyNumberFormat="1" applyFont="1" applyFill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180" fontId="11" fillId="0" borderId="0" xfId="0" applyNumberFormat="1" applyFont="1" applyAlignment="1">
      <alignment horizontal="center" vertical="center"/>
    </xf>
    <xf numFmtId="0" fontId="12" fillId="6" borderId="0" xfId="0" quotePrefix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 shrinkToFit="1"/>
    </xf>
  </cellXfs>
  <cellStyles count="2">
    <cellStyle name="20% - 강조색6" xfId="1" builtinId="50"/>
    <cellStyle name="표준" xfId="0" builtinId="0"/>
  </cellStyles>
  <dxfs count="10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2E3E2-90B0-403A-99C2-4817F58E66FE}">
  <dimension ref="A1:K458"/>
  <sheetViews>
    <sheetView zoomScale="85" zoomScaleNormal="85" workbookViewId="0">
      <selection activeCell="K5" sqref="A5:K60"/>
    </sheetView>
  </sheetViews>
  <sheetFormatPr defaultRowHeight="16.5" x14ac:dyDescent="0.3"/>
  <cols>
    <col min="2" max="2" width="15.625" bestFit="1" customWidth="1"/>
    <col min="3" max="3" width="47.75" bestFit="1" customWidth="1"/>
    <col min="4" max="4" width="73.625" customWidth="1"/>
    <col min="5" max="5" width="12.875" customWidth="1"/>
    <col min="6" max="6" width="13.375" customWidth="1"/>
    <col min="7" max="7" width="11.875" bestFit="1" customWidth="1"/>
    <col min="9" max="9" width="16.875" bestFit="1" customWidth="1"/>
    <col min="10" max="10" width="22.5" bestFit="1" customWidth="1"/>
    <col min="11" max="11" width="20.125" bestFit="1" customWidth="1"/>
    <col min="12" max="12" width="20.125" customWidth="1"/>
  </cols>
  <sheetData>
    <row r="1" spans="1:11" ht="41.25" customHeight="1" x14ac:dyDescent="0.3">
      <c r="A1" s="21" t="s">
        <v>131</v>
      </c>
      <c r="B1" s="22"/>
      <c r="C1" s="22"/>
      <c r="D1" s="20" t="s">
        <v>130</v>
      </c>
    </row>
    <row r="4" spans="1:11" ht="16.5" customHeight="1" x14ac:dyDescent="0.3">
      <c r="F4" s="1"/>
      <c r="G4" s="1"/>
    </row>
    <row r="5" spans="1:11" ht="30" customHeight="1" x14ac:dyDescent="0.3">
      <c r="A5" s="14" t="s">
        <v>0</v>
      </c>
      <c r="B5" s="14" t="s">
        <v>1</v>
      </c>
      <c r="C5" s="14" t="s">
        <v>11</v>
      </c>
      <c r="D5" s="14" t="s">
        <v>2</v>
      </c>
      <c r="E5" s="16" t="s">
        <v>8</v>
      </c>
      <c r="F5" s="16" t="s">
        <v>9</v>
      </c>
      <c r="G5" s="17" t="s">
        <v>10</v>
      </c>
      <c r="H5" s="15" t="s">
        <v>3</v>
      </c>
      <c r="I5" s="18" t="s">
        <v>4</v>
      </c>
      <c r="J5" s="18" t="s">
        <v>5</v>
      </c>
      <c r="K5" s="18" t="s">
        <v>6</v>
      </c>
    </row>
    <row r="6" spans="1:11" ht="30" customHeight="1" x14ac:dyDescent="0.3">
      <c r="A6" s="2"/>
      <c r="B6" s="2"/>
      <c r="C6" s="2"/>
      <c r="D6" s="2"/>
      <c r="E6" s="23" t="s">
        <v>7</v>
      </c>
      <c r="F6" s="23"/>
      <c r="G6" s="23"/>
      <c r="H6" s="2"/>
      <c r="I6" s="3">
        <f>SUM(I7:I60)</f>
        <v>0</v>
      </c>
      <c r="J6" s="4">
        <f>SUM(J7:J60)</f>
        <v>0</v>
      </c>
      <c r="K6" s="5">
        <f>SUM(K7:K60)</f>
        <v>0</v>
      </c>
    </row>
    <row r="7" spans="1:11" ht="30" customHeight="1" x14ac:dyDescent="0.3">
      <c r="A7" s="6">
        <v>1</v>
      </c>
      <c r="B7" s="7" t="s">
        <v>120</v>
      </c>
      <c r="C7" s="6" t="s">
        <v>12</v>
      </c>
      <c r="D7" s="8" t="s">
        <v>13</v>
      </c>
      <c r="E7" s="10">
        <v>4000</v>
      </c>
      <c r="F7" s="10">
        <v>1490.909090909091</v>
      </c>
      <c r="G7" s="19">
        <f>F7/E7</f>
        <v>0.37272727272727274</v>
      </c>
      <c r="H7" s="9">
        <v>100</v>
      </c>
      <c r="I7" s="11"/>
      <c r="J7" s="12">
        <f>I7*H7</f>
        <v>0</v>
      </c>
      <c r="K7" s="13">
        <f>IF($F7&gt;0,$J7*$F7,"")</f>
        <v>0</v>
      </c>
    </row>
    <row r="8" spans="1:11" ht="30" customHeight="1" x14ac:dyDescent="0.3">
      <c r="A8" s="6">
        <v>2</v>
      </c>
      <c r="B8" s="7" t="s">
        <v>121</v>
      </c>
      <c r="C8" s="6" t="s">
        <v>14</v>
      </c>
      <c r="D8" s="8" t="s">
        <v>15</v>
      </c>
      <c r="E8" s="10">
        <v>40000</v>
      </c>
      <c r="F8" s="10">
        <v>13999.999999999998</v>
      </c>
      <c r="G8" s="19">
        <f t="shared" ref="G8:G60" si="0">F8/E8</f>
        <v>0.35</v>
      </c>
      <c r="H8" s="9">
        <v>20</v>
      </c>
      <c r="I8" s="11"/>
      <c r="J8" s="12">
        <f t="shared" ref="J8:J48" si="1">I8*H8</f>
        <v>0</v>
      </c>
      <c r="K8" s="13">
        <f t="shared" ref="K8:K60" si="2">IF($F8&gt;0,$J8*$F8,"")</f>
        <v>0</v>
      </c>
    </row>
    <row r="9" spans="1:11" ht="30" customHeight="1" x14ac:dyDescent="0.3">
      <c r="A9" s="6">
        <v>3</v>
      </c>
      <c r="B9" s="7" t="s">
        <v>122</v>
      </c>
      <c r="C9" s="6" t="s">
        <v>16</v>
      </c>
      <c r="D9" s="8" t="s">
        <v>17</v>
      </c>
      <c r="E9" s="10">
        <v>4000</v>
      </c>
      <c r="F9" s="10">
        <v>1490.909090909091</v>
      </c>
      <c r="G9" s="19">
        <f t="shared" si="0"/>
        <v>0.37272727272727274</v>
      </c>
      <c r="H9" s="9">
        <v>100</v>
      </c>
      <c r="I9" s="11"/>
      <c r="J9" s="12">
        <f t="shared" si="1"/>
        <v>0</v>
      </c>
      <c r="K9" s="13">
        <f t="shared" si="2"/>
        <v>0</v>
      </c>
    </row>
    <row r="10" spans="1:11" ht="30" customHeight="1" x14ac:dyDescent="0.3">
      <c r="A10" s="6">
        <v>4</v>
      </c>
      <c r="B10" s="7" t="s">
        <v>123</v>
      </c>
      <c r="C10" s="6" t="s">
        <v>18</v>
      </c>
      <c r="D10" s="8" t="s">
        <v>19</v>
      </c>
      <c r="E10" s="10">
        <v>40000</v>
      </c>
      <c r="F10" s="10">
        <v>13999.999999999998</v>
      </c>
      <c r="G10" s="19">
        <f t="shared" si="0"/>
        <v>0.35</v>
      </c>
      <c r="H10" s="9">
        <v>20</v>
      </c>
      <c r="I10" s="11"/>
      <c r="J10" s="12">
        <f t="shared" si="1"/>
        <v>0</v>
      </c>
      <c r="K10" s="13">
        <f t="shared" si="2"/>
        <v>0</v>
      </c>
    </row>
    <row r="11" spans="1:11" ht="30" customHeight="1" x14ac:dyDescent="0.3">
      <c r="A11" s="6">
        <v>5</v>
      </c>
      <c r="B11" s="7" t="s">
        <v>124</v>
      </c>
      <c r="C11" s="6" t="s">
        <v>20</v>
      </c>
      <c r="D11" s="8" t="s">
        <v>21</v>
      </c>
      <c r="E11" s="10">
        <v>4000</v>
      </c>
      <c r="F11" s="10">
        <v>1490.909090909091</v>
      </c>
      <c r="G11" s="19">
        <f t="shared" si="0"/>
        <v>0.37272727272727274</v>
      </c>
      <c r="H11" s="9">
        <v>100</v>
      </c>
      <c r="I11" s="11"/>
      <c r="J11" s="12">
        <f t="shared" si="1"/>
        <v>0</v>
      </c>
      <c r="K11" s="13">
        <f t="shared" si="2"/>
        <v>0</v>
      </c>
    </row>
    <row r="12" spans="1:11" ht="30" customHeight="1" x14ac:dyDescent="0.3">
      <c r="A12" s="6">
        <v>6</v>
      </c>
      <c r="B12" s="7" t="s">
        <v>125</v>
      </c>
      <c r="C12" s="6" t="s">
        <v>22</v>
      </c>
      <c r="D12" s="8" t="s">
        <v>23</v>
      </c>
      <c r="E12" s="10">
        <v>40000</v>
      </c>
      <c r="F12" s="10">
        <v>13999.999999999998</v>
      </c>
      <c r="G12" s="19">
        <f t="shared" si="0"/>
        <v>0.35</v>
      </c>
      <c r="H12" s="9">
        <v>20</v>
      </c>
      <c r="I12" s="11"/>
      <c r="J12" s="12">
        <f t="shared" si="1"/>
        <v>0</v>
      </c>
      <c r="K12" s="13">
        <f t="shared" si="2"/>
        <v>0</v>
      </c>
    </row>
    <row r="13" spans="1:11" ht="30" customHeight="1" x14ac:dyDescent="0.3">
      <c r="A13" s="6">
        <v>7</v>
      </c>
      <c r="B13" s="7">
        <v>8800296551550</v>
      </c>
      <c r="C13" s="6" t="s">
        <v>24</v>
      </c>
      <c r="D13" s="8" t="s">
        <v>25</v>
      </c>
      <c r="E13" s="10">
        <v>6000</v>
      </c>
      <c r="F13" s="10">
        <v>2618.181818181818</v>
      </c>
      <c r="G13" s="19">
        <f t="shared" si="0"/>
        <v>0.43636363636363634</v>
      </c>
      <c r="H13" s="9">
        <v>48</v>
      </c>
      <c r="I13" s="11"/>
      <c r="J13" s="12">
        <f t="shared" si="1"/>
        <v>0</v>
      </c>
      <c r="K13" s="13">
        <f t="shared" si="2"/>
        <v>0</v>
      </c>
    </row>
    <row r="14" spans="1:11" ht="30" customHeight="1" x14ac:dyDescent="0.3">
      <c r="A14" s="6">
        <v>8</v>
      </c>
      <c r="B14" s="7">
        <v>8800296551567</v>
      </c>
      <c r="C14" s="6" t="s">
        <v>26</v>
      </c>
      <c r="D14" s="8" t="s">
        <v>27</v>
      </c>
      <c r="E14" s="10">
        <v>26000</v>
      </c>
      <c r="F14" s="10">
        <v>10518.181818181816</v>
      </c>
      <c r="G14" s="19">
        <f t="shared" si="0"/>
        <v>0.40454545454545449</v>
      </c>
      <c r="H14" s="9">
        <v>24</v>
      </c>
      <c r="I14" s="11"/>
      <c r="J14" s="12">
        <f t="shared" si="1"/>
        <v>0</v>
      </c>
      <c r="K14" s="13">
        <f t="shared" si="2"/>
        <v>0</v>
      </c>
    </row>
    <row r="15" spans="1:11" ht="30" customHeight="1" x14ac:dyDescent="0.3">
      <c r="A15" s="6">
        <v>9</v>
      </c>
      <c r="B15" s="7">
        <v>8800296556425</v>
      </c>
      <c r="C15" s="6" t="s">
        <v>28</v>
      </c>
      <c r="D15" s="8" t="s">
        <v>29</v>
      </c>
      <c r="E15" s="10">
        <v>8000</v>
      </c>
      <c r="F15" s="10">
        <v>2618.181818181818</v>
      </c>
      <c r="G15" s="19">
        <f t="shared" si="0"/>
        <v>0.32727272727272727</v>
      </c>
      <c r="H15" s="9">
        <v>90</v>
      </c>
      <c r="I15" s="11"/>
      <c r="J15" s="12">
        <f t="shared" si="1"/>
        <v>0</v>
      </c>
      <c r="K15" s="13">
        <f t="shared" si="2"/>
        <v>0</v>
      </c>
    </row>
    <row r="16" spans="1:11" ht="30" customHeight="1" x14ac:dyDescent="0.3">
      <c r="A16" s="6">
        <v>10</v>
      </c>
      <c r="B16" s="7">
        <v>8800296557255</v>
      </c>
      <c r="C16" s="6" t="s">
        <v>30</v>
      </c>
      <c r="D16" s="8" t="s">
        <v>31</v>
      </c>
      <c r="E16" s="10">
        <v>32000</v>
      </c>
      <c r="F16" s="10">
        <v>10036.363636363636</v>
      </c>
      <c r="G16" s="19">
        <f t="shared" si="0"/>
        <v>0.3136363636363636</v>
      </c>
      <c r="H16" s="9">
        <v>20</v>
      </c>
      <c r="I16" s="11"/>
      <c r="J16" s="12">
        <f t="shared" si="1"/>
        <v>0</v>
      </c>
      <c r="K16" s="13">
        <f t="shared" si="2"/>
        <v>0</v>
      </c>
    </row>
    <row r="17" spans="1:11" ht="30" customHeight="1" x14ac:dyDescent="0.3">
      <c r="A17" s="6">
        <v>11</v>
      </c>
      <c r="B17" s="7">
        <v>8809954940354</v>
      </c>
      <c r="C17" s="6" t="s">
        <v>32</v>
      </c>
      <c r="D17" s="8" t="s">
        <v>33</v>
      </c>
      <c r="E17" s="10">
        <v>18000</v>
      </c>
      <c r="F17" s="10">
        <v>6709.090909090909</v>
      </c>
      <c r="G17" s="19">
        <f t="shared" si="0"/>
        <v>0.37272727272727274</v>
      </c>
      <c r="H17" s="9">
        <v>24</v>
      </c>
      <c r="I17" s="11"/>
      <c r="J17" s="12">
        <f t="shared" si="1"/>
        <v>0</v>
      </c>
      <c r="K17" s="13">
        <f t="shared" si="2"/>
        <v>0</v>
      </c>
    </row>
    <row r="18" spans="1:11" ht="30" customHeight="1" x14ac:dyDescent="0.3">
      <c r="A18" s="6">
        <v>12</v>
      </c>
      <c r="B18" s="7">
        <v>8809954940132</v>
      </c>
      <c r="C18" s="6" t="s">
        <v>34</v>
      </c>
      <c r="D18" s="8" t="s">
        <v>35</v>
      </c>
      <c r="E18" s="10">
        <v>25000</v>
      </c>
      <c r="F18" s="10">
        <v>9886.3636363636342</v>
      </c>
      <c r="G18" s="19">
        <f t="shared" si="0"/>
        <v>0.39545454545454539</v>
      </c>
      <c r="H18" s="9">
        <v>24</v>
      </c>
      <c r="I18" s="11"/>
      <c r="J18" s="12">
        <f t="shared" si="1"/>
        <v>0</v>
      </c>
      <c r="K18" s="13">
        <f t="shared" si="2"/>
        <v>0</v>
      </c>
    </row>
    <row r="19" spans="1:11" ht="30" customHeight="1" x14ac:dyDescent="0.3">
      <c r="A19" s="6">
        <v>13</v>
      </c>
      <c r="B19" s="7">
        <v>8809875907795</v>
      </c>
      <c r="C19" s="6" t="s">
        <v>36</v>
      </c>
      <c r="D19" s="8" t="s">
        <v>37</v>
      </c>
      <c r="E19" s="10">
        <v>28000</v>
      </c>
      <c r="F19" s="10">
        <v>12472.727272727272</v>
      </c>
      <c r="G19" s="19">
        <f t="shared" si="0"/>
        <v>0.44545454545454544</v>
      </c>
      <c r="H19" s="9">
        <v>60</v>
      </c>
      <c r="I19" s="11"/>
      <c r="J19" s="12">
        <f t="shared" si="1"/>
        <v>0</v>
      </c>
      <c r="K19" s="13">
        <f t="shared" si="2"/>
        <v>0</v>
      </c>
    </row>
    <row r="20" spans="1:11" ht="30" customHeight="1" x14ac:dyDescent="0.3">
      <c r="A20" s="6">
        <v>14</v>
      </c>
      <c r="B20" s="7">
        <v>8809971482318</v>
      </c>
      <c r="C20" s="6" t="s">
        <v>38</v>
      </c>
      <c r="D20" s="8" t="s">
        <v>39</v>
      </c>
      <c r="E20" s="10">
        <v>37000</v>
      </c>
      <c r="F20" s="10">
        <v>15304.545454545454</v>
      </c>
      <c r="G20" s="19">
        <f t="shared" si="0"/>
        <v>0.41363636363636364</v>
      </c>
      <c r="H20" s="9">
        <v>60</v>
      </c>
      <c r="I20" s="11"/>
      <c r="J20" s="12">
        <f t="shared" si="1"/>
        <v>0</v>
      </c>
      <c r="K20" s="13">
        <f t="shared" si="2"/>
        <v>0</v>
      </c>
    </row>
    <row r="21" spans="1:11" ht="30" customHeight="1" x14ac:dyDescent="0.3">
      <c r="A21" s="6">
        <v>15</v>
      </c>
      <c r="B21" s="7">
        <v>8809954940347</v>
      </c>
      <c r="C21" s="6" t="s">
        <v>40</v>
      </c>
      <c r="D21" s="8" t="s">
        <v>41</v>
      </c>
      <c r="E21" s="10">
        <v>30000</v>
      </c>
      <c r="F21" s="10">
        <v>11590.909090909092</v>
      </c>
      <c r="G21" s="19">
        <f t="shared" si="0"/>
        <v>0.38636363636363641</v>
      </c>
      <c r="H21" s="9">
        <v>24</v>
      </c>
      <c r="I21" s="11"/>
      <c r="J21" s="12">
        <f t="shared" si="1"/>
        <v>0</v>
      </c>
      <c r="K21" s="13">
        <f t="shared" si="2"/>
        <v>0</v>
      </c>
    </row>
    <row r="22" spans="1:11" ht="30" customHeight="1" x14ac:dyDescent="0.3">
      <c r="A22" s="6">
        <v>16</v>
      </c>
      <c r="B22" s="7">
        <v>8809606850666</v>
      </c>
      <c r="C22" s="6" t="s">
        <v>42</v>
      </c>
      <c r="D22" s="8" t="s">
        <v>43</v>
      </c>
      <c r="E22" s="10">
        <v>35000</v>
      </c>
      <c r="F22" s="10">
        <v>11931.81818181818</v>
      </c>
      <c r="G22" s="19">
        <f t="shared" si="0"/>
        <v>0.34090909090909088</v>
      </c>
      <c r="H22" s="9">
        <v>100</v>
      </c>
      <c r="I22" s="11"/>
      <c r="J22" s="12">
        <f t="shared" si="1"/>
        <v>0</v>
      </c>
      <c r="K22" s="13">
        <f t="shared" si="2"/>
        <v>0</v>
      </c>
    </row>
    <row r="23" spans="1:11" ht="30" customHeight="1" x14ac:dyDescent="0.3">
      <c r="A23" s="6">
        <v>17</v>
      </c>
      <c r="B23" s="7">
        <v>8809686386185</v>
      </c>
      <c r="C23" s="6" t="s">
        <v>44</v>
      </c>
      <c r="D23" s="8" t="s">
        <v>45</v>
      </c>
      <c r="E23" s="10">
        <v>31000</v>
      </c>
      <c r="F23" s="10">
        <v>11695.454545454546</v>
      </c>
      <c r="G23" s="19">
        <f t="shared" si="0"/>
        <v>0.37727272727272732</v>
      </c>
      <c r="H23" s="9">
        <v>90</v>
      </c>
      <c r="I23" s="11"/>
      <c r="J23" s="12">
        <f t="shared" si="1"/>
        <v>0</v>
      </c>
      <c r="K23" s="13">
        <f t="shared" si="2"/>
        <v>0</v>
      </c>
    </row>
    <row r="24" spans="1:11" ht="30" customHeight="1" x14ac:dyDescent="0.3">
      <c r="A24" s="6">
        <v>18</v>
      </c>
      <c r="B24" s="7">
        <v>8809954940477</v>
      </c>
      <c r="C24" s="6" t="s">
        <v>46</v>
      </c>
      <c r="D24" s="8" t="s">
        <v>47</v>
      </c>
      <c r="E24" s="10">
        <v>16000</v>
      </c>
      <c r="F24" s="10">
        <v>6981.8181818181811</v>
      </c>
      <c r="G24" s="19">
        <f t="shared" si="0"/>
        <v>0.43636363636363634</v>
      </c>
      <c r="H24" s="9">
        <v>48</v>
      </c>
      <c r="I24" s="11"/>
      <c r="J24" s="12">
        <f t="shared" si="1"/>
        <v>0</v>
      </c>
      <c r="K24" s="13">
        <f t="shared" si="2"/>
        <v>0</v>
      </c>
    </row>
    <row r="25" spans="1:11" ht="30" customHeight="1" x14ac:dyDescent="0.3">
      <c r="A25" s="6">
        <v>19</v>
      </c>
      <c r="B25" s="7" t="s">
        <v>126</v>
      </c>
      <c r="C25" s="6" t="s">
        <v>48</v>
      </c>
      <c r="D25" s="8" t="s">
        <v>49</v>
      </c>
      <c r="E25" s="10">
        <v>18000</v>
      </c>
      <c r="F25" s="10">
        <v>6709.090909090909</v>
      </c>
      <c r="G25" s="19">
        <f t="shared" si="0"/>
        <v>0.37272727272727274</v>
      </c>
      <c r="H25" s="9">
        <v>24</v>
      </c>
      <c r="I25" s="11"/>
      <c r="J25" s="12">
        <f t="shared" si="1"/>
        <v>0</v>
      </c>
      <c r="K25" s="13">
        <f t="shared" si="2"/>
        <v>0</v>
      </c>
    </row>
    <row r="26" spans="1:11" ht="30" customHeight="1" x14ac:dyDescent="0.3">
      <c r="A26" s="6">
        <v>20</v>
      </c>
      <c r="B26" s="7">
        <v>8809750465464</v>
      </c>
      <c r="C26" s="6" t="s">
        <v>50</v>
      </c>
      <c r="D26" s="8" t="s">
        <v>51</v>
      </c>
      <c r="E26" s="10">
        <v>25000</v>
      </c>
      <c r="F26" s="10">
        <v>8977.2727272727261</v>
      </c>
      <c r="G26" s="19">
        <f t="shared" si="0"/>
        <v>0.35909090909090907</v>
      </c>
      <c r="H26" s="9">
        <v>24</v>
      </c>
      <c r="I26" s="11"/>
      <c r="J26" s="12">
        <f t="shared" si="1"/>
        <v>0</v>
      </c>
      <c r="K26" s="13">
        <f t="shared" si="2"/>
        <v>0</v>
      </c>
    </row>
    <row r="27" spans="1:11" ht="30" customHeight="1" x14ac:dyDescent="0.3">
      <c r="A27" s="6">
        <v>21</v>
      </c>
      <c r="B27" s="7">
        <v>8809743544626</v>
      </c>
      <c r="C27" s="6" t="s">
        <v>52</v>
      </c>
      <c r="D27" s="8" t="s">
        <v>53</v>
      </c>
      <c r="E27" s="10">
        <v>26000</v>
      </c>
      <c r="F27" s="10">
        <v>10045.454545454546</v>
      </c>
      <c r="G27" s="19">
        <f t="shared" si="0"/>
        <v>0.38636363636363641</v>
      </c>
      <c r="H27" s="9">
        <v>36</v>
      </c>
      <c r="I27" s="11"/>
      <c r="J27" s="12">
        <f t="shared" si="1"/>
        <v>0</v>
      </c>
      <c r="K27" s="13">
        <f t="shared" si="2"/>
        <v>0</v>
      </c>
    </row>
    <row r="28" spans="1:11" ht="30" customHeight="1" x14ac:dyDescent="0.3">
      <c r="A28" s="6">
        <v>22</v>
      </c>
      <c r="B28" s="7">
        <v>8809782557861</v>
      </c>
      <c r="C28" s="6" t="s">
        <v>54</v>
      </c>
      <c r="D28" s="8" t="s">
        <v>55</v>
      </c>
      <c r="E28" s="10">
        <v>22000</v>
      </c>
      <c r="F28" s="10">
        <v>8200</v>
      </c>
      <c r="G28" s="19">
        <f t="shared" si="0"/>
        <v>0.37272727272727274</v>
      </c>
      <c r="H28" s="9">
        <v>100</v>
      </c>
      <c r="I28" s="11"/>
      <c r="J28" s="12">
        <f t="shared" si="1"/>
        <v>0</v>
      </c>
      <c r="K28" s="13">
        <f t="shared" si="2"/>
        <v>0</v>
      </c>
    </row>
    <row r="29" spans="1:11" ht="30" customHeight="1" x14ac:dyDescent="0.3">
      <c r="A29" s="6">
        <v>23</v>
      </c>
      <c r="B29" s="7">
        <v>8809463992615</v>
      </c>
      <c r="C29" s="6" t="s">
        <v>56</v>
      </c>
      <c r="D29" s="8" t="s">
        <v>57</v>
      </c>
      <c r="E29" s="10">
        <v>17000</v>
      </c>
      <c r="F29" s="10">
        <v>7418.181818181818</v>
      </c>
      <c r="G29" s="19">
        <f t="shared" si="0"/>
        <v>0.43636363636363634</v>
      </c>
      <c r="H29" s="9">
        <v>24</v>
      </c>
      <c r="I29" s="11"/>
      <c r="J29" s="12">
        <f t="shared" si="1"/>
        <v>0</v>
      </c>
      <c r="K29" s="13">
        <f t="shared" si="2"/>
        <v>0</v>
      </c>
    </row>
    <row r="30" spans="1:11" ht="30" customHeight="1" x14ac:dyDescent="0.3">
      <c r="A30" s="6">
        <v>24</v>
      </c>
      <c r="B30" s="7">
        <v>8809463992707</v>
      </c>
      <c r="C30" s="6" t="s">
        <v>58</v>
      </c>
      <c r="D30" s="8" t="s">
        <v>59</v>
      </c>
      <c r="E30" s="10">
        <v>15000</v>
      </c>
      <c r="F30" s="10">
        <v>6136.3636363636351</v>
      </c>
      <c r="G30" s="19">
        <f t="shared" si="0"/>
        <v>0.40909090909090901</v>
      </c>
      <c r="H30" s="9">
        <v>24</v>
      </c>
      <c r="I30" s="11"/>
      <c r="J30" s="12">
        <f t="shared" si="1"/>
        <v>0</v>
      </c>
      <c r="K30" s="13">
        <f t="shared" si="2"/>
        <v>0</v>
      </c>
    </row>
    <row r="31" spans="1:11" ht="30" customHeight="1" x14ac:dyDescent="0.3">
      <c r="A31" s="6">
        <v>25</v>
      </c>
      <c r="B31" s="7">
        <v>8809463993889</v>
      </c>
      <c r="C31" s="6" t="s">
        <v>60</v>
      </c>
      <c r="D31" s="8" t="s">
        <v>61</v>
      </c>
      <c r="E31" s="10">
        <v>20000</v>
      </c>
      <c r="F31" s="10">
        <v>6999.9999999999991</v>
      </c>
      <c r="G31" s="19">
        <f t="shared" si="0"/>
        <v>0.35</v>
      </c>
      <c r="H31" s="9">
        <v>16</v>
      </c>
      <c r="I31" s="11"/>
      <c r="J31" s="12">
        <f t="shared" si="1"/>
        <v>0</v>
      </c>
      <c r="K31" s="13">
        <f t="shared" si="2"/>
        <v>0</v>
      </c>
    </row>
    <row r="32" spans="1:11" ht="30" customHeight="1" x14ac:dyDescent="0.3">
      <c r="A32" s="6">
        <v>26</v>
      </c>
      <c r="B32" s="7">
        <v>8809783321225</v>
      </c>
      <c r="C32" s="6" t="s">
        <v>62</v>
      </c>
      <c r="D32" s="8" t="s">
        <v>63</v>
      </c>
      <c r="E32" s="10">
        <v>24000</v>
      </c>
      <c r="F32" s="10">
        <v>8509.0909090909081</v>
      </c>
      <c r="G32" s="19">
        <f t="shared" si="0"/>
        <v>0.3545454545454545</v>
      </c>
      <c r="H32" s="9">
        <v>24</v>
      </c>
      <c r="I32" s="11"/>
      <c r="J32" s="12">
        <f t="shared" si="1"/>
        <v>0</v>
      </c>
      <c r="K32" s="13">
        <f t="shared" si="2"/>
        <v>0</v>
      </c>
    </row>
    <row r="33" spans="1:11" ht="30" customHeight="1" x14ac:dyDescent="0.3">
      <c r="A33" s="6">
        <v>27</v>
      </c>
      <c r="B33" s="7" t="s">
        <v>127</v>
      </c>
      <c r="C33" s="6" t="s">
        <v>64</v>
      </c>
      <c r="D33" s="8" t="s">
        <v>65</v>
      </c>
      <c r="E33" s="10">
        <v>31000</v>
      </c>
      <c r="F33" s="10">
        <v>9581.8181818181802</v>
      </c>
      <c r="G33" s="19">
        <f t="shared" si="0"/>
        <v>0.30909090909090903</v>
      </c>
      <c r="H33" s="9">
        <v>32</v>
      </c>
      <c r="I33" s="11"/>
      <c r="J33" s="12">
        <f t="shared" si="1"/>
        <v>0</v>
      </c>
      <c r="K33" s="13">
        <f t="shared" si="2"/>
        <v>0</v>
      </c>
    </row>
    <row r="34" spans="1:11" ht="30" customHeight="1" x14ac:dyDescent="0.3">
      <c r="A34" s="6">
        <v>28</v>
      </c>
      <c r="B34" s="7">
        <v>8809626562921</v>
      </c>
      <c r="C34" s="6" t="s">
        <v>66</v>
      </c>
      <c r="D34" s="8" t="s">
        <v>67</v>
      </c>
      <c r="E34" s="10">
        <v>9000</v>
      </c>
      <c r="F34" s="10">
        <v>3763.636363636364</v>
      </c>
      <c r="G34" s="19">
        <f t="shared" si="0"/>
        <v>0.41818181818181821</v>
      </c>
      <c r="H34" s="9">
        <v>45</v>
      </c>
      <c r="I34" s="11"/>
      <c r="J34" s="12">
        <f t="shared" si="1"/>
        <v>0</v>
      </c>
      <c r="K34" s="13">
        <f t="shared" si="2"/>
        <v>0</v>
      </c>
    </row>
    <row r="35" spans="1:11" ht="30" customHeight="1" x14ac:dyDescent="0.3">
      <c r="A35" s="6">
        <v>29</v>
      </c>
      <c r="B35" s="7">
        <v>8809783324097</v>
      </c>
      <c r="C35" s="6" t="s">
        <v>68</v>
      </c>
      <c r="D35" s="8" t="s">
        <v>69</v>
      </c>
      <c r="E35" s="10">
        <v>14000</v>
      </c>
      <c r="F35" s="10">
        <v>8081.8181818181811</v>
      </c>
      <c r="G35" s="19">
        <f t="shared" si="0"/>
        <v>0.57727272727272727</v>
      </c>
      <c r="H35" s="9">
        <v>30</v>
      </c>
      <c r="I35" s="11"/>
      <c r="J35" s="12">
        <f t="shared" si="1"/>
        <v>0</v>
      </c>
      <c r="K35" s="13">
        <f t="shared" si="2"/>
        <v>0</v>
      </c>
    </row>
    <row r="36" spans="1:11" ht="30" customHeight="1" x14ac:dyDescent="0.3">
      <c r="A36" s="6">
        <v>30</v>
      </c>
      <c r="B36" s="7">
        <v>8809606850499</v>
      </c>
      <c r="C36" s="6" t="s">
        <v>70</v>
      </c>
      <c r="D36" s="8" t="s">
        <v>71</v>
      </c>
      <c r="E36" s="10">
        <v>20000</v>
      </c>
      <c r="F36" s="10">
        <v>8090.9090909090919</v>
      </c>
      <c r="G36" s="19">
        <f t="shared" si="0"/>
        <v>0.4045454545454546</v>
      </c>
      <c r="H36" s="9">
        <v>24</v>
      </c>
      <c r="I36" s="11"/>
      <c r="J36" s="12">
        <f t="shared" si="1"/>
        <v>0</v>
      </c>
      <c r="K36" s="13">
        <f t="shared" si="2"/>
        <v>0</v>
      </c>
    </row>
    <row r="37" spans="1:11" ht="30" customHeight="1" x14ac:dyDescent="0.3">
      <c r="A37" s="6">
        <v>31</v>
      </c>
      <c r="B37" s="7">
        <v>8809606850475</v>
      </c>
      <c r="C37" s="6" t="s">
        <v>72</v>
      </c>
      <c r="D37" s="8" t="s">
        <v>73</v>
      </c>
      <c r="E37" s="10">
        <v>22000</v>
      </c>
      <c r="F37" s="10">
        <v>8999.9999999999982</v>
      </c>
      <c r="G37" s="19">
        <f t="shared" si="0"/>
        <v>0.40909090909090901</v>
      </c>
      <c r="H37" s="9">
        <v>24</v>
      </c>
      <c r="I37" s="11"/>
      <c r="J37" s="12">
        <f t="shared" si="1"/>
        <v>0</v>
      </c>
      <c r="K37" s="13">
        <f t="shared" si="2"/>
        <v>0</v>
      </c>
    </row>
    <row r="38" spans="1:11" ht="30" customHeight="1" x14ac:dyDescent="0.3">
      <c r="A38" s="6">
        <v>32</v>
      </c>
      <c r="B38" s="7">
        <v>8809606850482</v>
      </c>
      <c r="C38" s="6" t="s">
        <v>74</v>
      </c>
      <c r="D38" s="8" t="s">
        <v>75</v>
      </c>
      <c r="E38" s="10">
        <v>32000</v>
      </c>
      <c r="F38" s="10">
        <v>10909.090909090908</v>
      </c>
      <c r="G38" s="19">
        <f t="shared" si="0"/>
        <v>0.34090909090909088</v>
      </c>
      <c r="H38" s="9">
        <v>56</v>
      </c>
      <c r="I38" s="11"/>
      <c r="J38" s="12">
        <f t="shared" si="1"/>
        <v>0</v>
      </c>
      <c r="K38" s="13">
        <f t="shared" si="2"/>
        <v>0</v>
      </c>
    </row>
    <row r="39" spans="1:11" ht="30" customHeight="1" x14ac:dyDescent="0.3">
      <c r="A39" s="6">
        <v>33</v>
      </c>
      <c r="B39" s="7">
        <v>8809606850505</v>
      </c>
      <c r="C39" s="6" t="s">
        <v>76</v>
      </c>
      <c r="D39" s="8" t="s">
        <v>77</v>
      </c>
      <c r="E39" s="10">
        <v>35000</v>
      </c>
      <c r="F39" s="10">
        <v>11931.81818181818</v>
      </c>
      <c r="G39" s="19">
        <f t="shared" si="0"/>
        <v>0.34090909090909088</v>
      </c>
      <c r="H39" s="9">
        <v>90</v>
      </c>
      <c r="I39" s="11"/>
      <c r="J39" s="12">
        <f t="shared" si="1"/>
        <v>0</v>
      </c>
      <c r="K39" s="13">
        <f t="shared" si="2"/>
        <v>0</v>
      </c>
    </row>
    <row r="40" spans="1:11" ht="30" customHeight="1" x14ac:dyDescent="0.3">
      <c r="A40" s="6">
        <v>34</v>
      </c>
      <c r="B40" s="7">
        <v>8809686388172</v>
      </c>
      <c r="C40" s="6" t="s">
        <v>78</v>
      </c>
      <c r="D40" s="8" t="s">
        <v>79</v>
      </c>
      <c r="E40" s="10">
        <v>16000</v>
      </c>
      <c r="F40" s="10">
        <v>8072.7272727272721</v>
      </c>
      <c r="G40" s="19">
        <f t="shared" si="0"/>
        <v>0.50454545454545452</v>
      </c>
      <c r="H40" s="9">
        <v>72</v>
      </c>
      <c r="I40" s="11"/>
      <c r="J40" s="12">
        <f t="shared" si="1"/>
        <v>0</v>
      </c>
      <c r="K40" s="13">
        <f t="shared" si="2"/>
        <v>0</v>
      </c>
    </row>
    <row r="41" spans="1:11" ht="30" customHeight="1" x14ac:dyDescent="0.3">
      <c r="A41" s="6">
        <v>35</v>
      </c>
      <c r="B41" s="7" t="s">
        <v>128</v>
      </c>
      <c r="C41" s="6" t="s">
        <v>80</v>
      </c>
      <c r="D41" s="8" t="s">
        <v>81</v>
      </c>
      <c r="E41" s="10">
        <v>32000</v>
      </c>
      <c r="F41" s="10">
        <v>11636.363636363636</v>
      </c>
      <c r="G41" s="19">
        <f t="shared" si="0"/>
        <v>0.36363636363636365</v>
      </c>
      <c r="H41" s="9">
        <v>12</v>
      </c>
      <c r="I41" s="11"/>
      <c r="J41" s="12">
        <f t="shared" si="1"/>
        <v>0</v>
      </c>
      <c r="K41" s="13">
        <f t="shared" si="2"/>
        <v>0</v>
      </c>
    </row>
    <row r="42" spans="1:11" ht="30" customHeight="1" x14ac:dyDescent="0.3">
      <c r="A42" s="6">
        <v>36</v>
      </c>
      <c r="B42" s="7" t="s">
        <v>129</v>
      </c>
      <c r="C42" s="6" t="s">
        <v>82</v>
      </c>
      <c r="D42" s="8" t="s">
        <v>83</v>
      </c>
      <c r="E42" s="10">
        <v>16000</v>
      </c>
      <c r="F42" s="10">
        <v>9309.0909090909081</v>
      </c>
      <c r="G42" s="19">
        <f t="shared" si="0"/>
        <v>0.58181818181818179</v>
      </c>
      <c r="H42" s="9">
        <v>16</v>
      </c>
      <c r="I42" s="11"/>
      <c r="J42" s="12">
        <f t="shared" si="1"/>
        <v>0</v>
      </c>
      <c r="K42" s="13">
        <f t="shared" si="2"/>
        <v>0</v>
      </c>
    </row>
    <row r="43" spans="1:11" ht="30" customHeight="1" x14ac:dyDescent="0.3">
      <c r="A43" s="6">
        <v>37</v>
      </c>
      <c r="B43" s="7">
        <v>8809700320805</v>
      </c>
      <c r="C43" s="6" t="s">
        <v>84</v>
      </c>
      <c r="D43" s="8" t="s">
        <v>85</v>
      </c>
      <c r="E43" s="10">
        <v>32000</v>
      </c>
      <c r="F43" s="10">
        <v>10036.363636363636</v>
      </c>
      <c r="G43" s="19">
        <f t="shared" si="0"/>
        <v>0.3136363636363636</v>
      </c>
      <c r="H43" s="9">
        <v>60</v>
      </c>
      <c r="I43" s="11"/>
      <c r="J43" s="12">
        <f t="shared" si="1"/>
        <v>0</v>
      </c>
      <c r="K43" s="13">
        <f t="shared" si="2"/>
        <v>0</v>
      </c>
    </row>
    <row r="44" spans="1:11" ht="30" customHeight="1" x14ac:dyDescent="0.3">
      <c r="A44" s="6">
        <v>38</v>
      </c>
      <c r="B44" s="7">
        <v>8809700320812</v>
      </c>
      <c r="C44" s="6" t="s">
        <v>86</v>
      </c>
      <c r="D44" s="8" t="s">
        <v>87</v>
      </c>
      <c r="E44" s="10">
        <v>30000</v>
      </c>
      <c r="F44" s="10">
        <v>9818.181818181818</v>
      </c>
      <c r="G44" s="19">
        <f t="shared" si="0"/>
        <v>0.32727272727272727</v>
      </c>
      <c r="H44" s="9">
        <v>120</v>
      </c>
      <c r="I44" s="11"/>
      <c r="J44" s="12">
        <f t="shared" si="1"/>
        <v>0</v>
      </c>
      <c r="K44" s="13">
        <f t="shared" si="2"/>
        <v>0</v>
      </c>
    </row>
    <row r="45" spans="1:11" ht="30" customHeight="1" x14ac:dyDescent="0.3">
      <c r="A45" s="6">
        <v>39</v>
      </c>
      <c r="B45" s="7">
        <v>8806050298525</v>
      </c>
      <c r="C45" s="6" t="s">
        <v>88</v>
      </c>
      <c r="D45" s="8" t="s">
        <v>89</v>
      </c>
      <c r="E45" s="10">
        <v>16000</v>
      </c>
      <c r="F45" s="10">
        <v>7199.9999999999991</v>
      </c>
      <c r="G45" s="19">
        <f t="shared" si="0"/>
        <v>0.44999999999999996</v>
      </c>
      <c r="H45" s="9">
        <v>35</v>
      </c>
      <c r="I45" s="11"/>
      <c r="J45" s="12">
        <f t="shared" si="1"/>
        <v>0</v>
      </c>
      <c r="K45" s="13">
        <f t="shared" si="2"/>
        <v>0</v>
      </c>
    </row>
    <row r="46" spans="1:11" ht="30" customHeight="1" x14ac:dyDescent="0.3">
      <c r="A46" s="6">
        <v>40</v>
      </c>
      <c r="B46" s="7">
        <v>8809975194439</v>
      </c>
      <c r="C46" s="6" t="s">
        <v>90</v>
      </c>
      <c r="D46" s="8" t="s">
        <v>91</v>
      </c>
      <c r="E46" s="10">
        <v>10000</v>
      </c>
      <c r="F46" s="10">
        <v>5454.545454545455</v>
      </c>
      <c r="G46" s="19">
        <f t="shared" si="0"/>
        <v>0.54545454545454553</v>
      </c>
      <c r="H46" s="9">
        <v>40</v>
      </c>
      <c r="I46" s="11"/>
      <c r="J46" s="12">
        <f t="shared" si="1"/>
        <v>0</v>
      </c>
      <c r="K46" s="13">
        <f t="shared" si="2"/>
        <v>0</v>
      </c>
    </row>
    <row r="47" spans="1:11" ht="30" customHeight="1" x14ac:dyDescent="0.3">
      <c r="A47" s="6">
        <v>41</v>
      </c>
      <c r="B47" s="7">
        <v>8809626564000</v>
      </c>
      <c r="C47" s="6" t="s">
        <v>92</v>
      </c>
      <c r="D47" s="8" t="s">
        <v>93</v>
      </c>
      <c r="E47" s="10">
        <v>17000</v>
      </c>
      <c r="F47" s="10">
        <v>6877.2727272727261</v>
      </c>
      <c r="G47" s="19">
        <f t="shared" si="0"/>
        <v>0.40454545454545449</v>
      </c>
      <c r="H47" s="9">
        <v>117</v>
      </c>
      <c r="I47" s="11"/>
      <c r="J47" s="12">
        <f t="shared" si="1"/>
        <v>0</v>
      </c>
      <c r="K47" s="13">
        <f t="shared" si="2"/>
        <v>0</v>
      </c>
    </row>
    <row r="48" spans="1:11" ht="30" customHeight="1" x14ac:dyDescent="0.3">
      <c r="A48" s="6">
        <v>42</v>
      </c>
      <c r="B48" s="7">
        <v>8809782559018</v>
      </c>
      <c r="C48" s="6" t="s">
        <v>94</v>
      </c>
      <c r="D48" s="8" t="s">
        <v>95</v>
      </c>
      <c r="E48" s="10">
        <v>31000</v>
      </c>
      <c r="F48" s="10">
        <v>10850</v>
      </c>
      <c r="G48" s="19">
        <f t="shared" si="0"/>
        <v>0.35</v>
      </c>
      <c r="H48" s="9">
        <v>60</v>
      </c>
      <c r="I48" s="11"/>
      <c r="J48" s="12">
        <f t="shared" si="1"/>
        <v>0</v>
      </c>
      <c r="K48" s="13">
        <f t="shared" si="2"/>
        <v>0</v>
      </c>
    </row>
    <row r="49" spans="1:11" ht="30" customHeight="1" x14ac:dyDescent="0.3">
      <c r="A49" s="6"/>
      <c r="B49" s="7">
        <v>8809782559063</v>
      </c>
      <c r="C49" s="6" t="s">
        <v>96</v>
      </c>
      <c r="D49" s="8" t="s">
        <v>97</v>
      </c>
      <c r="E49" s="10">
        <v>22000</v>
      </c>
      <c r="F49" s="10">
        <v>8999.9999999999982</v>
      </c>
      <c r="G49" s="19">
        <f t="shared" si="0"/>
        <v>0.40909090909090901</v>
      </c>
      <c r="H49" s="9">
        <v>72</v>
      </c>
      <c r="I49" s="11"/>
      <c r="J49" s="12">
        <f t="shared" ref="J49:J60" si="3">I49*H49</f>
        <v>0</v>
      </c>
      <c r="K49" s="13">
        <f t="shared" si="2"/>
        <v>0</v>
      </c>
    </row>
    <row r="50" spans="1:11" ht="30" customHeight="1" x14ac:dyDescent="0.3">
      <c r="A50" s="6"/>
      <c r="B50" s="7">
        <v>8809743546880</v>
      </c>
      <c r="C50" s="6" t="s">
        <v>98</v>
      </c>
      <c r="D50" s="8" t="s">
        <v>99</v>
      </c>
      <c r="E50" s="10">
        <v>31000</v>
      </c>
      <c r="F50" s="10">
        <v>10004.545454545454</v>
      </c>
      <c r="G50" s="19">
        <f t="shared" si="0"/>
        <v>0.3227272727272727</v>
      </c>
      <c r="H50" s="9">
        <v>60</v>
      </c>
      <c r="I50" s="11"/>
      <c r="J50" s="12">
        <f t="shared" si="3"/>
        <v>0</v>
      </c>
      <c r="K50" s="13">
        <f t="shared" si="2"/>
        <v>0</v>
      </c>
    </row>
    <row r="51" spans="1:11" ht="30" customHeight="1" x14ac:dyDescent="0.3">
      <c r="A51" s="6"/>
      <c r="B51" s="7">
        <v>8809971489911</v>
      </c>
      <c r="C51" s="6" t="s">
        <v>100</v>
      </c>
      <c r="D51" s="8" t="s">
        <v>101</v>
      </c>
      <c r="E51" s="10">
        <v>24000</v>
      </c>
      <c r="F51" s="10">
        <v>8836.363636363636</v>
      </c>
      <c r="G51" s="19">
        <f t="shared" si="0"/>
        <v>0.36818181818181817</v>
      </c>
      <c r="H51" s="9">
        <v>120</v>
      </c>
      <c r="I51" s="11"/>
      <c r="J51" s="12">
        <f t="shared" si="3"/>
        <v>0</v>
      </c>
      <c r="K51" s="13">
        <f t="shared" si="2"/>
        <v>0</v>
      </c>
    </row>
    <row r="52" spans="1:11" ht="30" customHeight="1" x14ac:dyDescent="0.3">
      <c r="A52" s="6"/>
      <c r="B52" s="7">
        <v>8809875906811</v>
      </c>
      <c r="C52" s="6" t="s">
        <v>102</v>
      </c>
      <c r="D52" s="8" t="s">
        <v>103</v>
      </c>
      <c r="E52" s="10">
        <v>20000</v>
      </c>
      <c r="F52" s="10">
        <v>7363.636363636364</v>
      </c>
      <c r="G52" s="19">
        <f t="shared" si="0"/>
        <v>0.36818181818181822</v>
      </c>
      <c r="H52" s="9">
        <v>84</v>
      </c>
      <c r="I52" s="11"/>
      <c r="J52" s="12">
        <f t="shared" si="3"/>
        <v>0</v>
      </c>
      <c r="K52" s="13">
        <f t="shared" si="2"/>
        <v>0</v>
      </c>
    </row>
    <row r="53" spans="1:11" ht="30" customHeight="1" x14ac:dyDescent="0.3">
      <c r="A53" s="6"/>
      <c r="B53" s="7">
        <v>8809875907412</v>
      </c>
      <c r="C53" s="6" t="s">
        <v>104</v>
      </c>
      <c r="D53" s="8" t="s">
        <v>105</v>
      </c>
      <c r="E53" s="10">
        <v>32000</v>
      </c>
      <c r="F53" s="10">
        <v>12654.545454545456</v>
      </c>
      <c r="G53" s="19">
        <f t="shared" si="0"/>
        <v>0.3954545454545455</v>
      </c>
      <c r="H53" s="9">
        <v>48</v>
      </c>
      <c r="I53" s="11"/>
      <c r="J53" s="12">
        <f t="shared" si="3"/>
        <v>0</v>
      </c>
      <c r="K53" s="13">
        <f t="shared" si="2"/>
        <v>0</v>
      </c>
    </row>
    <row r="54" spans="1:11" ht="30" customHeight="1" x14ac:dyDescent="0.3">
      <c r="A54" s="6"/>
      <c r="B54" s="7">
        <v>8809743546323</v>
      </c>
      <c r="C54" s="6" t="s">
        <v>106</v>
      </c>
      <c r="D54" s="8" t="s">
        <v>107</v>
      </c>
      <c r="E54" s="10">
        <v>20000</v>
      </c>
      <c r="F54" s="10">
        <v>8272.7272727272721</v>
      </c>
      <c r="G54" s="19">
        <f t="shared" si="0"/>
        <v>0.41363636363636358</v>
      </c>
      <c r="H54" s="9">
        <v>30</v>
      </c>
      <c r="I54" s="11"/>
      <c r="J54" s="12">
        <f t="shared" si="3"/>
        <v>0</v>
      </c>
      <c r="K54" s="13">
        <f t="shared" si="2"/>
        <v>0</v>
      </c>
    </row>
    <row r="55" spans="1:11" ht="30" customHeight="1" x14ac:dyDescent="0.3">
      <c r="A55" s="6"/>
      <c r="B55" s="7">
        <v>8809743547467</v>
      </c>
      <c r="C55" s="6" t="s">
        <v>108</v>
      </c>
      <c r="D55" s="8" t="s">
        <v>109</v>
      </c>
      <c r="E55" s="10">
        <v>40000</v>
      </c>
      <c r="F55" s="10">
        <v>12545.454545454542</v>
      </c>
      <c r="G55" s="19">
        <f t="shared" si="0"/>
        <v>0.31363636363636355</v>
      </c>
      <c r="H55" s="9">
        <v>24</v>
      </c>
      <c r="I55" s="11"/>
      <c r="J55" s="12">
        <f t="shared" si="3"/>
        <v>0</v>
      </c>
      <c r="K55" s="13">
        <f t="shared" si="2"/>
        <v>0</v>
      </c>
    </row>
    <row r="56" spans="1:11" ht="30" customHeight="1" x14ac:dyDescent="0.3">
      <c r="A56" s="6"/>
      <c r="B56" s="7">
        <v>8809971484503</v>
      </c>
      <c r="C56" s="6" t="s">
        <v>110</v>
      </c>
      <c r="D56" s="8" t="s">
        <v>111</v>
      </c>
      <c r="E56" s="10">
        <v>35000</v>
      </c>
      <c r="F56" s="10">
        <v>10022.72727272727</v>
      </c>
      <c r="G56" s="19">
        <f t="shared" si="0"/>
        <v>0.28636363636363632</v>
      </c>
      <c r="H56" s="9">
        <v>120</v>
      </c>
      <c r="I56" s="11"/>
      <c r="J56" s="12">
        <f t="shared" si="3"/>
        <v>0</v>
      </c>
      <c r="K56" s="13">
        <f t="shared" si="2"/>
        <v>0</v>
      </c>
    </row>
    <row r="57" spans="1:11" ht="30" customHeight="1" x14ac:dyDescent="0.3">
      <c r="A57" s="6"/>
      <c r="B57" s="7">
        <v>8809971484510</v>
      </c>
      <c r="C57" s="6" t="s">
        <v>112</v>
      </c>
      <c r="D57" s="8" t="s">
        <v>113</v>
      </c>
      <c r="E57" s="10">
        <v>24000</v>
      </c>
      <c r="F57" s="10">
        <v>9381.8181818181802</v>
      </c>
      <c r="G57" s="19">
        <f t="shared" si="0"/>
        <v>0.39090909090909082</v>
      </c>
      <c r="H57" s="9">
        <v>120</v>
      </c>
      <c r="I57" s="11"/>
      <c r="J57" s="12">
        <f t="shared" si="3"/>
        <v>0</v>
      </c>
      <c r="K57" s="13">
        <f t="shared" si="2"/>
        <v>0</v>
      </c>
    </row>
    <row r="58" spans="1:11" ht="30" customHeight="1" x14ac:dyDescent="0.3">
      <c r="A58" s="6"/>
      <c r="B58" s="7">
        <v>8809971482349</v>
      </c>
      <c r="C58" s="6" t="s">
        <v>114</v>
      </c>
      <c r="D58" s="8" t="s">
        <v>115</v>
      </c>
      <c r="E58" s="10">
        <v>0</v>
      </c>
      <c r="F58" s="10">
        <v>8275.7818181818184</v>
      </c>
      <c r="G58" s="19" t="e">
        <f t="shared" si="0"/>
        <v>#DIV/0!</v>
      </c>
      <c r="H58" s="9">
        <v>40</v>
      </c>
      <c r="I58" s="11"/>
      <c r="J58" s="12">
        <f t="shared" si="3"/>
        <v>0</v>
      </c>
      <c r="K58" s="13">
        <f t="shared" si="2"/>
        <v>0</v>
      </c>
    </row>
    <row r="59" spans="1:11" ht="30" customHeight="1" x14ac:dyDescent="0.3">
      <c r="A59" s="6"/>
      <c r="B59" s="7">
        <v>8809606852332</v>
      </c>
      <c r="C59" s="6" t="s">
        <v>116</v>
      </c>
      <c r="D59" s="8" t="s">
        <v>117</v>
      </c>
      <c r="E59" s="10">
        <v>0</v>
      </c>
      <c r="F59" s="10">
        <v>5863.7090909090912</v>
      </c>
      <c r="G59" s="19" t="e">
        <f t="shared" si="0"/>
        <v>#DIV/0!</v>
      </c>
      <c r="H59" s="9">
        <v>64</v>
      </c>
      <c r="I59" s="11"/>
      <c r="J59" s="12">
        <f t="shared" si="3"/>
        <v>0</v>
      </c>
      <c r="K59" s="13">
        <f t="shared" si="2"/>
        <v>0</v>
      </c>
    </row>
    <row r="60" spans="1:11" ht="30" customHeight="1" x14ac:dyDescent="0.3">
      <c r="A60" s="6"/>
      <c r="B60" s="7">
        <v>8800296551789</v>
      </c>
      <c r="C60" s="6" t="s">
        <v>118</v>
      </c>
      <c r="D60" s="8" t="s">
        <v>119</v>
      </c>
      <c r="E60" s="10">
        <v>0</v>
      </c>
      <c r="F60" s="10">
        <v>6711.8545454545456</v>
      </c>
      <c r="G60" s="19" t="e">
        <f t="shared" si="0"/>
        <v>#DIV/0!</v>
      </c>
      <c r="H60" s="9">
        <v>64</v>
      </c>
      <c r="I60" s="11"/>
      <c r="J60" s="12">
        <f t="shared" si="3"/>
        <v>0</v>
      </c>
      <c r="K60" s="13">
        <f t="shared" si="2"/>
        <v>0</v>
      </c>
    </row>
    <row r="61" spans="1:11" ht="30" customHeight="1" x14ac:dyDescent="0.3"/>
    <row r="62" spans="1:11" ht="30" customHeight="1" x14ac:dyDescent="0.3"/>
    <row r="63" spans="1:11" ht="30" customHeight="1" x14ac:dyDescent="0.3"/>
    <row r="64" spans="1:11" ht="30" customHeight="1" x14ac:dyDescent="0.3"/>
    <row r="65" ht="30" customHeight="1" x14ac:dyDescent="0.3"/>
    <row r="66" ht="30" customHeight="1" x14ac:dyDescent="0.3"/>
    <row r="67" ht="30" customHeight="1" x14ac:dyDescent="0.3"/>
    <row r="68" ht="30" customHeight="1" x14ac:dyDescent="0.3"/>
    <row r="69" ht="30" customHeight="1" x14ac:dyDescent="0.3"/>
    <row r="70" ht="30" customHeight="1" x14ac:dyDescent="0.3"/>
    <row r="71" ht="30" customHeight="1" x14ac:dyDescent="0.3"/>
    <row r="72" ht="30" customHeight="1" x14ac:dyDescent="0.3"/>
    <row r="73" ht="30" customHeight="1" x14ac:dyDescent="0.3"/>
    <row r="74" ht="30" customHeight="1" x14ac:dyDescent="0.3"/>
    <row r="75" ht="30" customHeight="1" x14ac:dyDescent="0.3"/>
    <row r="76" ht="30" customHeight="1" x14ac:dyDescent="0.3"/>
    <row r="77" ht="30" customHeight="1" x14ac:dyDescent="0.3"/>
    <row r="78" ht="30" customHeight="1" x14ac:dyDescent="0.3"/>
    <row r="79" ht="30" customHeight="1" x14ac:dyDescent="0.3"/>
    <row r="80" ht="30" customHeight="1" x14ac:dyDescent="0.3"/>
    <row r="81" ht="30" customHeight="1" x14ac:dyDescent="0.3"/>
    <row r="82" ht="30" customHeight="1" x14ac:dyDescent="0.3"/>
    <row r="83" ht="30" customHeight="1" x14ac:dyDescent="0.3"/>
    <row r="84" ht="30" customHeight="1" x14ac:dyDescent="0.3"/>
    <row r="85" ht="30" customHeight="1" x14ac:dyDescent="0.3"/>
    <row r="86" ht="30" customHeight="1" x14ac:dyDescent="0.3"/>
    <row r="87" ht="30" customHeight="1" x14ac:dyDescent="0.3"/>
    <row r="88" ht="30" customHeight="1" x14ac:dyDescent="0.3"/>
    <row r="89" ht="30" customHeight="1" x14ac:dyDescent="0.3"/>
    <row r="90" ht="30" customHeight="1" x14ac:dyDescent="0.3"/>
    <row r="91" ht="30" customHeight="1" x14ac:dyDescent="0.3"/>
    <row r="92" ht="30" customHeight="1" x14ac:dyDescent="0.3"/>
    <row r="93" ht="30" customHeight="1" x14ac:dyDescent="0.3"/>
    <row r="94" ht="30" customHeight="1" x14ac:dyDescent="0.3"/>
    <row r="95" ht="30" customHeight="1" x14ac:dyDescent="0.3"/>
    <row r="96" ht="30" customHeight="1" x14ac:dyDescent="0.3"/>
    <row r="97" ht="30" customHeight="1" x14ac:dyDescent="0.3"/>
    <row r="98" ht="30" customHeight="1" x14ac:dyDescent="0.3"/>
    <row r="99" ht="30" customHeight="1" x14ac:dyDescent="0.3"/>
    <row r="100" ht="30" customHeight="1" x14ac:dyDescent="0.3"/>
    <row r="101" ht="30" customHeight="1" x14ac:dyDescent="0.3"/>
    <row r="102" ht="30" customHeight="1" x14ac:dyDescent="0.3"/>
    <row r="103" ht="30" customHeight="1" x14ac:dyDescent="0.3"/>
    <row r="104" ht="30" customHeight="1" x14ac:dyDescent="0.3"/>
    <row r="105" ht="30" customHeight="1" x14ac:dyDescent="0.3"/>
    <row r="106" ht="30" customHeight="1" x14ac:dyDescent="0.3"/>
    <row r="107" ht="30" customHeight="1" x14ac:dyDescent="0.3"/>
    <row r="108" ht="30" customHeight="1" x14ac:dyDescent="0.3"/>
    <row r="109" ht="30" customHeight="1" x14ac:dyDescent="0.3"/>
    <row r="110" ht="30" customHeight="1" x14ac:dyDescent="0.3"/>
    <row r="111" ht="30" customHeight="1" x14ac:dyDescent="0.3"/>
    <row r="112" ht="30" customHeight="1" x14ac:dyDescent="0.3"/>
    <row r="113" ht="30" customHeight="1" x14ac:dyDescent="0.3"/>
    <row r="114" ht="30" customHeight="1" x14ac:dyDescent="0.3"/>
    <row r="115" ht="30" customHeight="1" x14ac:dyDescent="0.3"/>
    <row r="116" ht="30" customHeight="1" x14ac:dyDescent="0.3"/>
    <row r="117" ht="30" customHeight="1" x14ac:dyDescent="0.3"/>
    <row r="118" ht="30" customHeight="1" x14ac:dyDescent="0.3"/>
    <row r="119" ht="30" customHeight="1" x14ac:dyDescent="0.3"/>
    <row r="120" ht="30" customHeight="1" x14ac:dyDescent="0.3"/>
    <row r="121" ht="30" customHeight="1" x14ac:dyDescent="0.3"/>
    <row r="122" ht="30" customHeight="1" x14ac:dyDescent="0.3"/>
    <row r="123" ht="30" customHeight="1" x14ac:dyDescent="0.3"/>
    <row r="124" ht="30" customHeight="1" x14ac:dyDescent="0.3"/>
    <row r="125" ht="30" customHeight="1" x14ac:dyDescent="0.3"/>
    <row r="126" ht="30" customHeight="1" x14ac:dyDescent="0.3"/>
    <row r="127" ht="30" customHeight="1" x14ac:dyDescent="0.3"/>
    <row r="128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  <row r="232" ht="30" customHeight="1" x14ac:dyDescent="0.3"/>
    <row r="233" ht="30" customHeight="1" x14ac:dyDescent="0.3"/>
    <row r="234" ht="30" customHeight="1" x14ac:dyDescent="0.3"/>
    <row r="235" ht="30" customHeight="1" x14ac:dyDescent="0.3"/>
    <row r="236" ht="30" customHeight="1" x14ac:dyDescent="0.3"/>
    <row r="237" ht="30" customHeight="1" x14ac:dyDescent="0.3"/>
    <row r="238" ht="30" customHeight="1" x14ac:dyDescent="0.3"/>
    <row r="239" ht="30" customHeight="1" x14ac:dyDescent="0.3"/>
    <row r="240" ht="30" customHeight="1" x14ac:dyDescent="0.3"/>
    <row r="241" ht="30" customHeight="1" x14ac:dyDescent="0.3"/>
    <row r="242" ht="30" customHeight="1" x14ac:dyDescent="0.3"/>
    <row r="243" ht="30" customHeight="1" x14ac:dyDescent="0.3"/>
    <row r="244" ht="30" customHeight="1" x14ac:dyDescent="0.3"/>
    <row r="245" ht="30" customHeight="1" x14ac:dyDescent="0.3"/>
    <row r="246" ht="30" customHeight="1" x14ac:dyDescent="0.3"/>
    <row r="247" ht="30" customHeight="1" x14ac:dyDescent="0.3"/>
    <row r="248" ht="30" customHeight="1" x14ac:dyDescent="0.3"/>
    <row r="249" ht="30" customHeight="1" x14ac:dyDescent="0.3"/>
    <row r="250" ht="30" customHeight="1" x14ac:dyDescent="0.3"/>
    <row r="251" ht="30" customHeight="1" x14ac:dyDescent="0.3"/>
    <row r="252" ht="30" customHeight="1" x14ac:dyDescent="0.3"/>
    <row r="253" ht="30" customHeight="1" x14ac:dyDescent="0.3"/>
    <row r="254" ht="30" customHeight="1" x14ac:dyDescent="0.3"/>
    <row r="255" ht="30" customHeight="1" x14ac:dyDescent="0.3"/>
    <row r="256" ht="30" customHeight="1" x14ac:dyDescent="0.3"/>
    <row r="257" ht="30" customHeight="1" x14ac:dyDescent="0.3"/>
    <row r="258" ht="30" customHeight="1" x14ac:dyDescent="0.3"/>
    <row r="259" ht="30" customHeight="1" x14ac:dyDescent="0.3"/>
    <row r="260" ht="30" customHeight="1" x14ac:dyDescent="0.3"/>
    <row r="261" ht="30" customHeight="1" x14ac:dyDescent="0.3"/>
    <row r="262" ht="30" customHeight="1" x14ac:dyDescent="0.3"/>
    <row r="263" ht="30" customHeight="1" x14ac:dyDescent="0.3"/>
    <row r="264" ht="30" customHeight="1" x14ac:dyDescent="0.3"/>
    <row r="265" ht="30" customHeight="1" x14ac:dyDescent="0.3"/>
    <row r="266" ht="30" customHeight="1" x14ac:dyDescent="0.3"/>
    <row r="267" ht="30" customHeight="1" x14ac:dyDescent="0.3"/>
    <row r="268" ht="30" customHeight="1" x14ac:dyDescent="0.3"/>
    <row r="269" ht="30" customHeight="1" x14ac:dyDescent="0.3"/>
    <row r="270" ht="30" customHeight="1" x14ac:dyDescent="0.3"/>
    <row r="271" ht="30" customHeight="1" x14ac:dyDescent="0.3"/>
    <row r="272" ht="30" customHeight="1" x14ac:dyDescent="0.3"/>
    <row r="273" ht="30" customHeight="1" x14ac:dyDescent="0.3"/>
    <row r="274" ht="30" customHeight="1" x14ac:dyDescent="0.3"/>
    <row r="275" ht="30" customHeight="1" x14ac:dyDescent="0.3"/>
    <row r="276" ht="30" customHeight="1" x14ac:dyDescent="0.3"/>
    <row r="277" ht="30" customHeight="1" x14ac:dyDescent="0.3"/>
    <row r="278" ht="30" customHeight="1" x14ac:dyDescent="0.3"/>
    <row r="279" ht="30" customHeight="1" x14ac:dyDescent="0.3"/>
    <row r="280" ht="30" customHeight="1" x14ac:dyDescent="0.3"/>
    <row r="281" ht="30" customHeight="1" x14ac:dyDescent="0.3"/>
    <row r="282" ht="30" customHeight="1" x14ac:dyDescent="0.3"/>
    <row r="283" ht="30" customHeight="1" x14ac:dyDescent="0.3"/>
    <row r="284" ht="30" customHeight="1" x14ac:dyDescent="0.3"/>
    <row r="285" ht="30" customHeight="1" x14ac:dyDescent="0.3"/>
    <row r="286" ht="30" customHeight="1" x14ac:dyDescent="0.3"/>
    <row r="287" ht="30" customHeight="1" x14ac:dyDescent="0.3"/>
    <row r="288" ht="30" customHeight="1" x14ac:dyDescent="0.3"/>
    <row r="289" ht="30" customHeight="1" x14ac:dyDescent="0.3"/>
    <row r="290" ht="30" customHeight="1" x14ac:dyDescent="0.3"/>
    <row r="291" ht="30" customHeight="1" x14ac:dyDescent="0.3"/>
    <row r="292" ht="30" customHeight="1" x14ac:dyDescent="0.3"/>
    <row r="293" ht="30" customHeight="1" x14ac:dyDescent="0.3"/>
    <row r="294" ht="30" customHeight="1" x14ac:dyDescent="0.3"/>
    <row r="295" ht="30" customHeight="1" x14ac:dyDescent="0.3"/>
    <row r="296" ht="30" customHeight="1" x14ac:dyDescent="0.3"/>
    <row r="297" ht="30" customHeight="1" x14ac:dyDescent="0.3"/>
    <row r="298" ht="30" customHeight="1" x14ac:dyDescent="0.3"/>
    <row r="299" ht="30" customHeight="1" x14ac:dyDescent="0.3"/>
    <row r="300" ht="30" customHeight="1" x14ac:dyDescent="0.3"/>
    <row r="301" ht="30" customHeight="1" x14ac:dyDescent="0.3"/>
    <row r="302" ht="30" customHeight="1" x14ac:dyDescent="0.3"/>
    <row r="303" ht="30" customHeight="1" x14ac:dyDescent="0.3"/>
    <row r="304" ht="30" customHeight="1" x14ac:dyDescent="0.3"/>
    <row r="305" ht="30" customHeight="1" x14ac:dyDescent="0.3"/>
    <row r="306" ht="30" customHeight="1" x14ac:dyDescent="0.3"/>
    <row r="307" ht="30" customHeight="1" x14ac:dyDescent="0.3"/>
    <row r="308" ht="30" customHeight="1" x14ac:dyDescent="0.3"/>
    <row r="309" ht="30" customHeight="1" x14ac:dyDescent="0.3"/>
    <row r="310" ht="30" customHeight="1" x14ac:dyDescent="0.3"/>
    <row r="311" ht="30" customHeight="1" x14ac:dyDescent="0.3"/>
    <row r="312" ht="30" customHeight="1" x14ac:dyDescent="0.3"/>
    <row r="313" ht="30" customHeight="1" x14ac:dyDescent="0.3"/>
    <row r="314" ht="30" customHeight="1" x14ac:dyDescent="0.3"/>
    <row r="315" ht="30" customHeight="1" x14ac:dyDescent="0.3"/>
    <row r="316" ht="30" customHeight="1" x14ac:dyDescent="0.3"/>
    <row r="317" ht="30" customHeight="1" x14ac:dyDescent="0.3"/>
    <row r="318" ht="30" customHeight="1" x14ac:dyDescent="0.3"/>
    <row r="319" ht="30" customHeight="1" x14ac:dyDescent="0.3"/>
    <row r="320" ht="30" customHeight="1" x14ac:dyDescent="0.3"/>
    <row r="321" ht="30" customHeight="1" x14ac:dyDescent="0.3"/>
    <row r="322" ht="30" customHeight="1" x14ac:dyDescent="0.3"/>
    <row r="323" ht="30" customHeight="1" x14ac:dyDescent="0.3"/>
    <row r="324" ht="30" customHeight="1" x14ac:dyDescent="0.3"/>
    <row r="325" ht="30" customHeight="1" x14ac:dyDescent="0.3"/>
    <row r="326" ht="30" customHeight="1" x14ac:dyDescent="0.3"/>
    <row r="327" ht="30" customHeight="1" x14ac:dyDescent="0.3"/>
    <row r="328" ht="30" customHeight="1" x14ac:dyDescent="0.3"/>
    <row r="329" ht="30" customHeight="1" x14ac:dyDescent="0.3"/>
    <row r="330" ht="30" customHeight="1" x14ac:dyDescent="0.3"/>
    <row r="331" ht="30" customHeight="1" x14ac:dyDescent="0.3"/>
    <row r="332" ht="30" customHeight="1" x14ac:dyDescent="0.3"/>
    <row r="333" ht="30" customHeight="1" x14ac:dyDescent="0.3"/>
    <row r="334" ht="30" customHeight="1" x14ac:dyDescent="0.3"/>
    <row r="335" ht="30" customHeight="1" x14ac:dyDescent="0.3"/>
    <row r="336" ht="30" customHeight="1" x14ac:dyDescent="0.3"/>
    <row r="337" ht="30" customHeight="1" x14ac:dyDescent="0.3"/>
    <row r="338" ht="30" customHeight="1" x14ac:dyDescent="0.3"/>
    <row r="339" ht="30" customHeight="1" x14ac:dyDescent="0.3"/>
    <row r="340" ht="30" customHeight="1" x14ac:dyDescent="0.3"/>
    <row r="341" ht="30" customHeight="1" x14ac:dyDescent="0.3"/>
    <row r="342" ht="30" customHeight="1" x14ac:dyDescent="0.3"/>
    <row r="343" ht="30" customHeight="1" x14ac:dyDescent="0.3"/>
    <row r="344" ht="30" customHeight="1" x14ac:dyDescent="0.3"/>
    <row r="345" ht="30" customHeight="1" x14ac:dyDescent="0.3"/>
    <row r="346" ht="30" customHeight="1" x14ac:dyDescent="0.3"/>
    <row r="347" ht="30" customHeight="1" x14ac:dyDescent="0.3"/>
    <row r="348" ht="30" customHeight="1" x14ac:dyDescent="0.3"/>
    <row r="349" ht="30" customHeight="1" x14ac:dyDescent="0.3"/>
    <row r="350" ht="30" customHeight="1" x14ac:dyDescent="0.3"/>
    <row r="351" ht="30" customHeight="1" x14ac:dyDescent="0.3"/>
    <row r="352" ht="30" customHeight="1" x14ac:dyDescent="0.3"/>
    <row r="353" ht="30" customHeight="1" x14ac:dyDescent="0.3"/>
    <row r="354" ht="30" customHeight="1" x14ac:dyDescent="0.3"/>
    <row r="355" ht="30" customHeight="1" x14ac:dyDescent="0.3"/>
    <row r="356" ht="30" customHeight="1" x14ac:dyDescent="0.3"/>
    <row r="357" ht="30" customHeight="1" x14ac:dyDescent="0.3"/>
    <row r="358" ht="30" customHeight="1" x14ac:dyDescent="0.3"/>
    <row r="359" ht="30" customHeight="1" x14ac:dyDescent="0.3"/>
    <row r="360" ht="30" customHeight="1" x14ac:dyDescent="0.3"/>
    <row r="361" ht="30" customHeight="1" x14ac:dyDescent="0.3"/>
    <row r="362" ht="30" customHeight="1" x14ac:dyDescent="0.3"/>
    <row r="363" ht="30" customHeight="1" x14ac:dyDescent="0.3"/>
    <row r="364" ht="30" customHeight="1" x14ac:dyDescent="0.3"/>
    <row r="365" ht="30" customHeight="1" x14ac:dyDescent="0.3"/>
    <row r="366" ht="30" customHeight="1" x14ac:dyDescent="0.3"/>
    <row r="367" ht="30" customHeight="1" x14ac:dyDescent="0.3"/>
    <row r="368" ht="30" customHeight="1" x14ac:dyDescent="0.3"/>
    <row r="369" ht="30" customHeight="1" x14ac:dyDescent="0.3"/>
    <row r="370" ht="30" customHeight="1" x14ac:dyDescent="0.3"/>
    <row r="371" ht="30" customHeight="1" x14ac:dyDescent="0.3"/>
    <row r="372" ht="30" customHeight="1" x14ac:dyDescent="0.3"/>
    <row r="373" ht="30" customHeight="1" x14ac:dyDescent="0.3"/>
    <row r="374" ht="30" customHeight="1" x14ac:dyDescent="0.3"/>
    <row r="375" ht="30" customHeight="1" x14ac:dyDescent="0.3"/>
    <row r="376" ht="30" customHeight="1" x14ac:dyDescent="0.3"/>
    <row r="377" ht="30" customHeight="1" x14ac:dyDescent="0.3"/>
    <row r="378" ht="30" customHeight="1" x14ac:dyDescent="0.3"/>
    <row r="379" ht="30" customHeight="1" x14ac:dyDescent="0.3"/>
    <row r="380" ht="30" customHeight="1" x14ac:dyDescent="0.3"/>
    <row r="381" ht="30" customHeight="1" x14ac:dyDescent="0.3"/>
    <row r="382" ht="30" customHeight="1" x14ac:dyDescent="0.3"/>
    <row r="383" ht="30" customHeight="1" x14ac:dyDescent="0.3"/>
    <row r="384" ht="30" customHeight="1" x14ac:dyDescent="0.3"/>
    <row r="385" ht="30" customHeight="1" x14ac:dyDescent="0.3"/>
    <row r="386" ht="30" customHeight="1" x14ac:dyDescent="0.3"/>
    <row r="387" ht="30" customHeight="1" x14ac:dyDescent="0.3"/>
    <row r="388" ht="30" customHeight="1" x14ac:dyDescent="0.3"/>
    <row r="389" ht="30" customHeight="1" x14ac:dyDescent="0.3"/>
    <row r="390" ht="30" customHeight="1" x14ac:dyDescent="0.3"/>
    <row r="391" ht="30" customHeight="1" x14ac:dyDescent="0.3"/>
    <row r="392" ht="30" customHeight="1" x14ac:dyDescent="0.3"/>
    <row r="393" ht="30" customHeight="1" x14ac:dyDescent="0.3"/>
    <row r="394" ht="30" customHeight="1" x14ac:dyDescent="0.3"/>
    <row r="395" ht="30" customHeight="1" x14ac:dyDescent="0.3"/>
    <row r="396" ht="30" customHeight="1" x14ac:dyDescent="0.3"/>
    <row r="397" ht="30" customHeight="1" x14ac:dyDescent="0.3"/>
    <row r="398" ht="30" customHeight="1" x14ac:dyDescent="0.3"/>
    <row r="399" ht="30" customHeight="1" x14ac:dyDescent="0.3"/>
    <row r="400" ht="30" customHeight="1" x14ac:dyDescent="0.3"/>
    <row r="401" ht="30" customHeight="1" x14ac:dyDescent="0.3"/>
    <row r="402" ht="30" customHeight="1" x14ac:dyDescent="0.3"/>
    <row r="403" ht="30" customHeight="1" x14ac:dyDescent="0.3"/>
    <row r="404" ht="30" customHeight="1" x14ac:dyDescent="0.3"/>
    <row r="405" ht="30" customHeight="1" x14ac:dyDescent="0.3"/>
    <row r="406" ht="30" customHeight="1" x14ac:dyDescent="0.3"/>
    <row r="407" ht="30" customHeight="1" x14ac:dyDescent="0.3"/>
    <row r="408" ht="30" customHeight="1" x14ac:dyDescent="0.3"/>
    <row r="409" ht="30" customHeight="1" x14ac:dyDescent="0.3"/>
    <row r="410" ht="30" customHeight="1" x14ac:dyDescent="0.3"/>
    <row r="411" ht="30" customHeight="1" x14ac:dyDescent="0.3"/>
    <row r="412" ht="30" customHeight="1" x14ac:dyDescent="0.3"/>
    <row r="413" ht="30" customHeight="1" x14ac:dyDescent="0.3"/>
    <row r="414" ht="30" customHeight="1" x14ac:dyDescent="0.3"/>
    <row r="415" ht="30" customHeight="1" x14ac:dyDescent="0.3"/>
    <row r="416" ht="30" customHeight="1" x14ac:dyDescent="0.3"/>
    <row r="417" ht="30" customHeight="1" x14ac:dyDescent="0.3"/>
    <row r="418" ht="30" customHeight="1" x14ac:dyDescent="0.3"/>
    <row r="419" ht="30" customHeight="1" x14ac:dyDescent="0.3"/>
    <row r="420" ht="30" customHeight="1" x14ac:dyDescent="0.3"/>
    <row r="421" ht="30" customHeight="1" x14ac:dyDescent="0.3"/>
    <row r="422" ht="30" customHeight="1" x14ac:dyDescent="0.3"/>
    <row r="423" ht="30" customHeight="1" x14ac:dyDescent="0.3"/>
    <row r="424" ht="30" customHeight="1" x14ac:dyDescent="0.3"/>
    <row r="425" ht="30" customHeight="1" x14ac:dyDescent="0.3"/>
    <row r="426" ht="30" customHeight="1" x14ac:dyDescent="0.3"/>
    <row r="427" ht="30" customHeight="1" x14ac:dyDescent="0.3"/>
    <row r="428" ht="30" customHeight="1" x14ac:dyDescent="0.3"/>
    <row r="429" ht="30" customHeight="1" x14ac:dyDescent="0.3"/>
    <row r="430" ht="30" customHeight="1" x14ac:dyDescent="0.3"/>
    <row r="431" ht="30" customHeight="1" x14ac:dyDescent="0.3"/>
    <row r="432" ht="30" customHeight="1" x14ac:dyDescent="0.3"/>
    <row r="433" ht="30" customHeight="1" x14ac:dyDescent="0.3"/>
    <row r="434" ht="30" customHeight="1" x14ac:dyDescent="0.3"/>
    <row r="435" ht="30" customHeight="1" x14ac:dyDescent="0.3"/>
    <row r="436" ht="30" customHeight="1" x14ac:dyDescent="0.3"/>
    <row r="437" ht="30" customHeight="1" x14ac:dyDescent="0.3"/>
    <row r="438" ht="30" customHeight="1" x14ac:dyDescent="0.3"/>
    <row r="439" ht="30" customHeight="1" x14ac:dyDescent="0.3"/>
    <row r="440" ht="30" customHeight="1" x14ac:dyDescent="0.3"/>
    <row r="441" ht="30" customHeight="1" x14ac:dyDescent="0.3"/>
    <row r="442" ht="30" customHeight="1" x14ac:dyDescent="0.3"/>
    <row r="443" ht="30" customHeight="1" x14ac:dyDescent="0.3"/>
    <row r="444" ht="30" customHeight="1" x14ac:dyDescent="0.3"/>
    <row r="445" ht="30" customHeight="1" x14ac:dyDescent="0.3"/>
    <row r="446" ht="30" customHeight="1" x14ac:dyDescent="0.3"/>
    <row r="447" ht="30" customHeight="1" x14ac:dyDescent="0.3"/>
    <row r="448" ht="30" customHeight="1" x14ac:dyDescent="0.3"/>
    <row r="449" ht="30" customHeight="1" x14ac:dyDescent="0.3"/>
    <row r="450" ht="30" customHeight="1" x14ac:dyDescent="0.3"/>
    <row r="451" ht="30" customHeight="1" x14ac:dyDescent="0.3"/>
    <row r="452" ht="30" customHeight="1" x14ac:dyDescent="0.3"/>
    <row r="453" ht="30" customHeight="1" x14ac:dyDescent="0.3"/>
    <row r="454" ht="30" customHeight="1" x14ac:dyDescent="0.3"/>
    <row r="455" ht="30" customHeight="1" x14ac:dyDescent="0.3"/>
    <row r="456" ht="30" customHeight="1" x14ac:dyDescent="0.3"/>
    <row r="457" ht="30" customHeight="1" x14ac:dyDescent="0.3"/>
    <row r="458" ht="30" customHeight="1" x14ac:dyDescent="0.3"/>
  </sheetData>
  <mergeCells count="2">
    <mergeCell ref="E6:G6"/>
    <mergeCell ref="A1:C1"/>
  </mergeCells>
  <phoneticPr fontId="2" type="noConversion"/>
  <conditionalFormatting sqref="E5:G5 I5:L5 A5:D6 H5:H6 K7:L7">
    <cfRule type="expression" dxfId="9" priority="17">
      <formula>#REF!="품절"</formula>
    </cfRule>
    <cfRule type="expression" dxfId="8" priority="18">
      <formula>#REF!="단종"</formula>
    </cfRule>
  </conditionalFormatting>
  <conditionalFormatting sqref="E6:L6">
    <cfRule type="expression" dxfId="7" priority="21">
      <formula>#REF!="품절"</formula>
    </cfRule>
    <cfRule type="expression" dxfId="6" priority="22">
      <formula>#REF!="단종"</formula>
    </cfRule>
  </conditionalFormatting>
  <conditionalFormatting sqref="J7:K60">
    <cfRule type="expression" dxfId="5" priority="15">
      <formula>#REF!="품절"</formula>
    </cfRule>
    <cfRule type="expression" dxfId="4" priority="16">
      <formula>#REF!="단종"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248D-07AF-4FA9-927E-D398F5102087}">
  <dimension ref="A1:J60"/>
  <sheetViews>
    <sheetView tabSelected="1" zoomScale="85" zoomScaleNormal="85" workbookViewId="0">
      <selection activeCell="A8" sqref="A8"/>
    </sheetView>
  </sheetViews>
  <sheetFormatPr defaultRowHeight="16.5" x14ac:dyDescent="0.3"/>
  <cols>
    <col min="2" max="2" width="15.625" bestFit="1" customWidth="1"/>
    <col min="3" max="3" width="48.625" customWidth="1"/>
    <col min="4" max="4" width="66.25" customWidth="1"/>
    <col min="6" max="6" width="12.25" customWidth="1"/>
    <col min="8" max="8" width="16.875" bestFit="1" customWidth="1"/>
    <col min="9" max="9" width="22.5" bestFit="1" customWidth="1"/>
    <col min="10" max="10" width="20.125" bestFit="1" customWidth="1"/>
  </cols>
  <sheetData>
    <row r="1" spans="1:10" ht="30" customHeight="1" x14ac:dyDescent="0.3">
      <c r="A1" s="21" t="s">
        <v>131</v>
      </c>
      <c r="B1" s="22"/>
      <c r="C1" s="22"/>
      <c r="D1" s="20"/>
    </row>
    <row r="2" spans="1:10" ht="16.5" customHeight="1" x14ac:dyDescent="0.3"/>
    <row r="3" spans="1:10" ht="16.5" customHeight="1" x14ac:dyDescent="0.3"/>
    <row r="4" spans="1:10" ht="16.5" customHeight="1" x14ac:dyDescent="0.3">
      <c r="F4" s="1"/>
    </row>
    <row r="5" spans="1:10" ht="30" customHeight="1" x14ac:dyDescent="0.3">
      <c r="A5" s="14" t="s">
        <v>0</v>
      </c>
      <c r="B5" s="14" t="s">
        <v>1</v>
      </c>
      <c r="C5" s="14" t="s">
        <v>11</v>
      </c>
      <c r="D5" s="14" t="s">
        <v>2</v>
      </c>
      <c r="E5" s="16" t="s">
        <v>8</v>
      </c>
      <c r="F5" s="16" t="s">
        <v>9</v>
      </c>
      <c r="G5" s="15" t="s">
        <v>3</v>
      </c>
      <c r="H5" s="18" t="s">
        <v>4</v>
      </c>
      <c r="I5" s="18" t="s">
        <v>5</v>
      </c>
      <c r="J5" s="18" t="s">
        <v>6</v>
      </c>
    </row>
    <row r="6" spans="1:10" ht="30" customHeight="1" x14ac:dyDescent="0.3">
      <c r="A6" s="2"/>
      <c r="B6" s="2"/>
      <c r="C6" s="2"/>
      <c r="D6" s="2"/>
      <c r="E6" s="23" t="s">
        <v>7</v>
      </c>
      <c r="F6" s="23"/>
      <c r="G6" s="2"/>
      <c r="H6" s="3">
        <f>SUM(H7:H60)</f>
        <v>0</v>
      </c>
      <c r="I6" s="4">
        <f>SUM(I7:I60)</f>
        <v>0</v>
      </c>
      <c r="J6" s="5">
        <f>SUM(J7:J60)</f>
        <v>0</v>
      </c>
    </row>
    <row r="7" spans="1:10" ht="30" customHeight="1" x14ac:dyDescent="0.3">
      <c r="A7" s="6">
        <v>1</v>
      </c>
      <c r="B7" s="7" t="s">
        <v>120</v>
      </c>
      <c r="C7" s="6" t="s">
        <v>12</v>
      </c>
      <c r="D7" s="8" t="s">
        <v>13</v>
      </c>
      <c r="E7" s="10">
        <v>4000</v>
      </c>
      <c r="F7" s="10">
        <v>1484</v>
      </c>
      <c r="G7" s="9">
        <v>100</v>
      </c>
      <c r="H7" s="11"/>
      <c r="I7" s="12">
        <f>H7*G7</f>
        <v>0</v>
      </c>
      <c r="J7" s="13">
        <f>IF($F7&gt;0,$I7*$F7,"")</f>
        <v>0</v>
      </c>
    </row>
    <row r="8" spans="1:10" ht="30" customHeight="1" x14ac:dyDescent="0.3">
      <c r="A8" s="6">
        <v>2</v>
      </c>
      <c r="B8" s="7" t="s">
        <v>121</v>
      </c>
      <c r="C8" s="6" t="s">
        <v>14</v>
      </c>
      <c r="D8" s="8" t="s">
        <v>15</v>
      </c>
      <c r="E8" s="10">
        <v>40000</v>
      </c>
      <c r="F8" s="10">
        <v>13920.000000000002</v>
      </c>
      <c r="G8" s="9">
        <v>20</v>
      </c>
      <c r="H8" s="11"/>
      <c r="I8" s="12">
        <f t="shared" ref="I8:I60" si="0">H8*G8</f>
        <v>0</v>
      </c>
      <c r="J8" s="13">
        <f>IF($F8&gt;0,$I8*$F8,"")</f>
        <v>0</v>
      </c>
    </row>
    <row r="9" spans="1:10" ht="30" customHeight="1" x14ac:dyDescent="0.3">
      <c r="A9" s="6">
        <v>3</v>
      </c>
      <c r="B9" s="7" t="s">
        <v>122</v>
      </c>
      <c r="C9" s="6" t="s">
        <v>16</v>
      </c>
      <c r="D9" s="8" t="s">
        <v>17</v>
      </c>
      <c r="E9" s="10">
        <v>4000</v>
      </c>
      <c r="F9" s="10">
        <v>1484</v>
      </c>
      <c r="G9" s="9">
        <v>100</v>
      </c>
      <c r="H9" s="11"/>
      <c r="I9" s="12">
        <f t="shared" si="0"/>
        <v>0</v>
      </c>
      <c r="J9" s="13">
        <f>IF($F9&gt;0,$I9*$F9,"")</f>
        <v>0</v>
      </c>
    </row>
    <row r="10" spans="1:10" ht="30" customHeight="1" x14ac:dyDescent="0.3">
      <c r="A10" s="6">
        <v>4</v>
      </c>
      <c r="B10" s="7" t="s">
        <v>123</v>
      </c>
      <c r="C10" s="6" t="s">
        <v>18</v>
      </c>
      <c r="D10" s="8" t="s">
        <v>19</v>
      </c>
      <c r="E10" s="10">
        <v>40000</v>
      </c>
      <c r="F10" s="10">
        <v>13920.000000000002</v>
      </c>
      <c r="G10" s="9">
        <v>20</v>
      </c>
      <c r="H10" s="11"/>
      <c r="I10" s="12">
        <f t="shared" si="0"/>
        <v>0</v>
      </c>
      <c r="J10" s="13">
        <f>IF($F10&gt;0,$I10*$F10,"")</f>
        <v>0</v>
      </c>
    </row>
    <row r="11" spans="1:10" ht="30" customHeight="1" x14ac:dyDescent="0.3">
      <c r="A11" s="6">
        <v>5</v>
      </c>
      <c r="B11" s="7" t="s">
        <v>124</v>
      </c>
      <c r="C11" s="6" t="s">
        <v>20</v>
      </c>
      <c r="D11" s="8" t="s">
        <v>21</v>
      </c>
      <c r="E11" s="10">
        <v>4000</v>
      </c>
      <c r="F11" s="10">
        <v>1484</v>
      </c>
      <c r="G11" s="9">
        <v>100</v>
      </c>
      <c r="H11" s="11"/>
      <c r="I11" s="12">
        <f t="shared" si="0"/>
        <v>0</v>
      </c>
      <c r="J11" s="13">
        <f>IF($F11&gt;0,$I11*$F11,"")</f>
        <v>0</v>
      </c>
    </row>
    <row r="12" spans="1:10" ht="30" customHeight="1" x14ac:dyDescent="0.3">
      <c r="A12" s="6">
        <v>6</v>
      </c>
      <c r="B12" s="7" t="s">
        <v>125</v>
      </c>
      <c r="C12" s="6" t="s">
        <v>22</v>
      </c>
      <c r="D12" s="8" t="s">
        <v>23</v>
      </c>
      <c r="E12" s="10">
        <v>40000</v>
      </c>
      <c r="F12" s="10">
        <v>13920.000000000002</v>
      </c>
      <c r="G12" s="9">
        <v>20</v>
      </c>
      <c r="H12" s="11"/>
      <c r="I12" s="12">
        <f t="shared" si="0"/>
        <v>0</v>
      </c>
      <c r="J12" s="13">
        <f>IF($F12&gt;0,$I12*$F12,"")</f>
        <v>0</v>
      </c>
    </row>
    <row r="13" spans="1:10" ht="30" customHeight="1" x14ac:dyDescent="0.3">
      <c r="A13" s="6">
        <v>7</v>
      </c>
      <c r="B13" s="7">
        <v>8800296551550</v>
      </c>
      <c r="C13" s="6" t="s">
        <v>24</v>
      </c>
      <c r="D13" s="8" t="s">
        <v>25</v>
      </c>
      <c r="E13" s="10">
        <v>6000</v>
      </c>
      <c r="F13" s="10">
        <v>2610</v>
      </c>
      <c r="G13" s="9">
        <v>48</v>
      </c>
      <c r="H13" s="11"/>
      <c r="I13" s="12">
        <f t="shared" si="0"/>
        <v>0</v>
      </c>
      <c r="J13" s="13">
        <f>IF($F13&gt;0,$I13*$F13,"")</f>
        <v>0</v>
      </c>
    </row>
    <row r="14" spans="1:10" ht="30" customHeight="1" x14ac:dyDescent="0.3">
      <c r="A14" s="6">
        <v>8</v>
      </c>
      <c r="B14" s="7">
        <v>8800296551567</v>
      </c>
      <c r="C14" s="6" t="s">
        <v>26</v>
      </c>
      <c r="D14" s="8" t="s">
        <v>27</v>
      </c>
      <c r="E14" s="10">
        <v>26000</v>
      </c>
      <c r="F14" s="10">
        <v>10452</v>
      </c>
      <c r="G14" s="9">
        <v>24</v>
      </c>
      <c r="H14" s="11"/>
      <c r="I14" s="12">
        <f t="shared" si="0"/>
        <v>0</v>
      </c>
      <c r="J14" s="13">
        <f>IF($F14&gt;0,$I14*$F14,"")</f>
        <v>0</v>
      </c>
    </row>
    <row r="15" spans="1:10" ht="30" customHeight="1" x14ac:dyDescent="0.3">
      <c r="A15" s="6">
        <v>9</v>
      </c>
      <c r="B15" s="7">
        <v>8800296556425</v>
      </c>
      <c r="C15" s="6" t="s">
        <v>28</v>
      </c>
      <c r="D15" s="8" t="s">
        <v>29</v>
      </c>
      <c r="E15" s="10">
        <v>8000</v>
      </c>
      <c r="F15" s="10">
        <v>2600</v>
      </c>
      <c r="G15" s="9">
        <v>90</v>
      </c>
      <c r="H15" s="11"/>
      <c r="I15" s="12">
        <f t="shared" si="0"/>
        <v>0</v>
      </c>
      <c r="J15" s="13">
        <f>IF($F15&gt;0,$I15*$F15,"")</f>
        <v>0</v>
      </c>
    </row>
    <row r="16" spans="1:10" ht="30" customHeight="1" x14ac:dyDescent="0.3">
      <c r="A16" s="6">
        <v>10</v>
      </c>
      <c r="B16" s="7">
        <v>8800296557255</v>
      </c>
      <c r="C16" s="6" t="s">
        <v>30</v>
      </c>
      <c r="D16" s="8" t="s">
        <v>31</v>
      </c>
      <c r="E16" s="10">
        <v>32000</v>
      </c>
      <c r="F16" s="10">
        <v>9952</v>
      </c>
      <c r="G16" s="9">
        <v>20</v>
      </c>
      <c r="H16" s="11"/>
      <c r="I16" s="12">
        <f t="shared" si="0"/>
        <v>0</v>
      </c>
      <c r="J16" s="13">
        <f>IF($F16&gt;0,$I16*$F16,"")</f>
        <v>0</v>
      </c>
    </row>
    <row r="17" spans="1:10" ht="30" customHeight="1" x14ac:dyDescent="0.3">
      <c r="A17" s="6">
        <v>11</v>
      </c>
      <c r="B17" s="7">
        <v>8809954940354</v>
      </c>
      <c r="C17" s="6" t="s">
        <v>32</v>
      </c>
      <c r="D17" s="8" t="s">
        <v>33</v>
      </c>
      <c r="E17" s="10">
        <v>18000</v>
      </c>
      <c r="F17" s="10">
        <v>6678</v>
      </c>
      <c r="G17" s="9">
        <v>24</v>
      </c>
      <c r="H17" s="11"/>
      <c r="I17" s="12">
        <f t="shared" si="0"/>
        <v>0</v>
      </c>
      <c r="J17" s="13">
        <f>IF($F17&gt;0,$I17*$F17,"")</f>
        <v>0</v>
      </c>
    </row>
    <row r="18" spans="1:10" ht="30" customHeight="1" x14ac:dyDescent="0.3">
      <c r="A18" s="6">
        <v>12</v>
      </c>
      <c r="B18" s="7">
        <v>8809954940132</v>
      </c>
      <c r="C18" s="6" t="s">
        <v>34</v>
      </c>
      <c r="D18" s="8" t="s">
        <v>35</v>
      </c>
      <c r="E18" s="10">
        <v>25000</v>
      </c>
      <c r="F18" s="10">
        <v>9825</v>
      </c>
      <c r="G18" s="9">
        <v>24</v>
      </c>
      <c r="H18" s="11"/>
      <c r="I18" s="12">
        <f t="shared" si="0"/>
        <v>0</v>
      </c>
      <c r="J18" s="13">
        <f>IF($F18&gt;0,$I18*$F18,"")</f>
        <v>0</v>
      </c>
    </row>
    <row r="19" spans="1:10" ht="30" customHeight="1" x14ac:dyDescent="0.3">
      <c r="A19" s="6">
        <v>13</v>
      </c>
      <c r="B19" s="7">
        <v>8809875907795</v>
      </c>
      <c r="C19" s="6" t="s">
        <v>36</v>
      </c>
      <c r="D19" s="8" t="s">
        <v>37</v>
      </c>
      <c r="E19" s="10">
        <v>28000</v>
      </c>
      <c r="F19" s="10">
        <v>12404</v>
      </c>
      <c r="G19" s="9">
        <v>60</v>
      </c>
      <c r="H19" s="11"/>
      <c r="I19" s="12">
        <f t="shared" si="0"/>
        <v>0</v>
      </c>
      <c r="J19" s="13">
        <f>IF($F19&gt;0,$I19*$F19,"")</f>
        <v>0</v>
      </c>
    </row>
    <row r="20" spans="1:10" ht="30" customHeight="1" x14ac:dyDescent="0.3">
      <c r="A20" s="6">
        <v>14</v>
      </c>
      <c r="B20" s="7">
        <v>8809971482318</v>
      </c>
      <c r="C20" s="6" t="s">
        <v>38</v>
      </c>
      <c r="D20" s="8" t="s">
        <v>39</v>
      </c>
      <c r="E20" s="10">
        <v>37000</v>
      </c>
      <c r="F20" s="10">
        <v>15207.000000000002</v>
      </c>
      <c r="G20" s="9">
        <v>60</v>
      </c>
      <c r="H20" s="11"/>
      <c r="I20" s="12">
        <f t="shared" si="0"/>
        <v>0</v>
      </c>
      <c r="J20" s="13">
        <f>IF($F20&gt;0,$I20*$F20,"")</f>
        <v>0</v>
      </c>
    </row>
    <row r="21" spans="1:10" ht="30" customHeight="1" x14ac:dyDescent="0.3">
      <c r="A21" s="6">
        <v>15</v>
      </c>
      <c r="B21" s="7">
        <v>8809954940347</v>
      </c>
      <c r="C21" s="6" t="s">
        <v>40</v>
      </c>
      <c r="D21" s="8" t="s">
        <v>41</v>
      </c>
      <c r="E21" s="10">
        <v>30000</v>
      </c>
      <c r="F21" s="10">
        <v>11520</v>
      </c>
      <c r="G21" s="9">
        <v>24</v>
      </c>
      <c r="H21" s="11"/>
      <c r="I21" s="12">
        <f t="shared" si="0"/>
        <v>0</v>
      </c>
      <c r="J21" s="13">
        <f>IF($F21&gt;0,$I21*$F21,"")</f>
        <v>0</v>
      </c>
    </row>
    <row r="22" spans="1:10" ht="30" customHeight="1" x14ac:dyDescent="0.3">
      <c r="A22" s="6">
        <v>16</v>
      </c>
      <c r="B22" s="7">
        <v>8809606850666</v>
      </c>
      <c r="C22" s="6" t="s">
        <v>42</v>
      </c>
      <c r="D22" s="8" t="s">
        <v>43</v>
      </c>
      <c r="E22" s="10">
        <v>35000</v>
      </c>
      <c r="F22" s="10">
        <v>11865</v>
      </c>
      <c r="G22" s="9">
        <v>100</v>
      </c>
      <c r="H22" s="11"/>
      <c r="I22" s="12">
        <f t="shared" si="0"/>
        <v>0</v>
      </c>
      <c r="J22" s="13">
        <f>IF($F22&gt;0,$I22*$F22,"")</f>
        <v>0</v>
      </c>
    </row>
    <row r="23" spans="1:10" ht="30" customHeight="1" x14ac:dyDescent="0.3">
      <c r="A23" s="6">
        <v>17</v>
      </c>
      <c r="B23" s="7">
        <v>8809686386185</v>
      </c>
      <c r="C23" s="6" t="s">
        <v>44</v>
      </c>
      <c r="D23" s="8" t="s">
        <v>45</v>
      </c>
      <c r="E23" s="10">
        <v>31000</v>
      </c>
      <c r="F23" s="10">
        <v>11625</v>
      </c>
      <c r="G23" s="9">
        <v>90</v>
      </c>
      <c r="H23" s="11"/>
      <c r="I23" s="12">
        <f t="shared" si="0"/>
        <v>0</v>
      </c>
      <c r="J23" s="13">
        <f>IF($F23&gt;0,$I23*$F23,"")</f>
        <v>0</v>
      </c>
    </row>
    <row r="24" spans="1:10" ht="30" customHeight="1" x14ac:dyDescent="0.3">
      <c r="A24" s="6">
        <v>18</v>
      </c>
      <c r="B24" s="7">
        <v>8809954940477</v>
      </c>
      <c r="C24" s="6" t="s">
        <v>46</v>
      </c>
      <c r="D24" s="8" t="s">
        <v>47</v>
      </c>
      <c r="E24" s="10">
        <v>16000</v>
      </c>
      <c r="F24" s="10">
        <v>6944</v>
      </c>
      <c r="G24" s="9">
        <v>48</v>
      </c>
      <c r="H24" s="11"/>
      <c r="I24" s="12">
        <f t="shared" si="0"/>
        <v>0</v>
      </c>
      <c r="J24" s="13">
        <f>IF($F24&gt;0,$I24*$F24,"")</f>
        <v>0</v>
      </c>
    </row>
    <row r="25" spans="1:10" ht="30" customHeight="1" x14ac:dyDescent="0.3">
      <c r="A25" s="6">
        <v>19</v>
      </c>
      <c r="B25" s="7" t="s">
        <v>126</v>
      </c>
      <c r="C25" s="6" t="s">
        <v>48</v>
      </c>
      <c r="D25" s="8" t="s">
        <v>49</v>
      </c>
      <c r="E25" s="10">
        <v>18000</v>
      </c>
      <c r="F25" s="10">
        <v>6678</v>
      </c>
      <c r="G25" s="9">
        <v>24</v>
      </c>
      <c r="H25" s="11"/>
      <c r="I25" s="12">
        <f t="shared" si="0"/>
        <v>0</v>
      </c>
      <c r="J25" s="13">
        <f>IF($F25&gt;0,$I25*$F25,"")</f>
        <v>0</v>
      </c>
    </row>
    <row r="26" spans="1:10" ht="30" customHeight="1" x14ac:dyDescent="0.3">
      <c r="A26" s="6">
        <v>20</v>
      </c>
      <c r="B26" s="7">
        <v>8809750465464</v>
      </c>
      <c r="C26" s="6" t="s">
        <v>50</v>
      </c>
      <c r="D26" s="8" t="s">
        <v>51</v>
      </c>
      <c r="E26" s="10">
        <v>25000</v>
      </c>
      <c r="F26" s="10">
        <v>8925.0000000000018</v>
      </c>
      <c r="G26" s="9">
        <v>24</v>
      </c>
      <c r="H26" s="11"/>
      <c r="I26" s="12">
        <f t="shared" si="0"/>
        <v>0</v>
      </c>
      <c r="J26" s="13">
        <f>IF($F26&gt;0,$I26*$F26,"")</f>
        <v>0</v>
      </c>
    </row>
    <row r="27" spans="1:10" ht="30" customHeight="1" x14ac:dyDescent="0.3">
      <c r="A27" s="6">
        <v>21</v>
      </c>
      <c r="B27" s="7">
        <v>8809743544626</v>
      </c>
      <c r="C27" s="6" t="s">
        <v>52</v>
      </c>
      <c r="D27" s="8" t="s">
        <v>53</v>
      </c>
      <c r="E27" s="10">
        <v>26000</v>
      </c>
      <c r="F27" s="10">
        <v>9984</v>
      </c>
      <c r="G27" s="9">
        <v>36</v>
      </c>
      <c r="H27" s="11"/>
      <c r="I27" s="12">
        <f t="shared" si="0"/>
        <v>0</v>
      </c>
      <c r="J27" s="13">
        <f>IF($F27&gt;0,$I27*$F27,"")</f>
        <v>0</v>
      </c>
    </row>
    <row r="28" spans="1:10" ht="30" customHeight="1" x14ac:dyDescent="0.3">
      <c r="A28" s="6">
        <v>22</v>
      </c>
      <c r="B28" s="7">
        <v>8809782557861</v>
      </c>
      <c r="C28" s="6" t="s">
        <v>54</v>
      </c>
      <c r="D28" s="8" t="s">
        <v>55</v>
      </c>
      <c r="E28" s="10">
        <v>22000</v>
      </c>
      <c r="F28" s="10">
        <v>8162</v>
      </c>
      <c r="G28" s="9">
        <v>100</v>
      </c>
      <c r="H28" s="11"/>
      <c r="I28" s="12">
        <f t="shared" si="0"/>
        <v>0</v>
      </c>
      <c r="J28" s="13">
        <f>IF($F28&gt;0,$I28*$F28,"")</f>
        <v>0</v>
      </c>
    </row>
    <row r="29" spans="1:10" ht="30" customHeight="1" x14ac:dyDescent="0.3">
      <c r="A29" s="6">
        <v>23</v>
      </c>
      <c r="B29" s="7">
        <v>8809463992615</v>
      </c>
      <c r="C29" s="6" t="s">
        <v>56</v>
      </c>
      <c r="D29" s="8" t="s">
        <v>57</v>
      </c>
      <c r="E29" s="10">
        <v>17000</v>
      </c>
      <c r="F29" s="10">
        <v>7378</v>
      </c>
      <c r="G29" s="9">
        <v>24</v>
      </c>
      <c r="H29" s="11"/>
      <c r="I29" s="12">
        <f t="shared" si="0"/>
        <v>0</v>
      </c>
      <c r="J29" s="13">
        <f>IF($F29&gt;0,$I29*$F29,"")</f>
        <v>0</v>
      </c>
    </row>
    <row r="30" spans="1:10" ht="30" customHeight="1" x14ac:dyDescent="0.3">
      <c r="A30" s="6">
        <v>24</v>
      </c>
      <c r="B30" s="7">
        <v>8809463992707</v>
      </c>
      <c r="C30" s="6" t="s">
        <v>58</v>
      </c>
      <c r="D30" s="8" t="s">
        <v>59</v>
      </c>
      <c r="E30" s="10">
        <v>15000</v>
      </c>
      <c r="F30" s="10">
        <v>6105</v>
      </c>
      <c r="G30" s="9">
        <v>24</v>
      </c>
      <c r="H30" s="11"/>
      <c r="I30" s="12">
        <f t="shared" si="0"/>
        <v>0</v>
      </c>
      <c r="J30" s="13">
        <f>IF($F30&gt;0,$I30*$F30,"")</f>
        <v>0</v>
      </c>
    </row>
    <row r="31" spans="1:10" ht="30" customHeight="1" x14ac:dyDescent="0.3">
      <c r="A31" s="6">
        <v>25</v>
      </c>
      <c r="B31" s="7">
        <v>8809463993889</v>
      </c>
      <c r="C31" s="6" t="s">
        <v>60</v>
      </c>
      <c r="D31" s="8" t="s">
        <v>61</v>
      </c>
      <c r="E31" s="10">
        <v>20000</v>
      </c>
      <c r="F31" s="10">
        <v>6960.0000000000009</v>
      </c>
      <c r="G31" s="9">
        <v>16</v>
      </c>
      <c r="H31" s="11"/>
      <c r="I31" s="12">
        <f t="shared" si="0"/>
        <v>0</v>
      </c>
      <c r="J31" s="13">
        <f>IF($F31&gt;0,$I31*$F31,"")</f>
        <v>0</v>
      </c>
    </row>
    <row r="32" spans="1:10" ht="30" customHeight="1" x14ac:dyDescent="0.3">
      <c r="A32" s="6">
        <v>26</v>
      </c>
      <c r="B32" s="7">
        <v>8809783321225</v>
      </c>
      <c r="C32" s="6" t="s">
        <v>62</v>
      </c>
      <c r="D32" s="8" t="s">
        <v>63</v>
      </c>
      <c r="E32" s="10">
        <v>24000</v>
      </c>
      <c r="F32" s="10">
        <v>8448</v>
      </c>
      <c r="G32" s="9">
        <v>24</v>
      </c>
      <c r="H32" s="11"/>
      <c r="I32" s="12">
        <f t="shared" si="0"/>
        <v>0</v>
      </c>
      <c r="J32" s="13">
        <f>IF($F32&gt;0,$I32*$F32,"")</f>
        <v>0</v>
      </c>
    </row>
    <row r="33" spans="1:10" ht="30" customHeight="1" x14ac:dyDescent="0.3">
      <c r="A33" s="6">
        <v>27</v>
      </c>
      <c r="B33" s="7" t="s">
        <v>127</v>
      </c>
      <c r="C33" s="6" t="s">
        <v>64</v>
      </c>
      <c r="D33" s="8" t="s">
        <v>65</v>
      </c>
      <c r="E33" s="10">
        <v>31000</v>
      </c>
      <c r="F33" s="10">
        <v>9517</v>
      </c>
      <c r="G33" s="9">
        <v>32</v>
      </c>
      <c r="H33" s="11"/>
      <c r="I33" s="12">
        <f t="shared" si="0"/>
        <v>0</v>
      </c>
      <c r="J33" s="13">
        <f>IF($F33&gt;0,$I33*$F33,"")</f>
        <v>0</v>
      </c>
    </row>
    <row r="34" spans="1:10" ht="30" customHeight="1" x14ac:dyDescent="0.3">
      <c r="A34" s="6">
        <v>28</v>
      </c>
      <c r="B34" s="7">
        <v>8809626562921</v>
      </c>
      <c r="C34" s="6" t="s">
        <v>66</v>
      </c>
      <c r="D34" s="8" t="s">
        <v>67</v>
      </c>
      <c r="E34" s="10">
        <v>9000</v>
      </c>
      <c r="F34" s="10">
        <v>3744.0000000000005</v>
      </c>
      <c r="G34" s="9">
        <v>45</v>
      </c>
      <c r="H34" s="11"/>
      <c r="I34" s="12">
        <f t="shared" si="0"/>
        <v>0</v>
      </c>
      <c r="J34" s="13">
        <f>IF($F34&gt;0,$I34*$F34,"")</f>
        <v>0</v>
      </c>
    </row>
    <row r="35" spans="1:10" ht="30" customHeight="1" x14ac:dyDescent="0.3">
      <c r="A35" s="6">
        <v>29</v>
      </c>
      <c r="B35" s="7">
        <v>8809783324097</v>
      </c>
      <c r="C35" s="6" t="s">
        <v>68</v>
      </c>
      <c r="D35" s="8" t="s">
        <v>69</v>
      </c>
      <c r="E35" s="10">
        <v>14000</v>
      </c>
      <c r="F35" s="10">
        <v>8050.0000000000009</v>
      </c>
      <c r="G35" s="9">
        <v>30</v>
      </c>
      <c r="H35" s="11"/>
      <c r="I35" s="12">
        <f t="shared" si="0"/>
        <v>0</v>
      </c>
      <c r="J35" s="13">
        <f>IF($F35&gt;0,$I35*$F35,"")</f>
        <v>0</v>
      </c>
    </row>
    <row r="36" spans="1:10" ht="30" customHeight="1" x14ac:dyDescent="0.3">
      <c r="A36" s="6">
        <v>30</v>
      </c>
      <c r="B36" s="7">
        <v>8809606850499</v>
      </c>
      <c r="C36" s="6" t="s">
        <v>70</v>
      </c>
      <c r="D36" s="8" t="s">
        <v>71</v>
      </c>
      <c r="E36" s="10">
        <v>20000</v>
      </c>
      <c r="F36" s="10">
        <v>8040.0000000000009</v>
      </c>
      <c r="G36" s="9">
        <v>24</v>
      </c>
      <c r="H36" s="11"/>
      <c r="I36" s="12">
        <f t="shared" si="0"/>
        <v>0</v>
      </c>
      <c r="J36" s="13">
        <f>IF($F36&gt;0,$I36*$F36,"")</f>
        <v>0</v>
      </c>
    </row>
    <row r="37" spans="1:10" ht="30" customHeight="1" x14ac:dyDescent="0.3">
      <c r="A37" s="6">
        <v>31</v>
      </c>
      <c r="B37" s="7">
        <v>8809606850475</v>
      </c>
      <c r="C37" s="6" t="s">
        <v>72</v>
      </c>
      <c r="D37" s="8" t="s">
        <v>73</v>
      </c>
      <c r="E37" s="10">
        <v>22000</v>
      </c>
      <c r="F37" s="10">
        <v>8954</v>
      </c>
      <c r="G37" s="9">
        <v>24</v>
      </c>
      <c r="H37" s="11"/>
      <c r="I37" s="12">
        <f t="shared" si="0"/>
        <v>0</v>
      </c>
      <c r="J37" s="13">
        <f>IF($F37&gt;0,$I37*$F37,"")</f>
        <v>0</v>
      </c>
    </row>
    <row r="38" spans="1:10" ht="30" customHeight="1" x14ac:dyDescent="0.3">
      <c r="A38" s="6">
        <v>32</v>
      </c>
      <c r="B38" s="7">
        <v>8809606850482</v>
      </c>
      <c r="C38" s="6" t="s">
        <v>74</v>
      </c>
      <c r="D38" s="8" t="s">
        <v>75</v>
      </c>
      <c r="E38" s="10">
        <v>32000</v>
      </c>
      <c r="F38" s="10">
        <v>10848</v>
      </c>
      <c r="G38" s="9">
        <v>56</v>
      </c>
      <c r="H38" s="11"/>
      <c r="I38" s="12">
        <f t="shared" si="0"/>
        <v>0</v>
      </c>
      <c r="J38" s="13">
        <f>IF($F38&gt;0,$I38*$F38,"")</f>
        <v>0</v>
      </c>
    </row>
    <row r="39" spans="1:10" ht="30" customHeight="1" x14ac:dyDescent="0.3">
      <c r="A39" s="6">
        <v>33</v>
      </c>
      <c r="B39" s="7">
        <v>8809606850505</v>
      </c>
      <c r="C39" s="6" t="s">
        <v>76</v>
      </c>
      <c r="D39" s="8" t="s">
        <v>77</v>
      </c>
      <c r="E39" s="10">
        <v>35000</v>
      </c>
      <c r="F39" s="10">
        <v>11865</v>
      </c>
      <c r="G39" s="9">
        <v>90</v>
      </c>
      <c r="H39" s="11"/>
      <c r="I39" s="12">
        <f t="shared" si="0"/>
        <v>0</v>
      </c>
      <c r="J39" s="13">
        <f>IF($F39&gt;0,$I39*$F39,"")</f>
        <v>0</v>
      </c>
    </row>
    <row r="40" spans="1:10" ht="30" customHeight="1" x14ac:dyDescent="0.3">
      <c r="A40" s="6">
        <v>34</v>
      </c>
      <c r="B40" s="7">
        <v>8809686388172</v>
      </c>
      <c r="C40" s="6" t="s">
        <v>78</v>
      </c>
      <c r="D40" s="8" t="s">
        <v>79</v>
      </c>
      <c r="E40" s="10">
        <v>16000</v>
      </c>
      <c r="F40" s="10">
        <v>8032</v>
      </c>
      <c r="G40" s="9">
        <v>72</v>
      </c>
      <c r="H40" s="11"/>
      <c r="I40" s="12">
        <f t="shared" si="0"/>
        <v>0</v>
      </c>
      <c r="J40" s="13">
        <f>IF($F40&gt;0,$I40*$F40,"")</f>
        <v>0</v>
      </c>
    </row>
    <row r="41" spans="1:10" ht="30" customHeight="1" x14ac:dyDescent="0.3">
      <c r="A41" s="6">
        <v>36</v>
      </c>
      <c r="B41" s="7" t="s">
        <v>128</v>
      </c>
      <c r="C41" s="6" t="s">
        <v>80</v>
      </c>
      <c r="D41" s="8" t="s">
        <v>81</v>
      </c>
      <c r="E41" s="10">
        <v>32000</v>
      </c>
      <c r="F41" s="10">
        <v>11552.000000000002</v>
      </c>
      <c r="G41" s="9">
        <v>24</v>
      </c>
      <c r="H41" s="11"/>
      <c r="I41" s="12">
        <f t="shared" si="0"/>
        <v>0</v>
      </c>
      <c r="J41" s="13">
        <f>IF($F41&gt;0,$I41*$F41,"")</f>
        <v>0</v>
      </c>
    </row>
    <row r="42" spans="1:10" ht="30" customHeight="1" x14ac:dyDescent="0.3">
      <c r="A42" s="6">
        <v>37</v>
      </c>
      <c r="B42" s="7" t="s">
        <v>129</v>
      </c>
      <c r="C42" s="6" t="s">
        <v>82</v>
      </c>
      <c r="D42" s="8" t="s">
        <v>83</v>
      </c>
      <c r="E42" s="10">
        <v>16000</v>
      </c>
      <c r="F42" s="10">
        <v>9280.0000000000018</v>
      </c>
      <c r="G42" s="9">
        <v>48</v>
      </c>
      <c r="H42" s="11"/>
      <c r="I42" s="12">
        <f t="shared" si="0"/>
        <v>0</v>
      </c>
      <c r="J42" s="13">
        <f>IF($F42&gt;0,$I42*$F42,"")</f>
        <v>0</v>
      </c>
    </row>
    <row r="43" spans="1:10" ht="30" customHeight="1" x14ac:dyDescent="0.3">
      <c r="A43" s="6">
        <v>38</v>
      </c>
      <c r="B43" s="7">
        <v>8809700320805</v>
      </c>
      <c r="C43" s="6" t="s">
        <v>84</v>
      </c>
      <c r="D43" s="8" t="s">
        <v>85</v>
      </c>
      <c r="E43" s="10">
        <v>32000</v>
      </c>
      <c r="F43" s="10">
        <v>12288</v>
      </c>
      <c r="G43" s="9">
        <v>60</v>
      </c>
      <c r="H43" s="11"/>
      <c r="I43" s="12">
        <f t="shared" si="0"/>
        <v>0</v>
      </c>
      <c r="J43" s="13">
        <f>IF($F43&gt;0,$I43*$F43,"")</f>
        <v>0</v>
      </c>
    </row>
    <row r="44" spans="1:10" ht="30" customHeight="1" x14ac:dyDescent="0.3">
      <c r="A44" s="6">
        <v>39</v>
      </c>
      <c r="B44" s="7">
        <v>8809700320812</v>
      </c>
      <c r="C44" s="6" t="s">
        <v>86</v>
      </c>
      <c r="D44" s="8" t="s">
        <v>87</v>
      </c>
      <c r="E44" s="10">
        <v>30000</v>
      </c>
      <c r="F44" s="10">
        <v>10980.000000000002</v>
      </c>
      <c r="G44" s="9">
        <v>120</v>
      </c>
      <c r="H44" s="11"/>
      <c r="I44" s="12">
        <f t="shared" si="0"/>
        <v>0</v>
      </c>
      <c r="J44" s="13">
        <f>IF($F44&gt;0,$I44*$F44,"")</f>
        <v>0</v>
      </c>
    </row>
    <row r="45" spans="1:10" ht="30" customHeight="1" x14ac:dyDescent="0.3">
      <c r="A45" s="6">
        <v>40</v>
      </c>
      <c r="B45" s="7">
        <v>8806050298525</v>
      </c>
      <c r="C45" s="6" t="s">
        <v>88</v>
      </c>
      <c r="D45" s="8" t="s">
        <v>89</v>
      </c>
      <c r="E45" s="10">
        <v>16000</v>
      </c>
      <c r="F45" s="10">
        <v>7168</v>
      </c>
      <c r="G45" s="9">
        <v>35</v>
      </c>
      <c r="H45" s="11"/>
      <c r="I45" s="12">
        <f t="shared" si="0"/>
        <v>0</v>
      </c>
      <c r="J45" s="13">
        <f>IF($F45&gt;0,$I45*$F45,"")</f>
        <v>0</v>
      </c>
    </row>
    <row r="46" spans="1:10" ht="30" customHeight="1" x14ac:dyDescent="0.3">
      <c r="A46" s="6">
        <v>41</v>
      </c>
      <c r="B46" s="7">
        <v>8809975194439</v>
      </c>
      <c r="C46" s="6" t="s">
        <v>90</v>
      </c>
      <c r="D46" s="8" t="s">
        <v>91</v>
      </c>
      <c r="E46" s="10">
        <v>10000</v>
      </c>
      <c r="F46" s="10">
        <v>5430</v>
      </c>
      <c r="G46" s="9">
        <v>40</v>
      </c>
      <c r="H46" s="11"/>
      <c r="I46" s="12">
        <f t="shared" si="0"/>
        <v>0</v>
      </c>
      <c r="J46" s="13">
        <f>IF($F46&gt;0,$I46*$F46,"")</f>
        <v>0</v>
      </c>
    </row>
    <row r="47" spans="1:10" ht="30" customHeight="1" x14ac:dyDescent="0.3">
      <c r="A47" s="6">
        <v>42</v>
      </c>
      <c r="B47" s="7">
        <v>8809626564000</v>
      </c>
      <c r="C47" s="6" t="s">
        <v>92</v>
      </c>
      <c r="D47" s="8" t="s">
        <v>93</v>
      </c>
      <c r="E47" s="10">
        <v>17000</v>
      </c>
      <c r="F47" s="10">
        <v>6834</v>
      </c>
      <c r="G47" s="9">
        <v>117</v>
      </c>
      <c r="H47" s="11"/>
      <c r="I47" s="12">
        <f t="shared" si="0"/>
        <v>0</v>
      </c>
      <c r="J47" s="13">
        <f>IF($F47&gt;0,$I47*$F47,"")</f>
        <v>0</v>
      </c>
    </row>
    <row r="48" spans="1:10" ht="30" customHeight="1" x14ac:dyDescent="0.3">
      <c r="A48" s="6">
        <v>43</v>
      </c>
      <c r="B48" s="7">
        <v>8809782559018</v>
      </c>
      <c r="C48" s="6" t="s">
        <v>94</v>
      </c>
      <c r="D48" s="8" t="s">
        <v>95</v>
      </c>
      <c r="E48" s="10">
        <v>31000</v>
      </c>
      <c r="F48" s="10">
        <v>10788.000000000002</v>
      </c>
      <c r="G48" s="9">
        <v>60</v>
      </c>
      <c r="H48" s="11"/>
      <c r="I48" s="12">
        <f t="shared" si="0"/>
        <v>0</v>
      </c>
      <c r="J48" s="13">
        <f>IF($F48&gt;0,$I48*$F48,"")</f>
        <v>0</v>
      </c>
    </row>
    <row r="49" spans="1:10" ht="30" customHeight="1" x14ac:dyDescent="0.3">
      <c r="A49" s="6">
        <v>44</v>
      </c>
      <c r="B49" s="7">
        <v>8809782559063</v>
      </c>
      <c r="C49" s="6" t="s">
        <v>96</v>
      </c>
      <c r="D49" s="8" t="s">
        <v>97</v>
      </c>
      <c r="E49" s="10">
        <v>22000</v>
      </c>
      <c r="F49" s="10">
        <v>8954</v>
      </c>
      <c r="G49" s="9">
        <v>72</v>
      </c>
      <c r="H49" s="11"/>
      <c r="I49" s="12">
        <f t="shared" si="0"/>
        <v>0</v>
      </c>
      <c r="J49" s="13">
        <f>IF($F49&gt;0,$I49*$F49,"")</f>
        <v>0</v>
      </c>
    </row>
    <row r="50" spans="1:10" ht="30" customHeight="1" x14ac:dyDescent="0.3">
      <c r="A50" s="6">
        <v>45</v>
      </c>
      <c r="B50" s="7">
        <v>8809743546880</v>
      </c>
      <c r="C50" s="6" t="s">
        <v>98</v>
      </c>
      <c r="D50" s="8" t="s">
        <v>99</v>
      </c>
      <c r="E50" s="10">
        <v>31000</v>
      </c>
      <c r="F50" s="10">
        <v>9951</v>
      </c>
      <c r="G50" s="9">
        <v>60</v>
      </c>
      <c r="H50" s="11"/>
      <c r="I50" s="12">
        <f t="shared" si="0"/>
        <v>0</v>
      </c>
      <c r="J50" s="13">
        <f>IF($F50&gt;0,$I50*$F50,"")</f>
        <v>0</v>
      </c>
    </row>
    <row r="51" spans="1:10" ht="30" customHeight="1" x14ac:dyDescent="0.3">
      <c r="A51" s="6">
        <v>46</v>
      </c>
      <c r="B51" s="7">
        <v>8809971489911</v>
      </c>
      <c r="C51" s="6" t="s">
        <v>100</v>
      </c>
      <c r="D51" s="8" t="s">
        <v>101</v>
      </c>
      <c r="E51" s="10">
        <v>24000</v>
      </c>
      <c r="F51" s="10">
        <v>8784.0000000000018</v>
      </c>
      <c r="G51" s="9">
        <v>120</v>
      </c>
      <c r="H51" s="11"/>
      <c r="I51" s="12">
        <f t="shared" si="0"/>
        <v>0</v>
      </c>
      <c r="J51" s="13">
        <f>IF($F51&gt;0,$I51*$F51,"")</f>
        <v>0</v>
      </c>
    </row>
    <row r="52" spans="1:10" ht="30" customHeight="1" x14ac:dyDescent="0.3">
      <c r="A52" s="6">
        <v>47</v>
      </c>
      <c r="B52" s="7">
        <v>8809875906811</v>
      </c>
      <c r="C52" s="6" t="s">
        <v>102</v>
      </c>
      <c r="D52" s="8" t="s">
        <v>103</v>
      </c>
      <c r="E52" s="10">
        <v>20000</v>
      </c>
      <c r="F52" s="10">
        <v>7320.0000000000009</v>
      </c>
      <c r="G52" s="9">
        <v>84</v>
      </c>
      <c r="H52" s="11"/>
      <c r="I52" s="12">
        <f t="shared" si="0"/>
        <v>0</v>
      </c>
      <c r="J52" s="13">
        <f>IF($F52&gt;0,$I52*$F52,"")</f>
        <v>0</v>
      </c>
    </row>
    <row r="53" spans="1:10" ht="30" customHeight="1" x14ac:dyDescent="0.3">
      <c r="A53" s="6">
        <v>48</v>
      </c>
      <c r="B53" s="7">
        <v>8809875907412</v>
      </c>
      <c r="C53" s="6" t="s">
        <v>104</v>
      </c>
      <c r="D53" s="8" t="s">
        <v>105</v>
      </c>
      <c r="E53" s="10">
        <v>32000</v>
      </c>
      <c r="F53" s="10">
        <v>12576</v>
      </c>
      <c r="G53" s="9">
        <v>48</v>
      </c>
      <c r="H53" s="11"/>
      <c r="I53" s="12">
        <f t="shared" si="0"/>
        <v>0</v>
      </c>
      <c r="J53" s="13">
        <f>IF($F53&gt;0,$I53*$F53,"")</f>
        <v>0</v>
      </c>
    </row>
    <row r="54" spans="1:10" ht="30" customHeight="1" x14ac:dyDescent="0.3">
      <c r="A54" s="6">
        <v>49</v>
      </c>
      <c r="B54" s="7">
        <v>8809743546323</v>
      </c>
      <c r="C54" s="6" t="s">
        <v>106</v>
      </c>
      <c r="D54" s="8" t="s">
        <v>107</v>
      </c>
      <c r="E54" s="10">
        <v>20000</v>
      </c>
      <c r="F54" s="10">
        <v>8220</v>
      </c>
      <c r="G54" s="9">
        <v>30</v>
      </c>
      <c r="H54" s="11"/>
      <c r="I54" s="12">
        <f t="shared" si="0"/>
        <v>0</v>
      </c>
      <c r="J54" s="13">
        <f>IF($F54&gt;0,$I54*$F54,"")</f>
        <v>0</v>
      </c>
    </row>
    <row r="55" spans="1:10" ht="30" customHeight="1" x14ac:dyDescent="0.3">
      <c r="A55" s="6">
        <v>50</v>
      </c>
      <c r="B55" s="7">
        <v>8809743547467</v>
      </c>
      <c r="C55" s="6" t="s">
        <v>108</v>
      </c>
      <c r="D55" s="8" t="s">
        <v>109</v>
      </c>
      <c r="E55" s="10">
        <v>40000</v>
      </c>
      <c r="F55" s="10">
        <v>12440</v>
      </c>
      <c r="G55" s="9">
        <v>24</v>
      </c>
      <c r="H55" s="11"/>
      <c r="I55" s="12">
        <f t="shared" si="0"/>
        <v>0</v>
      </c>
      <c r="J55" s="13">
        <f>IF($F55&gt;0,$I55*$F55,"")</f>
        <v>0</v>
      </c>
    </row>
    <row r="56" spans="1:10" ht="30" customHeight="1" x14ac:dyDescent="0.3">
      <c r="A56" s="6">
        <v>51</v>
      </c>
      <c r="B56" s="7">
        <v>8809971484503</v>
      </c>
      <c r="C56" s="6" t="s">
        <v>110</v>
      </c>
      <c r="D56" s="8" t="s">
        <v>111</v>
      </c>
      <c r="E56" s="10">
        <v>35000</v>
      </c>
      <c r="F56" s="10">
        <v>11235</v>
      </c>
      <c r="G56" s="9">
        <v>120</v>
      </c>
      <c r="H56" s="11"/>
      <c r="I56" s="12">
        <f t="shared" si="0"/>
        <v>0</v>
      </c>
      <c r="J56" s="13">
        <f>IF($F56&gt;0,$I56*$F56,"")</f>
        <v>0</v>
      </c>
    </row>
    <row r="57" spans="1:10" ht="30" customHeight="1" x14ac:dyDescent="0.3">
      <c r="A57" s="6">
        <v>52</v>
      </c>
      <c r="B57" s="7">
        <v>8809971484510</v>
      </c>
      <c r="C57" s="6" t="s">
        <v>112</v>
      </c>
      <c r="D57" s="8" t="s">
        <v>113</v>
      </c>
      <c r="E57" s="10">
        <v>24000</v>
      </c>
      <c r="F57" s="10">
        <v>9336</v>
      </c>
      <c r="G57" s="9">
        <v>120</v>
      </c>
      <c r="H57" s="11"/>
      <c r="I57" s="12">
        <f t="shared" si="0"/>
        <v>0</v>
      </c>
      <c r="J57" s="13">
        <f>IF($F57&gt;0,$I57*$F57,"")</f>
        <v>0</v>
      </c>
    </row>
    <row r="58" spans="1:10" ht="30" customHeight="1" x14ac:dyDescent="0.3">
      <c r="A58" s="6">
        <v>53</v>
      </c>
      <c r="B58" s="7">
        <v>8809971482349</v>
      </c>
      <c r="C58" s="6" t="s">
        <v>114</v>
      </c>
      <c r="D58" s="8" t="s">
        <v>115</v>
      </c>
      <c r="E58" s="10">
        <v>0</v>
      </c>
      <c r="F58" s="10">
        <v>7832.4363636363632</v>
      </c>
      <c r="G58" s="9">
        <v>40</v>
      </c>
      <c r="H58" s="11"/>
      <c r="I58" s="12">
        <f t="shared" si="0"/>
        <v>0</v>
      </c>
      <c r="J58" s="13">
        <f>IF($F58&gt;0,$I58*$F58,"")</f>
        <v>0</v>
      </c>
    </row>
    <row r="59" spans="1:10" ht="30" customHeight="1" x14ac:dyDescent="0.3">
      <c r="A59" s="6">
        <v>54</v>
      </c>
      <c r="B59" s="7">
        <v>8809606852332</v>
      </c>
      <c r="C59" s="6" t="s">
        <v>116</v>
      </c>
      <c r="D59" s="8" t="s">
        <v>117</v>
      </c>
      <c r="E59" s="10">
        <v>0</v>
      </c>
      <c r="F59" s="10">
        <v>5549.5818181818177</v>
      </c>
      <c r="G59" s="9">
        <v>64</v>
      </c>
      <c r="H59" s="11"/>
      <c r="I59" s="12">
        <f t="shared" si="0"/>
        <v>0</v>
      </c>
      <c r="J59" s="13">
        <f>IF($F59&gt;0,$I59*$F59,"")</f>
        <v>0</v>
      </c>
    </row>
    <row r="60" spans="1:10" ht="30" customHeight="1" x14ac:dyDescent="0.3">
      <c r="A60" s="6">
        <v>55</v>
      </c>
      <c r="B60" s="7">
        <v>8800296551789</v>
      </c>
      <c r="C60" s="6" t="s">
        <v>118</v>
      </c>
      <c r="D60" s="8" t="s">
        <v>119</v>
      </c>
      <c r="E60" s="10">
        <v>0</v>
      </c>
      <c r="F60" s="10">
        <v>6352.2909090909088</v>
      </c>
      <c r="G60" s="9">
        <v>64</v>
      </c>
      <c r="H60" s="11"/>
      <c r="I60" s="12">
        <f t="shared" si="0"/>
        <v>0</v>
      </c>
      <c r="J60" s="13">
        <f>IF($F60&gt;0,$I60*$F60,"")</f>
        <v>0</v>
      </c>
    </row>
  </sheetData>
  <mergeCells count="2">
    <mergeCell ref="A1:C1"/>
    <mergeCell ref="E6:F6"/>
  </mergeCells>
  <phoneticPr fontId="2" type="noConversion"/>
  <conditionalFormatting sqref="E5:F5 H5:J5 A5:D6 G5:G6 E6:J6">
    <cfRule type="expression" dxfId="3" priority="3">
      <formula>#REF!="품절"</formula>
    </cfRule>
    <cfRule type="expression" dxfId="2" priority="4">
      <formula>#REF!="단종"</formula>
    </cfRule>
  </conditionalFormatting>
  <conditionalFormatting sqref="I7:J60">
    <cfRule type="expression" dxfId="1" priority="1">
      <formula>#REF!="품절"</formula>
    </cfRule>
    <cfRule type="expression" dxfId="0" priority="2">
      <formula>#REF!="단종"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Sun</dc:creator>
  <cp:lastModifiedBy>GIHUN SONG</cp:lastModifiedBy>
  <dcterms:created xsi:type="dcterms:W3CDTF">2026-01-07T03:25:48Z</dcterms:created>
  <dcterms:modified xsi:type="dcterms:W3CDTF">2026-10-13T07:45:42Z</dcterms:modified>
</cp:coreProperties>
</file>
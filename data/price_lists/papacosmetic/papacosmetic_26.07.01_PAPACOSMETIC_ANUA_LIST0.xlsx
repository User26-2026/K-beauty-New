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pa cos\files\Buyers\2026\Russia\Price list to send\AFTERCHECK\"/>
    </mc:Choice>
  </mc:AlternateContent>
  <xr:revisionPtr revIDLastSave="0" documentId="13_ncr:1_{640E67E4-D398-4523-BD8C-D12CB782B22B}" xr6:coauthVersionLast="47" xr6:coauthVersionMax="47" xr10:uidLastSave="{00000000-0000-0000-0000-000000000000}"/>
  <bookViews>
    <workbookView xWindow="-28920" yWindow="555" windowWidth="29040" windowHeight="15720" activeTab="1" xr2:uid="{9999AC61-8E5C-480F-B905-95BDE599E2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J6" i="1"/>
  <c r="I6" i="1"/>
  <c r="J91" i="2" l="1"/>
  <c r="K91" i="2" s="1"/>
  <c r="G91" i="2"/>
  <c r="J90" i="2"/>
  <c r="K90" i="2" s="1"/>
  <c r="G90" i="2"/>
  <c r="J89" i="2"/>
  <c r="K89" i="2" s="1"/>
  <c r="G89" i="2"/>
  <c r="K88" i="2"/>
  <c r="J88" i="2"/>
  <c r="G88" i="2"/>
  <c r="J87" i="2"/>
  <c r="K87" i="2" s="1"/>
  <c r="G87" i="2"/>
  <c r="J86" i="2"/>
  <c r="K86" i="2" s="1"/>
  <c r="G86" i="2"/>
  <c r="J85" i="2"/>
  <c r="K85" i="2" s="1"/>
  <c r="G85" i="2"/>
  <c r="J84" i="2"/>
  <c r="K84" i="2" s="1"/>
  <c r="G84" i="2"/>
  <c r="J83" i="2"/>
  <c r="K83" i="2" s="1"/>
  <c r="G83" i="2"/>
  <c r="J82" i="2"/>
  <c r="K82" i="2" s="1"/>
  <c r="G82" i="2"/>
  <c r="J81" i="2"/>
  <c r="K81" i="2" s="1"/>
  <c r="G81" i="2"/>
  <c r="K80" i="2"/>
  <c r="J80" i="2"/>
  <c r="G80" i="2"/>
  <c r="J79" i="2"/>
  <c r="K79" i="2" s="1"/>
  <c r="G79" i="2"/>
  <c r="K78" i="2"/>
  <c r="J78" i="2"/>
  <c r="G78" i="2"/>
  <c r="J77" i="2"/>
  <c r="K77" i="2" s="1"/>
  <c r="G77" i="2"/>
  <c r="J76" i="2"/>
  <c r="K76" i="2" s="1"/>
  <c r="G76" i="2"/>
  <c r="J75" i="2"/>
  <c r="K75" i="2" s="1"/>
  <c r="G75" i="2"/>
  <c r="J74" i="2"/>
  <c r="K74" i="2" s="1"/>
  <c r="G74" i="2"/>
  <c r="J73" i="2"/>
  <c r="K73" i="2" s="1"/>
  <c r="G73" i="2"/>
  <c r="J72" i="2"/>
  <c r="K72" i="2" s="1"/>
  <c r="G72" i="2"/>
  <c r="J71" i="2"/>
  <c r="K71" i="2" s="1"/>
  <c r="G71" i="2"/>
  <c r="J70" i="2"/>
  <c r="K70" i="2" s="1"/>
  <c r="G70" i="2"/>
  <c r="J69" i="2"/>
  <c r="K69" i="2" s="1"/>
  <c r="G69" i="2"/>
  <c r="K68" i="2"/>
  <c r="J68" i="2"/>
  <c r="G68" i="2"/>
  <c r="J67" i="2"/>
  <c r="K67" i="2" s="1"/>
  <c r="G67" i="2"/>
  <c r="J66" i="2"/>
  <c r="K66" i="2" s="1"/>
  <c r="G66" i="2"/>
  <c r="J65" i="2"/>
  <c r="K65" i="2" s="1"/>
  <c r="G65" i="2"/>
  <c r="J64" i="2"/>
  <c r="K64" i="2" s="1"/>
  <c r="G64" i="2"/>
  <c r="J63" i="2"/>
  <c r="K63" i="2" s="1"/>
  <c r="G63" i="2"/>
  <c r="J62" i="2"/>
  <c r="K62" i="2" s="1"/>
  <c r="G62" i="2"/>
  <c r="J61" i="2"/>
  <c r="K61" i="2" s="1"/>
  <c r="G61" i="2"/>
  <c r="J60" i="2"/>
  <c r="K60" i="2" s="1"/>
  <c r="G60" i="2"/>
  <c r="J59" i="2"/>
  <c r="K59" i="2" s="1"/>
  <c r="G59" i="2"/>
  <c r="K58" i="2"/>
  <c r="J58" i="2"/>
  <c r="G58" i="2"/>
  <c r="J57" i="2"/>
  <c r="K57" i="2" s="1"/>
  <c r="G57" i="2"/>
  <c r="J56" i="2"/>
  <c r="K56" i="2" s="1"/>
  <c r="G56" i="2"/>
  <c r="J55" i="2"/>
  <c r="K55" i="2" s="1"/>
  <c r="G55" i="2"/>
  <c r="J54" i="2"/>
  <c r="K54" i="2" s="1"/>
  <c r="G54" i="2"/>
  <c r="J53" i="2"/>
  <c r="K53" i="2" s="1"/>
  <c r="G53" i="2"/>
  <c r="J52" i="2"/>
  <c r="K52" i="2" s="1"/>
  <c r="G52" i="2"/>
  <c r="J51" i="2"/>
  <c r="K51" i="2" s="1"/>
  <c r="G51" i="2"/>
  <c r="J50" i="2"/>
  <c r="K50" i="2" s="1"/>
  <c r="G50" i="2"/>
  <c r="J49" i="2"/>
  <c r="K49" i="2" s="1"/>
  <c r="G49" i="2"/>
  <c r="K48" i="2"/>
  <c r="J48" i="2"/>
  <c r="G48" i="2"/>
  <c r="J47" i="2"/>
  <c r="K47" i="2" s="1"/>
  <c r="G47" i="2"/>
  <c r="J46" i="2"/>
  <c r="K46" i="2" s="1"/>
  <c r="G46" i="2"/>
  <c r="J45" i="2"/>
  <c r="K45" i="2" s="1"/>
  <c r="G45" i="2"/>
  <c r="J44" i="2"/>
  <c r="K44" i="2" s="1"/>
  <c r="G44" i="2"/>
  <c r="J43" i="2"/>
  <c r="K43" i="2" s="1"/>
  <c r="G43" i="2"/>
  <c r="J42" i="2"/>
  <c r="K42" i="2" s="1"/>
  <c r="G42" i="2"/>
  <c r="J41" i="2"/>
  <c r="K41" i="2" s="1"/>
  <c r="G41" i="2"/>
  <c r="J40" i="2"/>
  <c r="K40" i="2" s="1"/>
  <c r="G40" i="2"/>
  <c r="J39" i="2"/>
  <c r="K39" i="2" s="1"/>
  <c r="G39" i="2"/>
  <c r="K38" i="2"/>
  <c r="J38" i="2"/>
  <c r="G38" i="2"/>
  <c r="J37" i="2"/>
  <c r="K37" i="2" s="1"/>
  <c r="G37" i="2"/>
  <c r="J36" i="2"/>
  <c r="K36" i="2" s="1"/>
  <c r="G36" i="2"/>
  <c r="J35" i="2"/>
  <c r="K35" i="2" s="1"/>
  <c r="G35" i="2"/>
  <c r="J34" i="2"/>
  <c r="K34" i="2" s="1"/>
  <c r="G34" i="2"/>
  <c r="J33" i="2"/>
  <c r="K33" i="2" s="1"/>
  <c r="G33" i="2"/>
  <c r="J32" i="2"/>
  <c r="K32" i="2" s="1"/>
  <c r="G32" i="2"/>
  <c r="J31" i="2"/>
  <c r="K31" i="2" s="1"/>
  <c r="G31" i="2"/>
  <c r="J30" i="2"/>
  <c r="K30" i="2" s="1"/>
  <c r="G30" i="2"/>
  <c r="J29" i="2"/>
  <c r="K29" i="2" s="1"/>
  <c r="G29" i="2"/>
  <c r="K28" i="2"/>
  <c r="J28" i="2"/>
  <c r="G28" i="2"/>
  <c r="J27" i="2"/>
  <c r="K27" i="2" s="1"/>
  <c r="G27" i="2"/>
  <c r="J26" i="2"/>
  <c r="K26" i="2" s="1"/>
  <c r="G26" i="2"/>
  <c r="J25" i="2"/>
  <c r="K25" i="2" s="1"/>
  <c r="G25" i="2"/>
  <c r="J24" i="2"/>
  <c r="K24" i="2" s="1"/>
  <c r="G24" i="2"/>
  <c r="J23" i="2"/>
  <c r="K23" i="2" s="1"/>
  <c r="G23" i="2"/>
  <c r="J22" i="2"/>
  <c r="K22" i="2" s="1"/>
  <c r="G22" i="2"/>
  <c r="J21" i="2"/>
  <c r="K21" i="2" s="1"/>
  <c r="G21" i="2"/>
  <c r="J20" i="2"/>
  <c r="K20" i="2" s="1"/>
  <c r="G20" i="2"/>
  <c r="J19" i="2"/>
  <c r="K19" i="2" s="1"/>
  <c r="G19" i="2"/>
  <c r="K18" i="2"/>
  <c r="J18" i="2"/>
  <c r="G18" i="2"/>
  <c r="J17" i="2"/>
  <c r="K17" i="2" s="1"/>
  <c r="G17" i="2"/>
  <c r="J16" i="2"/>
  <c r="K16" i="2" s="1"/>
  <c r="G16" i="2"/>
  <c r="J15" i="2"/>
  <c r="K15" i="2" s="1"/>
  <c r="G15" i="2"/>
  <c r="J14" i="2"/>
  <c r="K14" i="2" s="1"/>
  <c r="G14" i="2"/>
  <c r="J13" i="2"/>
  <c r="K13" i="2" s="1"/>
  <c r="G13" i="2"/>
  <c r="J12" i="2"/>
  <c r="K12" i="2" s="1"/>
  <c r="G12" i="2"/>
  <c r="J11" i="2"/>
  <c r="K11" i="2" s="1"/>
  <c r="G11" i="2"/>
  <c r="J10" i="2"/>
  <c r="K10" i="2" s="1"/>
  <c r="G10" i="2"/>
  <c r="J9" i="2"/>
  <c r="K9" i="2" s="1"/>
  <c r="G9" i="2"/>
  <c r="K8" i="2"/>
  <c r="J8" i="2"/>
  <c r="G8" i="2"/>
  <c r="J7" i="2"/>
  <c r="K7" i="2" s="1"/>
  <c r="K6" i="2" s="1"/>
  <c r="G7" i="2"/>
  <c r="J6" i="2"/>
  <c r="I6" i="2"/>
  <c r="J49" i="1" l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J8" i="1"/>
  <c r="K8" i="1" s="1"/>
  <c r="J9" i="1"/>
  <c r="K9" i="1"/>
  <c r="J10" i="1"/>
  <c r="K10" i="1"/>
  <c r="J11" i="1"/>
  <c r="K11" i="1"/>
  <c r="J12" i="1"/>
  <c r="K12" i="1"/>
  <c r="J13" i="1"/>
  <c r="K13" i="1"/>
  <c r="J14" i="1"/>
  <c r="K14" i="1" s="1"/>
  <c r="J15" i="1"/>
  <c r="K15" i="1"/>
  <c r="J16" i="1"/>
  <c r="K16" i="1" s="1"/>
  <c r="J17" i="1"/>
  <c r="K17" i="1"/>
  <c r="J18" i="1"/>
  <c r="K18" i="1" s="1"/>
  <c r="J19" i="1"/>
  <c r="K19" i="1" s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 s="1"/>
  <c r="J27" i="1"/>
  <c r="K27" i="1"/>
  <c r="J28" i="1"/>
  <c r="K28" i="1"/>
  <c r="J29" i="1"/>
  <c r="K29" i="1" s="1"/>
  <c r="J30" i="1"/>
  <c r="K30" i="1" s="1"/>
  <c r="J31" i="1"/>
  <c r="K31" i="1" s="1"/>
  <c r="J32" i="1"/>
  <c r="K32" i="1"/>
  <c r="J33" i="1"/>
  <c r="K33" i="1"/>
  <c r="J34" i="1"/>
  <c r="K34" i="1" s="1"/>
  <c r="J35" i="1"/>
  <c r="K35" i="1" s="1"/>
  <c r="J36" i="1"/>
  <c r="K36" i="1"/>
  <c r="J37" i="1"/>
  <c r="K37" i="1"/>
  <c r="J38" i="1"/>
  <c r="K38" i="1"/>
  <c r="J39" i="1"/>
  <c r="K39" i="1" s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 s="1"/>
  <c r="J48" i="1"/>
  <c r="K48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J7" i="1" l="1"/>
  <c r="G7" i="1"/>
  <c r="K7" i="1" l="1"/>
</calcChain>
</file>

<file path=xl/sharedStrings.xml><?xml version="1.0" encoding="utf-8"?>
<sst xmlns="http://schemas.openxmlformats.org/spreadsheetml/2006/main" count="369" uniqueCount="189">
  <si>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</si>
  <si>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</si>
  <si>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</si>
  <si>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</si>
  <si>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</si>
  <si>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</si>
  <si>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</si>
  <si>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</si>
  <si>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소비자가
(KRW)</t>
    <phoneticPr fontId="5" type="noConversion"/>
  </si>
  <si>
    <t xml:space="preserve"> 공급가
(KRW)</t>
    <phoneticPr fontId="5" type="noConversion"/>
  </si>
  <si>
    <t xml:space="preserve"> 공급율
(KRW)</t>
    <phoneticPr fontId="5" type="noConversion"/>
  </si>
  <si>
    <t>Product Name(KR)</t>
    <phoneticPr fontId="5" type="noConversion"/>
  </si>
  <si>
    <t>아누아 어성초 77 수딩 토너 150ml</t>
  </si>
  <si>
    <t>ANUA HEARTLEAF 77 SOOTHING TONER 150ml</t>
  </si>
  <si>
    <t>아누아 어성초 77% 수딩토너 250ml</t>
  </si>
  <si>
    <t>ANUA HEARTLEAF 77% SOOTHING TONER 250ml</t>
  </si>
  <si>
    <t>아누아 어성초 77% 수딩토너 500ml</t>
  </si>
  <si>
    <t>ANUA HEARTLEAF 77% SOOTHING TONER 500ml</t>
  </si>
  <si>
    <t xml:space="preserve">아누아 어성초 포어 컨트롤 클렌징오일 마일드 </t>
  </si>
  <si>
    <t>ANUA HEARLEAF PORE CONTROL CLEANSING OIL MILD 200ml</t>
  </si>
  <si>
    <t xml:space="preserve"> 어성초 포어 컨트롤 클렌징오일 200ml</t>
  </si>
  <si>
    <t>ANUA HEARLEAF PORE CONTROL CLEANSING OIL 200ml</t>
  </si>
  <si>
    <t>아누아 어성초 쿼세티놀 모공 딥 클렌징폼 150mL</t>
  </si>
  <si>
    <t>ANUA HEARTLEAF QUERCETINOL PORE DEEP CLEANSING FOAM 150ml</t>
  </si>
  <si>
    <t>아누아 나이아신아마이드 10% 트라넥사믹애씨드 4% 다크스팟코렉팅세럼 30ml</t>
  </si>
  <si>
    <t>ANUA NIACINAMIDE 10% + TXA 4% SERUM 30ml</t>
  </si>
  <si>
    <t>아누아 피디알엔 히알루론산 캡슐 100 세럼 30ml</t>
  </si>
  <si>
    <t>PDRN HYALURONIC ACID CAPSULE 100 SERUM 30ML</t>
  </si>
  <si>
    <t>아누아 아젤라익 히알루론 수딩 세럼 30ml</t>
  </si>
  <si>
    <t>AZELAIC HYALURON SOOTHING SERUM 30ML</t>
  </si>
  <si>
    <t>아누아 피디알엔 히알루론산 수분 클렌징폼 150ml</t>
  </si>
  <si>
    <t xml:space="preserve">ANUA PDRN HYALURONIC ACID MOISTURIZING CLEANSING FOAM </t>
  </si>
  <si>
    <t>아누아 라이스70 글로우 밀키 토너</t>
  </si>
  <si>
    <t>ANUA RICE 70 GLOW MILKY TONER 250ml</t>
  </si>
  <si>
    <t>아누아 라이스 세라마이드 하이드레이팅 베리어 세럼</t>
  </si>
  <si>
    <t>ANUA 7 RICE CERAMIDE HYDRATING BARRIER SERUM 50ml</t>
  </si>
  <si>
    <t>아누아 라이스 브라이트닝 클렌징 파우더</t>
  </si>
  <si>
    <t>ANUA RICE ENZYME BRIGHTENING CLEANSING POWDER 40g</t>
  </si>
  <si>
    <t>아누아 라이스70 인텐시브 모이스처 밀크</t>
  </si>
  <si>
    <t>ANUA RICE 70 INTENSIVE MOISTURIZING MILK</t>
  </si>
  <si>
    <t>아누아 어성초 센텔라 레드 스팟 크림 30g</t>
  </si>
  <si>
    <t>HEARTLEAF CENTELLA RED SPOT CREAM 30G</t>
  </si>
  <si>
    <t>아누아 트리플애씨드 스팟 케어 마이크로닷 패치 12EA</t>
  </si>
  <si>
    <t>TRIPLE ACID SPOT CARE MICRODART PATCH 12EA</t>
  </si>
  <si>
    <t>아누아 어성초77클리어패드160ml (70매입)</t>
  </si>
  <si>
    <t>ANUA HEARTLEAF 77 CLEARPAD 160ml (70EA)</t>
  </si>
  <si>
    <t>아누아 3 세라마이드 판테놀 모이스처 베리어 크림</t>
  </si>
  <si>
    <t>ANUA 3 CERAMIDE PANTHENOL MOISTURE BARRIER CREAM 100ml</t>
  </si>
  <si>
    <t>아누아 울트라 스팟커버패치</t>
  </si>
  <si>
    <t>ANUA ULTRA THIN SPOT COVER PATCH 75EA</t>
  </si>
  <si>
    <t>아누아 8 히알루론산 젠틀 포밍클렌저</t>
  </si>
  <si>
    <t>ANUA 8 HYALURONIC ACID HYDRATING GENTLE FOAMING CLEANSER 150ml</t>
  </si>
  <si>
    <t>아누아 8 히알루론산 모이스처라이징 젠틀 젤클렌저</t>
  </si>
  <si>
    <t>ANUA 8 HYALURONIC ACID MOISTURIZING GENTLE GEL CLEANSER 150ml</t>
  </si>
  <si>
    <t>아누아 나이아신마이드 TXA 브라이트닝 부스터 토너 250ml</t>
  </si>
  <si>
    <t xml:space="preserve">ANUA NIACINAMIDE TXA BRIGHTENING BOOSTER TONER </t>
  </si>
  <si>
    <t>아누아 복숭아 70 나이아신 세럼 30ML</t>
  </si>
  <si>
    <t>ANUA PEACH 70 NIACIN SERUM 30ml</t>
  </si>
  <si>
    <t>아누아 복숭아77나이아신에센스토너_250ml</t>
  </si>
  <si>
    <t>ANUA PEACH 77% NIACIN  ESSENCE TONER 250ml</t>
  </si>
  <si>
    <t>아누아 복숭아77나이아신컨디셔닝밀크_150ml</t>
  </si>
  <si>
    <t>ANUA PEACH 77% NIACIN  CONDITIONING MILK 150ml</t>
  </si>
  <si>
    <t>아누아 복숭아 77 나이아신 인리치드 크림 50ml</t>
  </si>
  <si>
    <t>ANUA PEACH 77% NIACIN ENRICHED CREAM 50ml</t>
  </si>
  <si>
    <t>아누아 바하 2% 젠틀 익스폴리에이팅 토너 150ml</t>
  </si>
  <si>
    <t>ANUA BHA 2% GENTLE EXFOLIATING TONER</t>
  </si>
  <si>
    <t>아누아 나노 레티놀 0.3 나이아신 리뉴잉 세럼 30ml</t>
  </si>
  <si>
    <t>ANUA RETINOL 0.3% + NIACIN RENEWING SERUM 30ml</t>
  </si>
  <si>
    <t>아누아 어성초 70 인텐스 카밍 크림 50ml</t>
  </si>
  <si>
    <t>ANUA HEARTLEAF 70% INTENSE CALMING CREAM 50ml</t>
  </si>
  <si>
    <t>아누아 어성초 석시닉 모이스처 클렌징폼 150ml</t>
  </si>
  <si>
    <t>ANUA HEARTLEAF SUCCINIC MOISTURE CLEANSING FOAM 150ml</t>
  </si>
  <si>
    <t>아누아 어성초 80 수분 진정 앰플 30ml</t>
  </si>
  <si>
    <t>ANUA HEARTLEAF 80% SOOTHING AMPOULE 30ml</t>
  </si>
  <si>
    <t>아누아 어성초 70 데일리로션 200ml</t>
  </si>
  <si>
    <t xml:space="preserve">ANUA HEARTLEAF 70% DAILY LOTION 200ml </t>
  </si>
  <si>
    <t>아누아 어성초 라하 모이스처 필링젤 120ml</t>
  </si>
  <si>
    <t>ANUA HEARTLEAF LHA MOISTURE PEELING GEL 120ml</t>
  </si>
  <si>
    <t>아누아 어성초 실키 모이스처 선크림 50ml</t>
  </si>
  <si>
    <t>ANUA HEARLEAF SILKY MOISTURE SUNCREAM 50ml</t>
  </si>
  <si>
    <t>아누아 자작나무 70 수분 부스팅 토너 250ml</t>
  </si>
  <si>
    <t>ANUA BIRCH MOISTURE BOOSTING TONER 250ml</t>
  </si>
  <si>
    <t>아누아 자작나무 70 수분 부스팅 세럼 30ml V2</t>
  </si>
  <si>
    <t>ANUA BIRCH MOISTURE BOOSTING SERUM 30ml</t>
  </si>
  <si>
    <t>아누아 자작나무 70 수분 부스팅 크림 50mL V2</t>
  </si>
  <si>
    <t>ANUA BIRCH MOISTURE BOOSTING CREAM 50ml</t>
  </si>
  <si>
    <t>아누아 자작나무 수분 부스팅 패드 160ml (70매입) V3</t>
  </si>
  <si>
    <t>ANUA BIRCH MOISTURE BOOSTING PAD 160ml (70EA)</t>
  </si>
  <si>
    <t>아누아 에어리무기자차선크림50ml_V2</t>
  </si>
  <si>
    <t>ANUA AIRY SUN CREAM</t>
  </si>
  <si>
    <t>아누아 그린레몬 비타씨 잡티세럼 20ml</t>
  </si>
  <si>
    <t>ANUA GREEN LEMON VITAC SERUM 20g</t>
  </si>
  <si>
    <t>아누아 복숭아 77 나이아신 에센스 토너 150ml</t>
  </si>
  <si>
    <t xml:space="preserve">ANUA PEACH 77 NIACIN  ESSENCE TONER </t>
  </si>
  <si>
    <t>아누아 어성초 87 약산성 딥 클렌징 워터 500g</t>
  </si>
  <si>
    <t>ANUA HEARTLEAF 87 LOW PH DEEP CLEANSING WATER</t>
  </si>
  <si>
    <t>아누아 촉촉 스킨팩 화장솜 (60매입)</t>
  </si>
  <si>
    <t>ANUA COTTON PAD FOR TONER</t>
  </si>
  <si>
    <t>아누아 수분 진정 앰플 마스크 27ml (10매입) V2 P</t>
  </si>
  <si>
    <t>ANUA HEARTLEAF 80% AMPOULE MASK 27ml (10PCS)</t>
  </si>
  <si>
    <t>아누아 진정 마스크 25ml (10매입)</t>
  </si>
  <si>
    <t>ANUA HEARTLEAF 77% SOOTHING SHEET MASK 25ml (10PCS)</t>
  </si>
  <si>
    <t>아누아 크림마스크 나이트 솔루션 25ml (10매입)</t>
  </si>
  <si>
    <t>ANUA HEARTLEAF CREAM MASK NIGHT SOLUTION 25ml (10PCS)</t>
  </si>
  <si>
    <t>아누아 자작나무 수분 마스크 25ml (10매입)</t>
  </si>
  <si>
    <t>ANUA BIRCH MOISTURE SHEET MASK 25ml (10PCS)</t>
  </si>
  <si>
    <t>아누아 그린 레몬 비타씨 잡티 세럼 마스크 25ml (10매입)</t>
  </si>
  <si>
    <t>ANUA GREEN LEMON VITA C BLEMISH SERUM MASK 25ml (10PCS)</t>
  </si>
  <si>
    <t>아누아 복숭아나이아신세럼마스크_25g*10매입</t>
  </si>
  <si>
    <t>ANUA PEACH NIACIN SERUM MASK (10PCS)</t>
  </si>
  <si>
    <t>아누아 라이스 70 글로우 밀키 토너 150ml</t>
  </si>
  <si>
    <t xml:space="preserve">ANUA RICE 70 GLOW MILKY TONER </t>
  </si>
  <si>
    <t>아누아 어성초 70 수딩 콜라겐 마스크 38g (1ea*4set)</t>
  </si>
  <si>
    <t>ANUA HEARTLEAF 70 SOOTHING COLLAGEN MASK 38G (1EA)*4SET</t>
  </si>
  <si>
    <t>아누아 복숭아 70 나이아신 브라이트닝 콜라겐 마스크 38g (1ea*4set)</t>
  </si>
  <si>
    <t>ANUA PEACH 70 NIACIN BRIGHTENING COLLAGEN MASK 38G (1EA)*4SET</t>
  </si>
  <si>
    <t>아누아 라이스 70 글로우 콜라겐 마스크 38g (1ea*4set)</t>
  </si>
  <si>
    <t>ANUA RICE 70 GLOW COLLAGEN MASK 38G (1EA)*4SET</t>
  </si>
  <si>
    <t>어성초 80 수분 진정 앰플 마스크 27ml_(1PC)</t>
  </si>
  <si>
    <t>ANUA HEARTLEAF 80% AMPOULE MASK 27ml_(1PC)</t>
  </si>
  <si>
    <t>어성초 77 진정 마스크 25ml_GLB (1PC)</t>
  </si>
  <si>
    <t>ANUA HEARTLEAF 77% SOOTHING SHEET MASK 25ml_GLB (1PC)</t>
  </si>
  <si>
    <t>어성초 크림마스크 나이트 솔루션 (1PC)</t>
  </si>
  <si>
    <t>ANUA HEARTLEAF CREAM MASK NIGHT SOLUTION 25ml (1PC)</t>
  </si>
  <si>
    <t>자작나무 수분 마스크 25ml (1PC)</t>
  </si>
  <si>
    <t>ANUA BIRCH MOISTURE SHEET MASK 25ml (1PC)</t>
  </si>
  <si>
    <t>그린레몬 비타씨 잡티 세럼 마스크 25ml (1PC)</t>
  </si>
  <si>
    <t>ANUA VITAMIN C BLEMISH SERUM MASK 25ml (1PC)</t>
  </si>
  <si>
    <t>복숭아 나이아신아마이드 세럼 마스크 25g (1PC)</t>
  </si>
  <si>
    <t>ANUA PEACH NIACIN SERUM MASK 25g (1PC)</t>
  </si>
  <si>
    <t>PDRN 100 히알루론산 글로우 패드 180ml (60EA)</t>
  </si>
  <si>
    <t>ANUA PDRN 100 HYALURONIC ACID GLOW PAD 180ml (60EA)</t>
  </si>
  <si>
    <t>나이아신아마이드 5 TXA 브라이트닝 패드 210ml (60EA)</t>
  </si>
  <si>
    <t>ANUA NIACINAMIDE 5 TXA BRIGHTENING PAD 210ml (60EA)</t>
  </si>
  <si>
    <t>아누아 아젤라익 10 히알루론 레드니스 수딩 패드 230ml (90EA)</t>
  </si>
  <si>
    <t>ANUA AZELAIC 10 HYALURON REDNESS SOOTHING PAD 230ml (90EA)</t>
  </si>
  <si>
    <t>PDRN 히알루론산 100 수분 크림 60ml</t>
  </si>
  <si>
    <t>ANUA PDRN HYALURONIC ACID 100 MOISTURE CREAM 60ml</t>
  </si>
  <si>
    <t>아누아 제로 캐스트 투명 수분 선크림 50ml</t>
  </si>
  <si>
    <t>ANUA ZERO-CAST MOISTURIZING FINISH SUNSCREEN 50ml</t>
  </si>
  <si>
    <t>PDRN 히알루론산 캡슐 100 세럼 마스크 23ml (1PC)</t>
  </si>
  <si>
    <t>ANUA PDRN HYALURONIC ACID CAPSULE 100 SERUM MASK 23ml (1PC)</t>
  </si>
  <si>
    <t>PDRN 히알루론산 캡슐 100 세럼 마스크 (10PCS)</t>
  </si>
  <si>
    <t>ANUA PDRN HYALURONIC ACID CAPSULE 100 SERUM MASK (10PCS)</t>
  </si>
  <si>
    <t>아누아 PDRN 히알루론산 부스터 토너</t>
  </si>
  <si>
    <t>ANUA PDRN HYALURONIC ACID BOOSTER TONER 250ml</t>
  </si>
  <si>
    <t>아누아 아젤라익애씨드 3 시카 스킨 클래리파잉 토너 250ml</t>
  </si>
  <si>
    <t>ANUA AZELAIC ACID 3 CICA SKIN CLARIFYING TONER 250ml</t>
  </si>
  <si>
    <t>아누아 복숭아 나이아신 스프레드 클렌징 폼 150ml</t>
  </si>
  <si>
    <t>ANUA PEACH NIACIN SPREAD CLEANSING FOAM 150ml</t>
  </si>
  <si>
    <t>아누아 더블 클렌징 듀오</t>
  </si>
  <si>
    <t>ANUA TRAVEL SIZE DOUBLE CLEANSING DUO</t>
  </si>
  <si>
    <t>아누아 아젤라익애씨드 시카 스킨 수딩 모이스처라이저 100ml</t>
  </si>
  <si>
    <t>ANUA AZELAIC ACID CICA SKIN SOOTHING MOISTURIZER 100ml</t>
  </si>
  <si>
    <t>PDRN 히알루론산 수분 립 세럼</t>
  </si>
  <si>
    <t>ANUA PDRN LIP SERUM 10ml</t>
  </si>
  <si>
    <t>PDRN 히알루론산 수분 캡슐 미스트 100ml</t>
  </si>
  <si>
    <t>ANUA PDRN HYALURONIC ACID HYDRATING CAPSULE MIST 100ml</t>
  </si>
  <si>
    <t>아누아 8 히알루론산 카테킨 카밍 패드</t>
  </si>
  <si>
    <t>ANUA 8 HYALURONIC ACID CATECHIN CALMING PAD 185ml (110EA)</t>
  </si>
  <si>
    <t>PDRN 콜라겐 멜팅 팔자&amp;앞볼 패치 4EA</t>
  </si>
  <si>
    <t>ANUA PDRN COLLAGEN MELTING PATCH FOR GLASS SKIN (4EA)</t>
  </si>
  <si>
    <t>PDRN 콜라겐 멜팅 넥 패치 4EA</t>
  </si>
  <si>
    <t>ANUA PDRN COLLAGEN MELTING PATCH FOR NECK (4EA)</t>
  </si>
  <si>
    <t>어성초 모공 클레이 팩 100ml</t>
  </si>
  <si>
    <t>ANUA HEARTLEAF PORE CLAY PACK 100ml</t>
  </si>
  <si>
    <t>아누아 어성초 77% 수딩토너 40ml</t>
  </si>
  <si>
    <t>ANUA HEARTLEAF SOOTHING TONER 40ML</t>
  </si>
  <si>
    <t>아누아 어성초 77% 클렌징 오일 20ml</t>
  </si>
  <si>
    <t>ANUA HEARTLEAF CLEANSING OIL 20ML</t>
  </si>
  <si>
    <t>아누아 어성초 수딩 앰플 10ml</t>
  </si>
  <si>
    <t>ANUA HEARTLEAF SOOTHING AMPOULE 10ML</t>
  </si>
  <si>
    <t>아누아 어성초 데일리 로션 20ml</t>
  </si>
  <si>
    <t>ANUA HEARTLEAF DAILY LOTION 20ML</t>
  </si>
  <si>
    <t>아누아 어성초 카밍 크림 10ml</t>
  </si>
  <si>
    <t>ANUA HEARTLEAF CALMING CREAM 10ML</t>
  </si>
  <si>
    <t>아누아 복숭아 70 나이아신 세럼 10ML</t>
  </si>
  <si>
    <t>ANUA PEACH NIACIN SERUM 10ML</t>
  </si>
  <si>
    <t>아누아 어성초 석시닉 모이스처 클렌징폼 25ml</t>
  </si>
  <si>
    <t>ANUA HEARTLEAF SUCCINIC CLEANSING FOAM 25ML</t>
  </si>
  <si>
    <t>어성초 쿼세티놀 포어 딥 클렌징 폼 25ml</t>
  </si>
  <si>
    <t>ANUA HEARTLEAF QUERCETINOL PORE DEEP CLEANSING FOAM 25ml</t>
  </si>
  <si>
    <t>MOA : \100,000,000</t>
    <phoneticPr fontId="2" type="noConversion"/>
  </si>
  <si>
    <t>PAPACOSMETIC ANUA PRICE LIST</t>
    <phoneticPr fontId="2" type="noConversion"/>
  </si>
  <si>
    <t>MSRP
(KRW)</t>
  </si>
  <si>
    <t>Supply Price
(KRW)</t>
  </si>
  <si>
    <t>Supply Rate</t>
  </si>
  <si>
    <t>MOA : \200,000,000</t>
    <phoneticPr fontId="2" type="noConversion"/>
  </si>
  <si>
    <t>Lead Time 2 months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</si>
</sst>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[$₩-412]* #,##0_-;\-[$₩-412]* #,##0_-;_-[$₩-412]* &quot;-&quot;??_-;_-@_-"/>
    <numFmt numFmtId="177" formatCode="#,##0_ "/>
    <numFmt numFmtId="178" formatCode="_-* #,##0_-;\-* #,##0_-;_-* &quot;-&quot;_-;_-@_-"/>
    <numFmt numFmtId="179" formatCode="&quot;₩&quot;#,##0_);[Red]\(&quot;₩&quot;#,##0\)"/>
    <numFmt numFmtId="180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176" fontId="1" fillId="0" borderId="0">
      <alignment vertical="center"/>
    </xf>
  </cellStyleXfs>
  <cellXfs count="2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178" fontId="7" fillId="4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0" fontId="12" fillId="6" borderId="0" xfId="0" quotePrefix="1" applyFont="1" applyFill="1" applyAlignment="1">
      <alignment horizontal="center" vertical="center"/>
    </xf>
  </cellXfs>
  <cellStyles count="3">
    <cellStyle name="20% - Accent6" xfId="1" builtinId="50"/>
    <cellStyle name="Normal" xfId="0" builtinId="0"/>
    <cellStyle name="표준 4" xfId="2" xr:uid="{25DFA389-988E-41DD-9694-C637F46D866C}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K458"/>
  <sheetViews>
    <sheetView topLeftCell="A82" zoomScale="85" zoomScaleNormal="85" workbookViewId="0">
      <selection activeCell="F103" sqref="F103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50.625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1" ht="41.25" customHeight="1" x14ac:dyDescent="0.3">
      <c r="A1" s="22" t="s">
        <v>183</v>
      </c>
      <c r="B1" s="22"/>
      <c r="C1" s="22"/>
      <c r="D1" s="19" t="s">
        <v>182</v>
      </c>
    </row>
    <row r="2" spans="1:11" ht="20.25" x14ac:dyDescent="0.3">
      <c r="D2" s="19" t="s">
        <v>188</v>
      </c>
    </row>
    <row r="4" spans="1:1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7" t="s">
        <v>10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SUM(I7:I91)</f>
        <v>0</v>
      </c>
      <c r="J6" s="4">
        <f>SUM(J7:J91)</f>
        <v>0</v>
      </c>
      <c r="K6" s="5">
        <f>SUM(K7:K91)</f>
        <v>0</v>
      </c>
    </row>
    <row r="7" spans="1:11" ht="30" customHeight="1" x14ac:dyDescent="0.3">
      <c r="A7" s="6">
        <v>1</v>
      </c>
      <c r="B7" s="7">
        <v>8800307370859</v>
      </c>
      <c r="C7" s="6" t="s">
        <v>12</v>
      </c>
      <c r="D7" s="8" t="s">
        <v>13</v>
      </c>
      <c r="E7" s="10">
        <v>17500</v>
      </c>
      <c r="F7" s="10">
        <v>9100</v>
      </c>
      <c r="G7" s="20">
        <f>F7/E7</f>
        <v>0.52</v>
      </c>
      <c r="H7" s="9">
        <v>50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>
        <v>8809640730092</v>
      </c>
      <c r="C8" s="6" t="s">
        <v>14</v>
      </c>
      <c r="D8" s="8" t="s">
        <v>15</v>
      </c>
      <c r="E8" s="10">
        <v>25000</v>
      </c>
      <c r="F8" s="10">
        <v>13000</v>
      </c>
      <c r="G8" s="20">
        <f t="shared" ref="G8:G71" si="0">F8/E8</f>
        <v>0.52</v>
      </c>
      <c r="H8" s="9">
        <v>20</v>
      </c>
      <c r="I8" s="11"/>
      <c r="J8" s="12">
        <f t="shared" ref="J8:J71" si="1">I8*H8</f>
        <v>0</v>
      </c>
      <c r="K8" s="13">
        <f t="shared" ref="K8:K71" si="2">IF($F8&gt;0,$J8*$F8,"")</f>
        <v>0</v>
      </c>
    </row>
    <row r="9" spans="1:11" ht="30" customHeight="1" x14ac:dyDescent="0.3">
      <c r="A9" s="6">
        <v>3</v>
      </c>
      <c r="B9" s="7">
        <v>8809640730221</v>
      </c>
      <c r="C9" s="6" t="s">
        <v>16</v>
      </c>
      <c r="D9" s="8" t="s">
        <v>17</v>
      </c>
      <c r="E9" s="10">
        <v>45000</v>
      </c>
      <c r="F9" s="10">
        <v>23400</v>
      </c>
      <c r="G9" s="20">
        <f t="shared" si="0"/>
        <v>0.52</v>
      </c>
      <c r="H9" s="9">
        <v>20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>
        <v>8809640735028</v>
      </c>
      <c r="C10" s="6" t="s">
        <v>18</v>
      </c>
      <c r="D10" s="8" t="s">
        <v>19</v>
      </c>
      <c r="E10" s="10">
        <v>24000</v>
      </c>
      <c r="F10" s="10">
        <v>12480</v>
      </c>
      <c r="G10" s="20">
        <f t="shared" si="0"/>
        <v>0.52</v>
      </c>
      <c r="H10" s="9">
        <v>48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>
        <v>8809640732829</v>
      </c>
      <c r="C11" s="6" t="s">
        <v>20</v>
      </c>
      <c r="D11" s="8" t="s">
        <v>21</v>
      </c>
      <c r="E11" s="10">
        <v>22000</v>
      </c>
      <c r="F11" s="10">
        <v>11440</v>
      </c>
      <c r="G11" s="20">
        <f t="shared" si="0"/>
        <v>0.52</v>
      </c>
      <c r="H11" s="9">
        <v>48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>
        <v>8809640734427</v>
      </c>
      <c r="C12" s="6" t="s">
        <v>22</v>
      </c>
      <c r="D12" s="8" t="s">
        <v>23</v>
      </c>
      <c r="E12" s="10">
        <v>14000</v>
      </c>
      <c r="F12" s="10">
        <v>7280</v>
      </c>
      <c r="G12" s="20">
        <f t="shared" si="0"/>
        <v>0.52</v>
      </c>
      <c r="H12" s="9">
        <v>40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8809640734526</v>
      </c>
      <c r="C13" s="6" t="s">
        <v>24</v>
      </c>
      <c r="D13" s="8" t="s">
        <v>25</v>
      </c>
      <c r="E13" s="10">
        <v>29000</v>
      </c>
      <c r="F13" s="10">
        <v>15080</v>
      </c>
      <c r="G13" s="20">
        <f t="shared" si="0"/>
        <v>0.52</v>
      </c>
      <c r="H13" s="9">
        <v>54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8809640736667</v>
      </c>
      <c r="C14" s="6" t="s">
        <v>26</v>
      </c>
      <c r="D14" s="8" t="s">
        <v>27</v>
      </c>
      <c r="E14" s="10">
        <v>39000</v>
      </c>
      <c r="F14" s="10">
        <v>20280</v>
      </c>
      <c r="G14" s="20">
        <f t="shared" si="0"/>
        <v>0.52</v>
      </c>
      <c r="H14" s="9">
        <v>54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8809640737190</v>
      </c>
      <c r="C15" s="6" t="s">
        <v>28</v>
      </c>
      <c r="D15" s="8" t="s">
        <v>29</v>
      </c>
      <c r="E15" s="10">
        <v>32000</v>
      </c>
      <c r="F15" s="10">
        <v>16640</v>
      </c>
      <c r="G15" s="20">
        <f t="shared" si="0"/>
        <v>0.52</v>
      </c>
      <c r="H15" s="9">
        <v>54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8800307372983</v>
      </c>
      <c r="C16" s="6" t="s">
        <v>30</v>
      </c>
      <c r="D16" s="8" t="s">
        <v>31</v>
      </c>
      <c r="E16" s="10">
        <v>16000</v>
      </c>
      <c r="F16" s="10">
        <v>8320</v>
      </c>
      <c r="G16" s="20">
        <f t="shared" si="0"/>
        <v>0.52</v>
      </c>
      <c r="H16" s="9">
        <v>40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8809640735455</v>
      </c>
      <c r="C17" s="6" t="s">
        <v>32</v>
      </c>
      <c r="D17" s="8" t="s">
        <v>33</v>
      </c>
      <c r="E17" s="10">
        <v>25000</v>
      </c>
      <c r="F17" s="10">
        <v>13000</v>
      </c>
      <c r="G17" s="20">
        <f t="shared" si="0"/>
        <v>0.52</v>
      </c>
      <c r="H17" s="9">
        <v>20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8809640734861</v>
      </c>
      <c r="C18" s="6" t="s">
        <v>34</v>
      </c>
      <c r="D18" s="8" t="s">
        <v>35</v>
      </c>
      <c r="E18" s="10">
        <v>29000</v>
      </c>
      <c r="F18" s="10">
        <v>15080</v>
      </c>
      <c r="G18" s="20">
        <f t="shared" si="0"/>
        <v>0.52</v>
      </c>
      <c r="H18" s="9">
        <v>54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8809640735462</v>
      </c>
      <c r="C19" s="6" t="s">
        <v>36</v>
      </c>
      <c r="D19" s="8" t="s">
        <v>37</v>
      </c>
      <c r="E19" s="10">
        <v>25000</v>
      </c>
      <c r="F19" s="10">
        <v>13000</v>
      </c>
      <c r="G19" s="20">
        <f t="shared" si="0"/>
        <v>0.52</v>
      </c>
      <c r="H19" s="9">
        <v>40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8809640735608</v>
      </c>
      <c r="C20" s="6" t="s">
        <v>38</v>
      </c>
      <c r="D20" s="8" t="s">
        <v>39</v>
      </c>
      <c r="E20" s="10">
        <v>27000</v>
      </c>
      <c r="F20" s="10">
        <v>14040</v>
      </c>
      <c r="G20" s="20">
        <f t="shared" si="0"/>
        <v>0.52</v>
      </c>
      <c r="H20" s="9">
        <v>40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8809640738197</v>
      </c>
      <c r="C21" s="6" t="s">
        <v>40</v>
      </c>
      <c r="D21" s="8" t="s">
        <v>41</v>
      </c>
      <c r="E21" s="10">
        <v>19800</v>
      </c>
      <c r="F21" s="10">
        <v>10296</v>
      </c>
      <c r="G21" s="20">
        <f t="shared" si="0"/>
        <v>0.52</v>
      </c>
      <c r="H21" s="9">
        <v>144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8809640736797</v>
      </c>
      <c r="C22" s="6" t="s">
        <v>42</v>
      </c>
      <c r="D22" s="8" t="s">
        <v>43</v>
      </c>
      <c r="E22" s="10">
        <v>17000</v>
      </c>
      <c r="F22" s="10">
        <v>8840</v>
      </c>
      <c r="G22" s="20">
        <f t="shared" si="0"/>
        <v>0.52</v>
      </c>
      <c r="H22" s="9">
        <v>144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8809640730559</v>
      </c>
      <c r="C23" s="6" t="s">
        <v>44</v>
      </c>
      <c r="D23" s="8" t="s">
        <v>45</v>
      </c>
      <c r="E23" s="10">
        <v>28000</v>
      </c>
      <c r="F23" s="10">
        <v>14560</v>
      </c>
      <c r="G23" s="20">
        <f t="shared" si="0"/>
        <v>0.52</v>
      </c>
      <c r="H23" s="9">
        <v>40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8809640737251</v>
      </c>
      <c r="C24" s="6" t="s">
        <v>46</v>
      </c>
      <c r="D24" s="8" t="s">
        <v>47</v>
      </c>
      <c r="E24" s="10">
        <v>36000</v>
      </c>
      <c r="F24" s="10">
        <v>18720</v>
      </c>
      <c r="G24" s="20">
        <f t="shared" si="0"/>
        <v>0.52</v>
      </c>
      <c r="H24" s="9">
        <v>40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>
        <v>8809640736650</v>
      </c>
      <c r="C25" s="6" t="s">
        <v>48</v>
      </c>
      <c r="D25" s="8" t="s">
        <v>49</v>
      </c>
      <c r="E25" s="10">
        <v>17000</v>
      </c>
      <c r="F25" s="10">
        <v>8840</v>
      </c>
      <c r="G25" s="20">
        <f t="shared" si="0"/>
        <v>0.52</v>
      </c>
      <c r="H25" s="9">
        <v>150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8809640735561</v>
      </c>
      <c r="C26" s="6" t="s">
        <v>50</v>
      </c>
      <c r="D26" s="8" t="s">
        <v>51</v>
      </c>
      <c r="E26" s="10">
        <v>14000</v>
      </c>
      <c r="F26" s="10">
        <v>7280</v>
      </c>
      <c r="G26" s="20">
        <f t="shared" si="0"/>
        <v>0.52</v>
      </c>
      <c r="H26" s="9">
        <v>40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8809640735813</v>
      </c>
      <c r="C27" s="6" t="s">
        <v>52</v>
      </c>
      <c r="D27" s="8" t="s">
        <v>53</v>
      </c>
      <c r="E27" s="10">
        <v>14000</v>
      </c>
      <c r="F27" s="10">
        <v>7280</v>
      </c>
      <c r="G27" s="20">
        <f t="shared" si="0"/>
        <v>0.52</v>
      </c>
      <c r="H27" s="9">
        <v>40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8800307372853</v>
      </c>
      <c r="C28" s="6" t="s">
        <v>54</v>
      </c>
      <c r="D28" s="8" t="s">
        <v>55</v>
      </c>
      <c r="E28" s="10">
        <v>25000</v>
      </c>
      <c r="F28" s="10">
        <v>13000</v>
      </c>
      <c r="G28" s="20">
        <f t="shared" si="0"/>
        <v>0.52</v>
      </c>
      <c r="H28" s="9">
        <v>20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8809640733550</v>
      </c>
      <c r="C29" s="6" t="s">
        <v>56</v>
      </c>
      <c r="D29" s="8" t="s">
        <v>57</v>
      </c>
      <c r="E29" s="10">
        <v>27000</v>
      </c>
      <c r="F29" s="10">
        <v>14040</v>
      </c>
      <c r="G29" s="20">
        <f t="shared" si="0"/>
        <v>0.52</v>
      </c>
      <c r="H29" s="9">
        <v>54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8809640734359</v>
      </c>
      <c r="C30" s="6" t="s">
        <v>58</v>
      </c>
      <c r="D30" s="8" t="s">
        <v>59</v>
      </c>
      <c r="E30" s="10">
        <v>25000</v>
      </c>
      <c r="F30" s="10">
        <v>13000</v>
      </c>
      <c r="G30" s="20">
        <f t="shared" si="0"/>
        <v>0.52</v>
      </c>
      <c r="H30" s="9">
        <v>40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8809640734342</v>
      </c>
      <c r="C31" s="6" t="s">
        <v>60</v>
      </c>
      <c r="D31" s="8" t="s">
        <v>61</v>
      </c>
      <c r="E31" s="10">
        <v>27000</v>
      </c>
      <c r="F31" s="10">
        <v>14040</v>
      </c>
      <c r="G31" s="20">
        <f t="shared" si="0"/>
        <v>0.52</v>
      </c>
      <c r="H31" s="9">
        <v>40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8809640734373</v>
      </c>
      <c r="C32" s="6" t="s">
        <v>62</v>
      </c>
      <c r="D32" s="8" t="s">
        <v>63</v>
      </c>
      <c r="E32" s="10">
        <v>35000</v>
      </c>
      <c r="F32" s="10">
        <v>18200</v>
      </c>
      <c r="G32" s="20">
        <f t="shared" si="0"/>
        <v>0.52</v>
      </c>
      <c r="H32" s="9">
        <v>40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>
        <v>8809640734519</v>
      </c>
      <c r="C33" s="6" t="s">
        <v>64</v>
      </c>
      <c r="D33" s="8" t="s">
        <v>65</v>
      </c>
      <c r="E33" s="10">
        <v>29000</v>
      </c>
      <c r="F33" s="10">
        <v>15080</v>
      </c>
      <c r="G33" s="20">
        <f t="shared" si="0"/>
        <v>0.52</v>
      </c>
      <c r="H33" s="9">
        <v>40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8809640734595</v>
      </c>
      <c r="C34" s="6" t="s">
        <v>66</v>
      </c>
      <c r="D34" s="8" t="s">
        <v>67</v>
      </c>
      <c r="E34" s="10">
        <v>39000</v>
      </c>
      <c r="F34" s="10">
        <v>20280</v>
      </c>
      <c r="G34" s="20">
        <f t="shared" si="0"/>
        <v>0.52</v>
      </c>
      <c r="H34" s="9">
        <v>50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8809640730696</v>
      </c>
      <c r="C35" s="6" t="s">
        <v>68</v>
      </c>
      <c r="D35" s="8" t="s">
        <v>69</v>
      </c>
      <c r="E35" s="10">
        <v>35000</v>
      </c>
      <c r="F35" s="10">
        <v>18200</v>
      </c>
      <c r="G35" s="20">
        <f t="shared" si="0"/>
        <v>0.52</v>
      </c>
      <c r="H35" s="9">
        <v>40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8809640733659</v>
      </c>
      <c r="C36" s="6" t="s">
        <v>70</v>
      </c>
      <c r="D36" s="8" t="s">
        <v>71</v>
      </c>
      <c r="E36" s="10">
        <v>15000</v>
      </c>
      <c r="F36" s="10">
        <v>7800</v>
      </c>
      <c r="G36" s="20">
        <f t="shared" si="0"/>
        <v>0.52</v>
      </c>
      <c r="H36" s="9">
        <v>40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8809640730283</v>
      </c>
      <c r="C37" s="6" t="s">
        <v>72</v>
      </c>
      <c r="D37" s="8" t="s">
        <v>73</v>
      </c>
      <c r="E37" s="10">
        <v>33000</v>
      </c>
      <c r="F37" s="10">
        <v>17160</v>
      </c>
      <c r="G37" s="20">
        <f t="shared" si="0"/>
        <v>0.52</v>
      </c>
      <c r="H37" s="9">
        <v>54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8809640732799</v>
      </c>
      <c r="C38" s="6" t="s">
        <v>74</v>
      </c>
      <c r="D38" s="8" t="s">
        <v>75</v>
      </c>
      <c r="E38" s="10">
        <v>28000</v>
      </c>
      <c r="F38" s="10">
        <v>14560</v>
      </c>
      <c r="G38" s="20">
        <f t="shared" si="0"/>
        <v>0.52</v>
      </c>
      <c r="H38" s="9">
        <v>54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8809640733666</v>
      </c>
      <c r="C39" s="6" t="s">
        <v>76</v>
      </c>
      <c r="D39" s="8" t="s">
        <v>77</v>
      </c>
      <c r="E39" s="10">
        <v>18000</v>
      </c>
      <c r="F39" s="10">
        <v>9360</v>
      </c>
      <c r="G39" s="20">
        <f t="shared" si="0"/>
        <v>0.52</v>
      </c>
      <c r="H39" s="9">
        <v>40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8809640733185</v>
      </c>
      <c r="C40" s="6" t="s">
        <v>78</v>
      </c>
      <c r="D40" s="8" t="s">
        <v>79</v>
      </c>
      <c r="E40" s="10">
        <v>25000</v>
      </c>
      <c r="F40" s="10">
        <v>13000</v>
      </c>
      <c r="G40" s="20">
        <f t="shared" si="0"/>
        <v>0.52</v>
      </c>
      <c r="H40" s="9">
        <v>40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>
        <v>8809640731211</v>
      </c>
      <c r="C41" s="6" t="s">
        <v>80</v>
      </c>
      <c r="D41" s="8" t="s">
        <v>81</v>
      </c>
      <c r="E41" s="10">
        <v>21000</v>
      </c>
      <c r="F41" s="10">
        <v>10920</v>
      </c>
      <c r="G41" s="20">
        <f t="shared" si="0"/>
        <v>0.52</v>
      </c>
      <c r="H41" s="9">
        <v>40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>
        <v>8809640731181</v>
      </c>
      <c r="C42" s="6" t="s">
        <v>82</v>
      </c>
      <c r="D42" s="8" t="s">
        <v>83</v>
      </c>
      <c r="E42" s="10">
        <v>27000</v>
      </c>
      <c r="F42" s="10">
        <v>14040</v>
      </c>
      <c r="G42" s="20">
        <f t="shared" si="0"/>
        <v>0.52</v>
      </c>
      <c r="H42" s="9">
        <v>54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8809640732324</v>
      </c>
      <c r="C43" s="6" t="s">
        <v>84</v>
      </c>
      <c r="D43" s="8" t="s">
        <v>85</v>
      </c>
      <c r="E43" s="10">
        <v>30000</v>
      </c>
      <c r="F43" s="10">
        <v>15600</v>
      </c>
      <c r="G43" s="20">
        <f t="shared" si="0"/>
        <v>0.52</v>
      </c>
      <c r="H43" s="9">
        <v>60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8809640732188</v>
      </c>
      <c r="C44" s="6" t="s">
        <v>86</v>
      </c>
      <c r="D44" s="8" t="s">
        <v>87</v>
      </c>
      <c r="E44" s="10">
        <v>26000</v>
      </c>
      <c r="F44" s="10">
        <v>13520</v>
      </c>
      <c r="G44" s="20">
        <f t="shared" si="0"/>
        <v>0.52</v>
      </c>
      <c r="H44" s="9">
        <v>60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8809640731570</v>
      </c>
      <c r="C45" s="6" t="s">
        <v>88</v>
      </c>
      <c r="D45" s="8" t="s">
        <v>89</v>
      </c>
      <c r="E45" s="10">
        <v>25000</v>
      </c>
      <c r="F45" s="10">
        <v>13000</v>
      </c>
      <c r="G45" s="20">
        <f t="shared" si="0"/>
        <v>0.52</v>
      </c>
      <c r="H45" s="9">
        <v>40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8809640733055</v>
      </c>
      <c r="C46" s="6" t="s">
        <v>90</v>
      </c>
      <c r="D46" s="8" t="s">
        <v>91</v>
      </c>
      <c r="E46" s="10">
        <v>39000</v>
      </c>
      <c r="F46" s="10">
        <v>20280</v>
      </c>
      <c r="G46" s="20">
        <f t="shared" si="0"/>
        <v>0.52</v>
      </c>
      <c r="H46" s="9">
        <v>60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8800307371313</v>
      </c>
      <c r="C47" s="6" t="s">
        <v>92</v>
      </c>
      <c r="D47" s="8" t="s">
        <v>93</v>
      </c>
      <c r="E47" s="10">
        <v>25000</v>
      </c>
      <c r="F47" s="10">
        <v>13000</v>
      </c>
      <c r="G47" s="20">
        <f t="shared" si="0"/>
        <v>0.52</v>
      </c>
      <c r="H47" s="9">
        <v>50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8809640734854</v>
      </c>
      <c r="C48" s="6" t="s">
        <v>94</v>
      </c>
      <c r="D48" s="8" t="s">
        <v>95</v>
      </c>
      <c r="E48" s="10">
        <v>21000</v>
      </c>
      <c r="F48" s="10">
        <v>10920</v>
      </c>
      <c r="G48" s="20">
        <f t="shared" si="0"/>
        <v>0.52</v>
      </c>
      <c r="H48" s="9">
        <v>20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>
        <v>43</v>
      </c>
      <c r="B49" s="7">
        <v>8809640730276</v>
      </c>
      <c r="C49" s="6" t="s">
        <v>96</v>
      </c>
      <c r="D49" s="8" t="s">
        <v>97</v>
      </c>
      <c r="E49" s="10">
        <v>4000</v>
      </c>
      <c r="F49" s="10">
        <v>2080</v>
      </c>
      <c r="G49" s="20">
        <f t="shared" si="0"/>
        <v>0.52</v>
      </c>
      <c r="H49" s="9">
        <v>100</v>
      </c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>
        <v>44</v>
      </c>
      <c r="B50" s="7">
        <v>8809640732515</v>
      </c>
      <c r="C50" s="6" t="s">
        <v>98</v>
      </c>
      <c r="D50" s="8" t="s">
        <v>99</v>
      </c>
      <c r="E50" s="10">
        <v>50000</v>
      </c>
      <c r="F50" s="10">
        <v>26000</v>
      </c>
      <c r="G50" s="20">
        <f t="shared" si="0"/>
        <v>0.52</v>
      </c>
      <c r="H50" s="9">
        <v>40</v>
      </c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>
        <v>45</v>
      </c>
      <c r="B51" s="7">
        <v>8809640730306</v>
      </c>
      <c r="C51" s="6" t="s">
        <v>100</v>
      </c>
      <c r="D51" s="8" t="s">
        <v>101</v>
      </c>
      <c r="E51" s="10">
        <v>40000</v>
      </c>
      <c r="F51" s="10">
        <v>20800</v>
      </c>
      <c r="G51" s="20">
        <f t="shared" si="0"/>
        <v>0.52</v>
      </c>
      <c r="H51" s="9">
        <v>40</v>
      </c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>
        <v>46</v>
      </c>
      <c r="B52" s="7">
        <v>8809640730665</v>
      </c>
      <c r="C52" s="6" t="s">
        <v>102</v>
      </c>
      <c r="D52" s="8" t="s">
        <v>103</v>
      </c>
      <c r="E52" s="10">
        <v>40000</v>
      </c>
      <c r="F52" s="10">
        <v>20800</v>
      </c>
      <c r="G52" s="20">
        <f t="shared" si="0"/>
        <v>0.52</v>
      </c>
      <c r="H52" s="9">
        <v>40</v>
      </c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>
        <v>47</v>
      </c>
      <c r="B53" s="7">
        <v>8809640731082</v>
      </c>
      <c r="C53" s="6" t="s">
        <v>104</v>
      </c>
      <c r="D53" s="8" t="s">
        <v>105</v>
      </c>
      <c r="E53" s="10">
        <v>40000</v>
      </c>
      <c r="F53" s="10">
        <v>20800</v>
      </c>
      <c r="G53" s="20">
        <f t="shared" si="0"/>
        <v>0.52</v>
      </c>
      <c r="H53" s="9">
        <v>40</v>
      </c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>
        <v>48</v>
      </c>
      <c r="B54" s="7">
        <v>8809640733635</v>
      </c>
      <c r="C54" s="6" t="s">
        <v>106</v>
      </c>
      <c r="D54" s="8" t="s">
        <v>107</v>
      </c>
      <c r="E54" s="10">
        <v>40000</v>
      </c>
      <c r="F54" s="10">
        <v>20800</v>
      </c>
      <c r="G54" s="20">
        <f t="shared" si="0"/>
        <v>0.52</v>
      </c>
      <c r="H54" s="9">
        <v>40</v>
      </c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>
        <v>49</v>
      </c>
      <c r="B55" s="7">
        <v>8809640734205</v>
      </c>
      <c r="C55" s="6" t="s">
        <v>108</v>
      </c>
      <c r="D55" s="8" t="s">
        <v>109</v>
      </c>
      <c r="E55" s="10">
        <v>40000</v>
      </c>
      <c r="F55" s="10">
        <v>20800</v>
      </c>
      <c r="G55" s="20">
        <f t="shared" si="0"/>
        <v>0.52</v>
      </c>
      <c r="H55" s="9">
        <v>20</v>
      </c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>
        <v>50</v>
      </c>
      <c r="B56" s="7">
        <v>8800307371306</v>
      </c>
      <c r="C56" s="6" t="s">
        <v>110</v>
      </c>
      <c r="D56" s="8" t="s">
        <v>111</v>
      </c>
      <c r="E56" s="10">
        <v>25000</v>
      </c>
      <c r="F56" s="10">
        <v>13000</v>
      </c>
      <c r="G56" s="20">
        <f t="shared" si="0"/>
        <v>0.52</v>
      </c>
      <c r="H56" s="9">
        <v>50</v>
      </c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>
        <v>51</v>
      </c>
      <c r="B57" s="7">
        <v>8809640737244</v>
      </c>
      <c r="C57" s="6" t="s">
        <v>112</v>
      </c>
      <c r="D57" s="8" t="s">
        <v>113</v>
      </c>
      <c r="E57" s="10">
        <v>24000</v>
      </c>
      <c r="F57" s="10">
        <v>12480</v>
      </c>
      <c r="G57" s="20">
        <f t="shared" si="0"/>
        <v>0.52</v>
      </c>
      <c r="H57" s="9">
        <v>32</v>
      </c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>
        <v>52</v>
      </c>
      <c r="B58" s="7">
        <v>8809640737237</v>
      </c>
      <c r="C58" s="6" t="s">
        <v>114</v>
      </c>
      <c r="D58" s="8" t="s">
        <v>115</v>
      </c>
      <c r="E58" s="10">
        <v>24000</v>
      </c>
      <c r="F58" s="10">
        <v>12480</v>
      </c>
      <c r="G58" s="20">
        <f t="shared" si="0"/>
        <v>0.52</v>
      </c>
      <c r="H58" s="9">
        <v>32</v>
      </c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>
        <v>53</v>
      </c>
      <c r="B59" s="7">
        <v>8809640737220</v>
      </c>
      <c r="C59" s="6" t="s">
        <v>116</v>
      </c>
      <c r="D59" s="8" t="s">
        <v>117</v>
      </c>
      <c r="E59" s="10">
        <v>24000</v>
      </c>
      <c r="F59" s="10">
        <v>12480</v>
      </c>
      <c r="G59" s="20">
        <f t="shared" si="0"/>
        <v>0.52</v>
      </c>
      <c r="H59" s="9">
        <v>32</v>
      </c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>
        <v>54</v>
      </c>
      <c r="B60" s="7">
        <v>8809640732508</v>
      </c>
      <c r="C60" s="6" t="s">
        <v>118</v>
      </c>
      <c r="D60" s="8" t="s">
        <v>119</v>
      </c>
      <c r="E60" s="10">
        <v>5000</v>
      </c>
      <c r="F60" s="10">
        <v>2600</v>
      </c>
      <c r="G60" s="20">
        <f t="shared" si="0"/>
        <v>0.52</v>
      </c>
      <c r="H60" s="9">
        <v>400</v>
      </c>
      <c r="I60" s="11"/>
      <c r="J60" s="12">
        <f t="shared" si="1"/>
        <v>0</v>
      </c>
      <c r="K60" s="13">
        <f t="shared" si="2"/>
        <v>0</v>
      </c>
    </row>
    <row r="61" spans="1:11" ht="30" customHeight="1" x14ac:dyDescent="0.3">
      <c r="A61" s="6">
        <v>55</v>
      </c>
      <c r="B61" s="7">
        <v>8809640730290</v>
      </c>
      <c r="C61" s="6" t="s">
        <v>120</v>
      </c>
      <c r="D61" s="8" t="s">
        <v>121</v>
      </c>
      <c r="E61" s="10">
        <v>4000</v>
      </c>
      <c r="F61" s="10">
        <v>2080</v>
      </c>
      <c r="G61" s="20">
        <f t="shared" si="0"/>
        <v>0.52</v>
      </c>
      <c r="H61" s="9">
        <v>480</v>
      </c>
      <c r="I61" s="11"/>
      <c r="J61" s="12">
        <f t="shared" si="1"/>
        <v>0</v>
      </c>
      <c r="K61" s="13">
        <f t="shared" si="2"/>
        <v>0</v>
      </c>
    </row>
    <row r="62" spans="1:11" ht="30" customHeight="1" x14ac:dyDescent="0.3">
      <c r="A62" s="6">
        <v>56</v>
      </c>
      <c r="B62" s="7">
        <v>8809640730658</v>
      </c>
      <c r="C62" s="6" t="s">
        <v>122</v>
      </c>
      <c r="D62" s="8" t="s">
        <v>123</v>
      </c>
      <c r="E62" s="10">
        <v>4000</v>
      </c>
      <c r="F62" s="10">
        <v>2080</v>
      </c>
      <c r="G62" s="20">
        <f t="shared" si="0"/>
        <v>0.52</v>
      </c>
      <c r="H62" s="9">
        <v>400</v>
      </c>
      <c r="I62" s="11"/>
      <c r="J62" s="12">
        <f t="shared" si="1"/>
        <v>0</v>
      </c>
      <c r="K62" s="13">
        <f t="shared" si="2"/>
        <v>0</v>
      </c>
    </row>
    <row r="63" spans="1:11" ht="30" customHeight="1" x14ac:dyDescent="0.3">
      <c r="A63" s="6">
        <v>57</v>
      </c>
      <c r="B63" s="7">
        <v>8809640731075</v>
      </c>
      <c r="C63" s="6" t="s">
        <v>124</v>
      </c>
      <c r="D63" s="8" t="s">
        <v>125</v>
      </c>
      <c r="E63" s="10">
        <v>4000</v>
      </c>
      <c r="F63" s="10">
        <v>2080</v>
      </c>
      <c r="G63" s="20">
        <f t="shared" si="0"/>
        <v>0.52</v>
      </c>
      <c r="H63" s="9">
        <v>400</v>
      </c>
      <c r="I63" s="11"/>
      <c r="J63" s="12">
        <f t="shared" si="1"/>
        <v>0</v>
      </c>
      <c r="K63" s="13">
        <f t="shared" si="2"/>
        <v>0</v>
      </c>
    </row>
    <row r="64" spans="1:11" ht="30" customHeight="1" x14ac:dyDescent="0.3">
      <c r="A64" s="6">
        <v>58</v>
      </c>
      <c r="B64" s="7">
        <v>8809640733628</v>
      </c>
      <c r="C64" s="6" t="s">
        <v>126</v>
      </c>
      <c r="D64" s="8" t="s">
        <v>127</v>
      </c>
      <c r="E64" s="10">
        <v>4000</v>
      </c>
      <c r="F64" s="10">
        <v>2080</v>
      </c>
      <c r="G64" s="20">
        <f t="shared" si="0"/>
        <v>0.52</v>
      </c>
      <c r="H64" s="9">
        <v>400</v>
      </c>
      <c r="I64" s="11"/>
      <c r="J64" s="12">
        <f t="shared" si="1"/>
        <v>0</v>
      </c>
      <c r="K64" s="13">
        <f t="shared" si="2"/>
        <v>0</v>
      </c>
    </row>
    <row r="65" spans="1:11" ht="30" customHeight="1" x14ac:dyDescent="0.3">
      <c r="A65" s="6">
        <v>59</v>
      </c>
      <c r="B65" s="7">
        <v>8809640734021</v>
      </c>
      <c r="C65" s="6" t="s">
        <v>128</v>
      </c>
      <c r="D65" s="8" t="s">
        <v>129</v>
      </c>
      <c r="E65" s="10">
        <v>4000</v>
      </c>
      <c r="F65" s="10">
        <v>2080</v>
      </c>
      <c r="G65" s="20">
        <f t="shared" si="0"/>
        <v>0.52</v>
      </c>
      <c r="H65" s="9">
        <v>200</v>
      </c>
      <c r="I65" s="11"/>
      <c r="J65" s="12">
        <f t="shared" si="1"/>
        <v>0</v>
      </c>
      <c r="K65" s="13">
        <f t="shared" si="2"/>
        <v>0</v>
      </c>
    </row>
    <row r="66" spans="1:11" ht="30" customHeight="1" x14ac:dyDescent="0.3">
      <c r="A66" s="6">
        <v>60</v>
      </c>
      <c r="B66" s="7">
        <v>8809640738241</v>
      </c>
      <c r="C66" s="6" t="s">
        <v>130</v>
      </c>
      <c r="D66" s="8" t="s">
        <v>131</v>
      </c>
      <c r="E66" s="10">
        <v>24000</v>
      </c>
      <c r="F66" s="10">
        <v>12480</v>
      </c>
      <c r="G66" s="20">
        <f t="shared" si="0"/>
        <v>0.52</v>
      </c>
      <c r="H66" s="9">
        <v>24</v>
      </c>
      <c r="I66" s="11"/>
      <c r="J66" s="12">
        <f t="shared" si="1"/>
        <v>0</v>
      </c>
      <c r="K66" s="13">
        <f t="shared" si="2"/>
        <v>0</v>
      </c>
    </row>
    <row r="67" spans="1:11" ht="30" customHeight="1" x14ac:dyDescent="0.3">
      <c r="A67" s="6">
        <v>61</v>
      </c>
      <c r="B67" s="7">
        <v>8809640738128</v>
      </c>
      <c r="C67" s="6" t="s">
        <v>132</v>
      </c>
      <c r="D67" s="8" t="s">
        <v>133</v>
      </c>
      <c r="E67" s="10">
        <v>24000</v>
      </c>
      <c r="F67" s="10">
        <v>12480</v>
      </c>
      <c r="G67" s="20">
        <f t="shared" si="0"/>
        <v>0.52</v>
      </c>
      <c r="H67" s="9">
        <v>24</v>
      </c>
      <c r="I67" s="11"/>
      <c r="J67" s="12">
        <f t="shared" si="1"/>
        <v>0</v>
      </c>
      <c r="K67" s="13">
        <f t="shared" si="2"/>
        <v>0</v>
      </c>
    </row>
    <row r="68" spans="1:11" ht="30" customHeight="1" x14ac:dyDescent="0.3">
      <c r="A68" s="6">
        <v>62</v>
      </c>
      <c r="B68" s="7">
        <v>8809640738227</v>
      </c>
      <c r="C68" s="6" t="s">
        <v>134</v>
      </c>
      <c r="D68" s="8" t="s">
        <v>135</v>
      </c>
      <c r="E68" s="10">
        <v>24000</v>
      </c>
      <c r="F68" s="10">
        <v>12480</v>
      </c>
      <c r="G68" s="20">
        <f t="shared" si="0"/>
        <v>0.52</v>
      </c>
      <c r="H68" s="9">
        <v>24</v>
      </c>
      <c r="I68" s="11"/>
      <c r="J68" s="12">
        <f t="shared" si="1"/>
        <v>0</v>
      </c>
      <c r="K68" s="13">
        <f t="shared" si="2"/>
        <v>0</v>
      </c>
    </row>
    <row r="69" spans="1:11" ht="30" customHeight="1" x14ac:dyDescent="0.3">
      <c r="A69" s="6">
        <v>63</v>
      </c>
      <c r="B69" s="7">
        <v>8809640738135</v>
      </c>
      <c r="C69" s="6" t="s">
        <v>136</v>
      </c>
      <c r="D69" s="8" t="s">
        <v>137</v>
      </c>
      <c r="E69" s="10">
        <v>32000</v>
      </c>
      <c r="F69" s="10">
        <v>16640</v>
      </c>
      <c r="G69" s="20">
        <f t="shared" si="0"/>
        <v>0.52</v>
      </c>
      <c r="H69" s="9">
        <v>90</v>
      </c>
      <c r="I69" s="11"/>
      <c r="J69" s="12">
        <f t="shared" si="1"/>
        <v>0</v>
      </c>
      <c r="K69" s="13">
        <f t="shared" si="2"/>
        <v>0</v>
      </c>
    </row>
    <row r="70" spans="1:11" ht="30" customHeight="1" x14ac:dyDescent="0.3">
      <c r="A70" s="6">
        <v>64</v>
      </c>
      <c r="B70" s="7">
        <v>8809640739507</v>
      </c>
      <c r="C70" s="6" t="s">
        <v>138</v>
      </c>
      <c r="D70" s="8" t="s">
        <v>139</v>
      </c>
      <c r="E70" s="10">
        <v>22000</v>
      </c>
      <c r="F70" s="10">
        <v>11440</v>
      </c>
      <c r="G70" s="20">
        <f t="shared" si="0"/>
        <v>0.52</v>
      </c>
      <c r="H70" s="9">
        <v>56</v>
      </c>
      <c r="I70" s="11"/>
      <c r="J70" s="12">
        <f t="shared" si="1"/>
        <v>0</v>
      </c>
      <c r="K70" s="13">
        <f t="shared" si="2"/>
        <v>0</v>
      </c>
    </row>
    <row r="71" spans="1:11" ht="30" customHeight="1" x14ac:dyDescent="0.3">
      <c r="A71" s="6">
        <v>65</v>
      </c>
      <c r="B71" s="7">
        <v>8809640737763</v>
      </c>
      <c r="C71" s="6" t="s">
        <v>140</v>
      </c>
      <c r="D71" s="8" t="s">
        <v>141</v>
      </c>
      <c r="E71" s="10">
        <v>4000</v>
      </c>
      <c r="F71" s="10">
        <v>2080</v>
      </c>
      <c r="G71" s="20">
        <f t="shared" si="0"/>
        <v>0.52</v>
      </c>
      <c r="H71" s="9">
        <v>240</v>
      </c>
      <c r="I71" s="11"/>
      <c r="J71" s="12">
        <f t="shared" si="1"/>
        <v>0</v>
      </c>
      <c r="K71" s="13">
        <f t="shared" si="2"/>
        <v>0</v>
      </c>
    </row>
    <row r="72" spans="1:11" ht="30" customHeight="1" x14ac:dyDescent="0.3">
      <c r="A72" s="6">
        <v>66</v>
      </c>
      <c r="B72" s="7">
        <v>8809640737800</v>
      </c>
      <c r="C72" s="6" t="s">
        <v>142</v>
      </c>
      <c r="D72" s="8" t="s">
        <v>143</v>
      </c>
      <c r="E72" s="10">
        <v>40000</v>
      </c>
      <c r="F72" s="10">
        <v>20800</v>
      </c>
      <c r="G72" s="20">
        <f t="shared" ref="G72:G91" si="3">F72/E72</f>
        <v>0.52</v>
      </c>
      <c r="H72" s="9">
        <v>20</v>
      </c>
      <c r="I72" s="11"/>
      <c r="J72" s="12">
        <f t="shared" ref="J72:J91" si="4">I72*H72</f>
        <v>0</v>
      </c>
      <c r="K72" s="13">
        <f t="shared" ref="K72:K91" si="5">IF($F72&gt;0,$J72*$F72,"")</f>
        <v>0</v>
      </c>
    </row>
    <row r="73" spans="1:11" ht="30" customHeight="1" x14ac:dyDescent="0.3">
      <c r="A73" s="6">
        <v>67</v>
      </c>
      <c r="B73" s="7">
        <v>8800307371672</v>
      </c>
      <c r="C73" s="6" t="s">
        <v>144</v>
      </c>
      <c r="D73" s="8" t="s">
        <v>145</v>
      </c>
      <c r="E73" s="10">
        <v>25000</v>
      </c>
      <c r="F73" s="10">
        <v>13000</v>
      </c>
      <c r="G73" s="20">
        <f t="shared" si="3"/>
        <v>0.52</v>
      </c>
      <c r="H73" s="9">
        <v>20</v>
      </c>
      <c r="I73" s="11"/>
      <c r="J73" s="12">
        <f t="shared" si="4"/>
        <v>0</v>
      </c>
      <c r="K73" s="13">
        <f t="shared" si="5"/>
        <v>0</v>
      </c>
    </row>
    <row r="74" spans="1:11" ht="30" customHeight="1" x14ac:dyDescent="0.3">
      <c r="A74" s="6">
        <v>68</v>
      </c>
      <c r="B74" s="7">
        <v>8800307370743</v>
      </c>
      <c r="C74" s="6" t="s">
        <v>146</v>
      </c>
      <c r="D74" s="8" t="s">
        <v>147</v>
      </c>
      <c r="E74" s="10">
        <v>25000</v>
      </c>
      <c r="F74" s="10">
        <v>13000</v>
      </c>
      <c r="G74" s="20">
        <f t="shared" si="3"/>
        <v>0.52</v>
      </c>
      <c r="H74" s="9">
        <v>20</v>
      </c>
      <c r="I74" s="11"/>
      <c r="J74" s="12">
        <f t="shared" si="4"/>
        <v>0</v>
      </c>
      <c r="K74" s="13">
        <f t="shared" si="5"/>
        <v>0</v>
      </c>
    </row>
    <row r="75" spans="1:11" ht="30" customHeight="1" x14ac:dyDescent="0.3">
      <c r="A75" s="6">
        <v>69</v>
      </c>
      <c r="B75" s="7">
        <v>8800307370095</v>
      </c>
      <c r="C75" s="6" t="s">
        <v>148</v>
      </c>
      <c r="D75" s="8" t="s">
        <v>149</v>
      </c>
      <c r="E75" s="10">
        <v>14000</v>
      </c>
      <c r="F75" s="10">
        <v>7280</v>
      </c>
      <c r="G75" s="20">
        <f t="shared" si="3"/>
        <v>0.52</v>
      </c>
      <c r="H75" s="9">
        <v>40</v>
      </c>
      <c r="I75" s="11"/>
      <c r="J75" s="12">
        <f t="shared" si="4"/>
        <v>0</v>
      </c>
      <c r="K75" s="13">
        <f t="shared" si="5"/>
        <v>0</v>
      </c>
    </row>
    <row r="76" spans="1:11" ht="30" customHeight="1" x14ac:dyDescent="0.3">
      <c r="A76" s="6">
        <v>70</v>
      </c>
      <c r="B76" s="7">
        <v>8800307370873</v>
      </c>
      <c r="C76" s="6" t="s">
        <v>150</v>
      </c>
      <c r="D76" s="8" t="s">
        <v>151</v>
      </c>
      <c r="E76" s="10">
        <v>9900</v>
      </c>
      <c r="F76" s="10">
        <v>5148</v>
      </c>
      <c r="G76" s="20">
        <f t="shared" si="3"/>
        <v>0.52</v>
      </c>
      <c r="H76" s="9">
        <v>36</v>
      </c>
      <c r="I76" s="11"/>
      <c r="J76" s="12">
        <f t="shared" si="4"/>
        <v>0</v>
      </c>
      <c r="K76" s="13">
        <f t="shared" si="5"/>
        <v>0</v>
      </c>
    </row>
    <row r="77" spans="1:11" ht="30" customHeight="1" x14ac:dyDescent="0.3">
      <c r="A77" s="6">
        <v>71</v>
      </c>
      <c r="B77" s="7">
        <v>8800307373157</v>
      </c>
      <c r="C77" s="6" t="s">
        <v>152</v>
      </c>
      <c r="D77" s="8" t="s">
        <v>153</v>
      </c>
      <c r="E77" s="10">
        <v>22000</v>
      </c>
      <c r="F77" s="10">
        <v>11440</v>
      </c>
      <c r="G77" s="20">
        <f t="shared" si="3"/>
        <v>0.52</v>
      </c>
      <c r="H77" s="9">
        <v>60</v>
      </c>
      <c r="I77" s="11"/>
      <c r="J77" s="12">
        <f t="shared" si="4"/>
        <v>0</v>
      </c>
      <c r="K77" s="13">
        <f t="shared" si="5"/>
        <v>0</v>
      </c>
    </row>
    <row r="78" spans="1:11" ht="30" customHeight="1" x14ac:dyDescent="0.3">
      <c r="A78" s="6">
        <v>72</v>
      </c>
      <c r="B78" s="7">
        <v>8800307374499</v>
      </c>
      <c r="C78" s="6" t="s">
        <v>154</v>
      </c>
      <c r="D78" s="8" t="s">
        <v>155</v>
      </c>
      <c r="E78" s="10">
        <v>14000</v>
      </c>
      <c r="F78" s="10">
        <v>7280</v>
      </c>
      <c r="G78" s="20">
        <f t="shared" si="3"/>
        <v>0.52</v>
      </c>
      <c r="H78" s="9">
        <v>120</v>
      </c>
      <c r="I78" s="11"/>
      <c r="J78" s="12">
        <f t="shared" si="4"/>
        <v>0</v>
      </c>
      <c r="K78" s="13">
        <f t="shared" si="5"/>
        <v>0</v>
      </c>
    </row>
    <row r="79" spans="1:11" ht="30" customHeight="1" x14ac:dyDescent="0.3">
      <c r="A79" s="6">
        <v>73</v>
      </c>
      <c r="B79" s="7">
        <v>8800307373331</v>
      </c>
      <c r="C79" s="6" t="s">
        <v>156</v>
      </c>
      <c r="D79" s="8" t="s">
        <v>157</v>
      </c>
      <c r="E79" s="10">
        <v>35000</v>
      </c>
      <c r="F79" s="10">
        <v>18200</v>
      </c>
      <c r="G79" s="20">
        <f t="shared" si="3"/>
        <v>0.52</v>
      </c>
      <c r="H79" s="9">
        <v>70</v>
      </c>
      <c r="I79" s="11"/>
      <c r="J79" s="12">
        <f t="shared" si="4"/>
        <v>0</v>
      </c>
      <c r="K79" s="13">
        <f t="shared" si="5"/>
        <v>0</v>
      </c>
    </row>
    <row r="80" spans="1:11" ht="30" customHeight="1" x14ac:dyDescent="0.3">
      <c r="A80" s="6">
        <v>74</v>
      </c>
      <c r="B80" s="7">
        <v>8809640738111</v>
      </c>
      <c r="C80" s="6" t="s">
        <v>158</v>
      </c>
      <c r="D80" s="8" t="s">
        <v>159</v>
      </c>
      <c r="E80" s="10">
        <v>24000</v>
      </c>
      <c r="F80" s="10">
        <v>12480</v>
      </c>
      <c r="G80" s="20">
        <f t="shared" si="3"/>
        <v>0.52</v>
      </c>
      <c r="H80" s="9">
        <v>24</v>
      </c>
      <c r="I80" s="11"/>
      <c r="J80" s="12">
        <f t="shared" si="4"/>
        <v>0</v>
      </c>
      <c r="K80" s="13">
        <f t="shared" si="5"/>
        <v>0</v>
      </c>
    </row>
    <row r="81" spans="1:11" ht="30" customHeight="1" x14ac:dyDescent="0.3">
      <c r="A81" s="6">
        <v>75</v>
      </c>
      <c r="B81" s="7">
        <v>8800307373379</v>
      </c>
      <c r="C81" s="6" t="s">
        <v>160</v>
      </c>
      <c r="D81" s="8" t="s">
        <v>161</v>
      </c>
      <c r="E81" s="10">
        <v>20000</v>
      </c>
      <c r="F81" s="10">
        <v>10400</v>
      </c>
      <c r="G81" s="20">
        <f t="shared" si="3"/>
        <v>0.52</v>
      </c>
      <c r="H81" s="9">
        <v>100</v>
      </c>
      <c r="I81" s="11"/>
      <c r="J81" s="12">
        <f t="shared" si="4"/>
        <v>0</v>
      </c>
      <c r="K81" s="13">
        <f t="shared" si="5"/>
        <v>0</v>
      </c>
    </row>
    <row r="82" spans="1:11" ht="30" customHeight="1" x14ac:dyDescent="0.3">
      <c r="A82" s="6">
        <v>76</v>
      </c>
      <c r="B82" s="7">
        <v>8800307373386</v>
      </c>
      <c r="C82" s="6" t="s">
        <v>162</v>
      </c>
      <c r="D82" s="8" t="s">
        <v>163</v>
      </c>
      <c r="E82" s="10">
        <v>20000</v>
      </c>
      <c r="F82" s="10">
        <v>10400</v>
      </c>
      <c r="G82" s="20">
        <f t="shared" si="3"/>
        <v>0.52</v>
      </c>
      <c r="H82" s="9">
        <v>100</v>
      </c>
      <c r="I82" s="11"/>
      <c r="J82" s="12">
        <f t="shared" si="4"/>
        <v>0</v>
      </c>
      <c r="K82" s="13">
        <f t="shared" si="5"/>
        <v>0</v>
      </c>
    </row>
    <row r="83" spans="1:11" ht="30" customHeight="1" x14ac:dyDescent="0.3">
      <c r="A83" s="6">
        <v>77</v>
      </c>
      <c r="B83" s="7">
        <v>8809640734281</v>
      </c>
      <c r="C83" s="6" t="s">
        <v>164</v>
      </c>
      <c r="D83" s="8" t="s">
        <v>165</v>
      </c>
      <c r="E83" s="10">
        <v>18000</v>
      </c>
      <c r="F83" s="10">
        <v>9360</v>
      </c>
      <c r="G83" s="20">
        <f t="shared" si="3"/>
        <v>0.52</v>
      </c>
      <c r="H83" s="9">
        <v>40</v>
      </c>
      <c r="I83" s="11"/>
      <c r="J83" s="12">
        <f t="shared" si="4"/>
        <v>0</v>
      </c>
      <c r="K83" s="13">
        <f t="shared" si="5"/>
        <v>0</v>
      </c>
    </row>
    <row r="84" spans="1:11" ht="30" customHeight="1" x14ac:dyDescent="0.3">
      <c r="A84" s="6">
        <v>78</v>
      </c>
      <c r="B84" s="7">
        <v>8809640731792</v>
      </c>
      <c r="C84" s="6" t="s">
        <v>166</v>
      </c>
      <c r="D84" s="8" t="s">
        <v>167</v>
      </c>
      <c r="E84" s="10">
        <v>5000</v>
      </c>
      <c r="F84" s="10">
        <v>2600</v>
      </c>
      <c r="G84" s="20">
        <f t="shared" si="3"/>
        <v>0.52</v>
      </c>
      <c r="H84" s="9">
        <v>40</v>
      </c>
      <c r="I84" s="11"/>
      <c r="J84" s="12">
        <f t="shared" si="4"/>
        <v>0</v>
      </c>
      <c r="K84" s="13">
        <f t="shared" si="5"/>
        <v>0</v>
      </c>
    </row>
    <row r="85" spans="1:11" ht="30" customHeight="1" x14ac:dyDescent="0.3">
      <c r="A85" s="6">
        <v>79</v>
      </c>
      <c r="B85" s="7">
        <v>8809640738401</v>
      </c>
      <c r="C85" s="6" t="s">
        <v>168</v>
      </c>
      <c r="D85" s="8" t="s">
        <v>169</v>
      </c>
      <c r="E85" s="10">
        <v>5000</v>
      </c>
      <c r="F85" s="10">
        <v>2600</v>
      </c>
      <c r="G85" s="20">
        <f t="shared" si="3"/>
        <v>0.52</v>
      </c>
      <c r="H85" s="9">
        <v>100</v>
      </c>
      <c r="I85" s="11"/>
      <c r="J85" s="12">
        <f t="shared" si="4"/>
        <v>0</v>
      </c>
      <c r="K85" s="13">
        <f t="shared" si="5"/>
        <v>0</v>
      </c>
    </row>
    <row r="86" spans="1:11" ht="30" customHeight="1" x14ac:dyDescent="0.3">
      <c r="A86" s="6">
        <v>80</v>
      </c>
      <c r="B86" s="7">
        <v>8809640739132</v>
      </c>
      <c r="C86" s="6" t="s">
        <v>170</v>
      </c>
      <c r="D86" s="8" t="s">
        <v>171</v>
      </c>
      <c r="E86" s="10">
        <v>12000</v>
      </c>
      <c r="F86" s="10">
        <v>6240</v>
      </c>
      <c r="G86" s="20">
        <f t="shared" si="3"/>
        <v>0.52</v>
      </c>
      <c r="H86" s="9">
        <v>200</v>
      </c>
      <c r="I86" s="11"/>
      <c r="J86" s="12">
        <f t="shared" si="4"/>
        <v>0</v>
      </c>
      <c r="K86" s="13">
        <f t="shared" si="5"/>
        <v>0</v>
      </c>
    </row>
    <row r="87" spans="1:11" ht="30" customHeight="1" x14ac:dyDescent="0.3">
      <c r="A87" s="6">
        <v>81</v>
      </c>
      <c r="B87" s="7">
        <v>8809640732805</v>
      </c>
      <c r="C87" s="6" t="s">
        <v>172</v>
      </c>
      <c r="D87" s="8" t="s">
        <v>173</v>
      </c>
      <c r="E87" s="10">
        <v>5000</v>
      </c>
      <c r="F87" s="10">
        <v>2600</v>
      </c>
      <c r="G87" s="20">
        <f t="shared" si="3"/>
        <v>0.52</v>
      </c>
      <c r="H87" s="9">
        <v>200</v>
      </c>
      <c r="I87" s="11"/>
      <c r="J87" s="12">
        <f t="shared" si="4"/>
        <v>0</v>
      </c>
      <c r="K87" s="13">
        <f t="shared" si="5"/>
        <v>0</v>
      </c>
    </row>
    <row r="88" spans="1:11" ht="30" customHeight="1" x14ac:dyDescent="0.3">
      <c r="A88" s="6">
        <v>82</v>
      </c>
      <c r="B88" s="7">
        <v>8809640735660</v>
      </c>
      <c r="C88" s="6" t="s">
        <v>174</v>
      </c>
      <c r="D88" s="8" t="s">
        <v>175</v>
      </c>
      <c r="E88" s="10">
        <v>13000</v>
      </c>
      <c r="F88" s="10">
        <v>6760</v>
      </c>
      <c r="G88" s="20">
        <f t="shared" si="3"/>
        <v>0.52</v>
      </c>
      <c r="H88" s="9">
        <v>200</v>
      </c>
      <c r="I88" s="11"/>
      <c r="J88" s="12">
        <f t="shared" si="4"/>
        <v>0</v>
      </c>
      <c r="K88" s="13">
        <f t="shared" si="5"/>
        <v>0</v>
      </c>
    </row>
    <row r="89" spans="1:11" ht="30" customHeight="1" x14ac:dyDescent="0.3">
      <c r="A89" s="6">
        <v>83</v>
      </c>
      <c r="B89" s="7">
        <v>8809640739729</v>
      </c>
      <c r="C89" s="6" t="s">
        <v>176</v>
      </c>
      <c r="D89" s="8" t="s">
        <v>177</v>
      </c>
      <c r="E89" s="10">
        <v>10000</v>
      </c>
      <c r="F89" s="10">
        <v>5200</v>
      </c>
      <c r="G89" s="20">
        <f t="shared" si="3"/>
        <v>0.52</v>
      </c>
      <c r="H89" s="9">
        <v>200</v>
      </c>
      <c r="I89" s="11"/>
      <c r="J89" s="12">
        <f t="shared" si="4"/>
        <v>0</v>
      </c>
      <c r="K89" s="13">
        <f t="shared" si="5"/>
        <v>0</v>
      </c>
    </row>
    <row r="90" spans="1:11" ht="30" customHeight="1" x14ac:dyDescent="0.3">
      <c r="A90" s="6">
        <v>84</v>
      </c>
      <c r="B90" s="7">
        <v>8809640733734</v>
      </c>
      <c r="C90" s="6" t="s">
        <v>178</v>
      </c>
      <c r="D90" s="8" t="s">
        <v>179</v>
      </c>
      <c r="E90" s="10">
        <v>5000</v>
      </c>
      <c r="F90" s="10">
        <v>2600</v>
      </c>
      <c r="G90" s="20">
        <f t="shared" si="3"/>
        <v>0.52</v>
      </c>
      <c r="H90" s="9">
        <v>250</v>
      </c>
      <c r="I90" s="11"/>
      <c r="J90" s="12">
        <f t="shared" si="4"/>
        <v>0</v>
      </c>
      <c r="K90" s="13">
        <f t="shared" si="5"/>
        <v>0</v>
      </c>
    </row>
    <row r="91" spans="1:11" ht="30" customHeight="1" x14ac:dyDescent="0.3">
      <c r="A91" s="6">
        <v>85</v>
      </c>
      <c r="B91" s="7">
        <v>8809640739606</v>
      </c>
      <c r="C91" s="6" t="s">
        <v>180</v>
      </c>
      <c r="D91" s="8" t="s">
        <v>181</v>
      </c>
      <c r="E91" s="10">
        <v>5000</v>
      </c>
      <c r="F91" s="10">
        <v>2600</v>
      </c>
      <c r="G91" s="20">
        <f t="shared" si="3"/>
        <v>0.52</v>
      </c>
      <c r="H91" s="9">
        <v>300</v>
      </c>
      <c r="I91" s="11"/>
      <c r="J91" s="12">
        <f t="shared" si="4"/>
        <v>0</v>
      </c>
      <c r="K91" s="13">
        <f t="shared" si="5"/>
        <v>0</v>
      </c>
    </row>
    <row r="92" spans="1:11" ht="30" customHeight="1" x14ac:dyDescent="0.3"/>
    <row r="93" spans="1:11" ht="30" customHeight="1" x14ac:dyDescent="0.3"/>
    <row r="94" spans="1:11" ht="30" customHeight="1" x14ac:dyDescent="0.3"/>
    <row r="95" spans="1:11" ht="30" customHeight="1" x14ac:dyDescent="0.3"/>
    <row r="96" spans="1:11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</sheetData>
  <mergeCells count="2">
    <mergeCell ref="E6:G6"/>
    <mergeCell ref="A1:C1"/>
  </mergeCells>
  <phoneticPr fontId="2" type="noConversion"/>
  <conditionalFormatting sqref="J7:J91">
    <cfRule type="expression" dxfId="11" priority="11">
      <formula>#REF!="품절"</formula>
    </cfRule>
    <cfRule type="expression" dxfId="10" priority="12">
      <formula>#REF!="단종"</formula>
    </cfRule>
  </conditionalFormatting>
  <conditionalFormatting sqref="E5:G5 I5:L5 A5:D6 K7:L7 H5:H6 K7:K91">
    <cfRule type="expression" dxfId="9" priority="13">
      <formula>#REF!="품절"</formula>
    </cfRule>
    <cfRule type="expression" dxfId="8" priority="14">
      <formula>#REF!="단종"</formula>
    </cfRule>
  </conditionalFormatting>
  <conditionalFormatting sqref="E6:L6">
    <cfRule type="expression" dxfId="7" priority="17">
      <formula>#REF!="품절"</formula>
    </cfRule>
    <cfRule type="expression" dxfId="6" priority="18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CD23-1056-464C-8104-90C17ECD930B}">
  <dimension ref="A1:K91"/>
  <sheetViews>
    <sheetView tabSelected="1" zoomScale="85" zoomScaleNormal="85" workbookViewId="0">
      <selection activeCell="L9" sqref="L9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50.625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</cols>
  <sheetData>
    <row r="1" spans="1:11" ht="30" customHeight="1" x14ac:dyDescent="0.3">
      <c r="A1" s="22" t="s">
        <v>183</v>
      </c>
      <c r="B1" s="22"/>
      <c r="C1" s="22"/>
      <c r="D1" s="19" t="s">
        <v>187</v>
      </c>
    </row>
    <row r="2" spans="1:11" ht="16.5" customHeight="1" x14ac:dyDescent="0.3"/>
    <row r="3" spans="1:11" ht="16.5" customHeight="1" x14ac:dyDescent="0.3"/>
    <row r="4" spans="1:11" ht="16.5" customHeight="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184</v>
      </c>
      <c r="F5" s="16" t="s">
        <v>185</v>
      </c>
      <c r="G5" s="17" t="s">
        <v>186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SUM(I7:I7)</f>
        <v>0</v>
      </c>
      <c r="J6" s="4">
        <f>SUM(J7:J7)</f>
        <v>0</v>
      </c>
      <c r="K6" s="5">
        <f>SUM(K7:K7)</f>
        <v>0</v>
      </c>
    </row>
    <row r="7" spans="1:11" ht="30" customHeight="1" x14ac:dyDescent="0.3">
      <c r="A7" s="6">
        <v>1</v>
      </c>
      <c r="B7" s="7">
        <v>8800307370859</v>
      </c>
      <c r="C7" s="6" t="s">
        <v>12</v>
      </c>
      <c r="D7" s="8" t="s">
        <v>13</v>
      </c>
      <c r="E7" s="10">
        <v>17500</v>
      </c>
      <c r="F7" s="10">
        <v>8925</v>
      </c>
      <c r="G7" s="20">
        <f>F7/E7</f>
        <v>0.51</v>
      </c>
      <c r="H7" s="9">
        <v>96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>
        <v>8809640730092</v>
      </c>
      <c r="C8" s="6" t="s">
        <v>14</v>
      </c>
      <c r="D8" s="8" t="s">
        <v>15</v>
      </c>
      <c r="E8" s="10">
        <v>25000</v>
      </c>
      <c r="F8" s="10">
        <v>12750</v>
      </c>
      <c r="G8" s="20">
        <f t="shared" ref="G8:G71" si="0">F8/E8</f>
        <v>0.51</v>
      </c>
      <c r="H8" s="9">
        <v>30</v>
      </c>
      <c r="I8" s="11"/>
      <c r="J8" s="12">
        <f t="shared" ref="J8:J71" si="1">I8*H8</f>
        <v>0</v>
      </c>
      <c r="K8" s="13">
        <f t="shared" ref="K8:K71" si="2">IF($F8&gt;0,$J8*$F8,"")</f>
        <v>0</v>
      </c>
    </row>
    <row r="9" spans="1:11" ht="30" customHeight="1" x14ac:dyDescent="0.3">
      <c r="A9" s="6">
        <v>3</v>
      </c>
      <c r="B9" s="7">
        <v>8809640730221</v>
      </c>
      <c r="C9" s="6" t="s">
        <v>16</v>
      </c>
      <c r="D9" s="8" t="s">
        <v>17</v>
      </c>
      <c r="E9" s="10">
        <v>45000</v>
      </c>
      <c r="F9" s="10">
        <v>22950</v>
      </c>
      <c r="G9" s="20">
        <f t="shared" si="0"/>
        <v>0.51</v>
      </c>
      <c r="H9" s="9">
        <v>30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>
        <v>8809640735028</v>
      </c>
      <c r="C10" s="6" t="s">
        <v>18</v>
      </c>
      <c r="D10" s="8" t="s">
        <v>19</v>
      </c>
      <c r="E10" s="10">
        <v>24000</v>
      </c>
      <c r="F10" s="10">
        <v>12240</v>
      </c>
      <c r="G10" s="20">
        <f t="shared" si="0"/>
        <v>0.51</v>
      </c>
      <c r="H10" s="9">
        <v>30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>
        <v>8809640732829</v>
      </c>
      <c r="C11" s="6" t="s">
        <v>20</v>
      </c>
      <c r="D11" s="8" t="s">
        <v>21</v>
      </c>
      <c r="E11" s="10">
        <v>22000</v>
      </c>
      <c r="F11" s="10">
        <v>11220</v>
      </c>
      <c r="G11" s="20">
        <f t="shared" si="0"/>
        <v>0.51</v>
      </c>
      <c r="H11" s="9">
        <v>80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>
        <v>8809640734427</v>
      </c>
      <c r="C12" s="6" t="s">
        <v>22</v>
      </c>
      <c r="D12" s="8" t="s">
        <v>23</v>
      </c>
      <c r="E12" s="10">
        <v>14000</v>
      </c>
      <c r="F12" s="10">
        <v>7140</v>
      </c>
      <c r="G12" s="20">
        <f t="shared" si="0"/>
        <v>0.51</v>
      </c>
      <c r="H12" s="9">
        <v>30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8809640734526</v>
      </c>
      <c r="C13" s="6" t="s">
        <v>24</v>
      </c>
      <c r="D13" s="8" t="s">
        <v>25</v>
      </c>
      <c r="E13" s="10">
        <v>29000</v>
      </c>
      <c r="F13" s="10">
        <v>14790</v>
      </c>
      <c r="G13" s="20">
        <f t="shared" si="0"/>
        <v>0.51</v>
      </c>
      <c r="H13" s="9">
        <v>30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8809640736667</v>
      </c>
      <c r="C14" s="6" t="s">
        <v>26</v>
      </c>
      <c r="D14" s="8" t="s">
        <v>27</v>
      </c>
      <c r="E14" s="10">
        <v>39000</v>
      </c>
      <c r="F14" s="10">
        <v>19890</v>
      </c>
      <c r="G14" s="20">
        <f t="shared" si="0"/>
        <v>0.51</v>
      </c>
      <c r="H14" s="9">
        <v>50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8809640737190</v>
      </c>
      <c r="C15" s="6" t="s">
        <v>28</v>
      </c>
      <c r="D15" s="8" t="s">
        <v>29</v>
      </c>
      <c r="E15" s="10">
        <v>32000</v>
      </c>
      <c r="F15" s="10">
        <v>16320</v>
      </c>
      <c r="G15" s="20">
        <f t="shared" si="0"/>
        <v>0.51</v>
      </c>
      <c r="H15" s="9">
        <v>100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8800307372983</v>
      </c>
      <c r="C16" s="6" t="s">
        <v>30</v>
      </c>
      <c r="D16" s="8" t="s">
        <v>31</v>
      </c>
      <c r="E16" s="10">
        <v>16000</v>
      </c>
      <c r="F16" s="10">
        <v>8160</v>
      </c>
      <c r="G16" s="20">
        <f t="shared" si="0"/>
        <v>0.51</v>
      </c>
      <c r="H16" s="9">
        <v>30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8809640735455</v>
      </c>
      <c r="C17" s="6" t="s">
        <v>32</v>
      </c>
      <c r="D17" s="8" t="s">
        <v>33</v>
      </c>
      <c r="E17" s="10">
        <v>25000</v>
      </c>
      <c r="F17" s="10">
        <v>12750</v>
      </c>
      <c r="G17" s="20">
        <f t="shared" si="0"/>
        <v>0.51</v>
      </c>
      <c r="H17" s="9">
        <v>20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8809640734861</v>
      </c>
      <c r="C18" s="6" t="s">
        <v>34</v>
      </c>
      <c r="D18" s="8" t="s">
        <v>35</v>
      </c>
      <c r="E18" s="10">
        <v>29000</v>
      </c>
      <c r="F18" s="10">
        <v>14790</v>
      </c>
      <c r="G18" s="20">
        <f t="shared" si="0"/>
        <v>0.51</v>
      </c>
      <c r="H18" s="9">
        <v>30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8809640735462</v>
      </c>
      <c r="C19" s="6" t="s">
        <v>36</v>
      </c>
      <c r="D19" s="8" t="s">
        <v>37</v>
      </c>
      <c r="E19" s="10">
        <v>25000</v>
      </c>
      <c r="F19" s="10">
        <v>12750</v>
      </c>
      <c r="G19" s="20">
        <f t="shared" si="0"/>
        <v>0.51</v>
      </c>
      <c r="H19" s="9">
        <v>40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8809640735608</v>
      </c>
      <c r="C20" s="6" t="s">
        <v>38</v>
      </c>
      <c r="D20" s="8" t="s">
        <v>39</v>
      </c>
      <c r="E20" s="10">
        <v>27000</v>
      </c>
      <c r="F20" s="10">
        <v>13770</v>
      </c>
      <c r="G20" s="20">
        <f t="shared" si="0"/>
        <v>0.51</v>
      </c>
      <c r="H20" s="9">
        <v>30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8809640738197</v>
      </c>
      <c r="C21" s="6" t="s">
        <v>40</v>
      </c>
      <c r="D21" s="8" t="s">
        <v>41</v>
      </c>
      <c r="E21" s="10">
        <v>19800</v>
      </c>
      <c r="F21" s="10">
        <v>10098</v>
      </c>
      <c r="G21" s="20">
        <f t="shared" si="0"/>
        <v>0.51</v>
      </c>
      <c r="H21" s="9">
        <v>30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8809640736797</v>
      </c>
      <c r="C22" s="6" t="s">
        <v>42</v>
      </c>
      <c r="D22" s="8" t="s">
        <v>43</v>
      </c>
      <c r="E22" s="10">
        <v>17000</v>
      </c>
      <c r="F22" s="10">
        <v>8670</v>
      </c>
      <c r="G22" s="20">
        <f t="shared" si="0"/>
        <v>0.51</v>
      </c>
      <c r="H22" s="9">
        <v>40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8809640730559</v>
      </c>
      <c r="C23" s="6" t="s">
        <v>44</v>
      </c>
      <c r="D23" s="8" t="s">
        <v>45</v>
      </c>
      <c r="E23" s="10">
        <v>28000</v>
      </c>
      <c r="F23" s="10">
        <v>14280</v>
      </c>
      <c r="G23" s="20">
        <f t="shared" si="0"/>
        <v>0.51</v>
      </c>
      <c r="H23" s="9">
        <v>200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8809640737251</v>
      </c>
      <c r="C24" s="6" t="s">
        <v>46</v>
      </c>
      <c r="D24" s="8" t="s">
        <v>47</v>
      </c>
      <c r="E24" s="10">
        <v>36000</v>
      </c>
      <c r="F24" s="10">
        <v>18360</v>
      </c>
      <c r="G24" s="20">
        <f t="shared" si="0"/>
        <v>0.51</v>
      </c>
      <c r="H24" s="9">
        <v>50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>
        <v>8809640736650</v>
      </c>
      <c r="C25" s="6" t="s">
        <v>48</v>
      </c>
      <c r="D25" s="8" t="s">
        <v>49</v>
      </c>
      <c r="E25" s="10">
        <v>17000</v>
      </c>
      <c r="F25" s="10">
        <v>8670</v>
      </c>
      <c r="G25" s="20">
        <f t="shared" si="0"/>
        <v>0.51</v>
      </c>
      <c r="H25" s="9">
        <v>50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8809640735561</v>
      </c>
      <c r="C26" s="6" t="s">
        <v>50</v>
      </c>
      <c r="D26" s="8" t="s">
        <v>51</v>
      </c>
      <c r="E26" s="10">
        <v>14000</v>
      </c>
      <c r="F26" s="10">
        <v>7140</v>
      </c>
      <c r="G26" s="20">
        <f t="shared" si="0"/>
        <v>0.51</v>
      </c>
      <c r="H26" s="9">
        <v>30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8809640735813</v>
      </c>
      <c r="C27" s="6" t="s">
        <v>52</v>
      </c>
      <c r="D27" s="8" t="s">
        <v>53</v>
      </c>
      <c r="E27" s="10">
        <v>14000</v>
      </c>
      <c r="F27" s="10">
        <v>7140</v>
      </c>
      <c r="G27" s="20">
        <f t="shared" si="0"/>
        <v>0.51</v>
      </c>
      <c r="H27" s="9">
        <v>30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8800307372853</v>
      </c>
      <c r="C28" s="6" t="s">
        <v>54</v>
      </c>
      <c r="D28" s="8" t="s">
        <v>55</v>
      </c>
      <c r="E28" s="10">
        <v>25000</v>
      </c>
      <c r="F28" s="10">
        <v>12750</v>
      </c>
      <c r="G28" s="20">
        <f t="shared" si="0"/>
        <v>0.51</v>
      </c>
      <c r="H28" s="9">
        <v>30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8809640733550</v>
      </c>
      <c r="C29" s="6" t="s">
        <v>56</v>
      </c>
      <c r="D29" s="8" t="s">
        <v>57</v>
      </c>
      <c r="E29" s="10">
        <v>27000</v>
      </c>
      <c r="F29" s="10">
        <v>13770</v>
      </c>
      <c r="G29" s="20">
        <f t="shared" si="0"/>
        <v>0.51</v>
      </c>
      <c r="H29" s="9">
        <v>20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8809640734359</v>
      </c>
      <c r="C30" s="6" t="s">
        <v>58</v>
      </c>
      <c r="D30" s="8" t="s">
        <v>59</v>
      </c>
      <c r="E30" s="10">
        <v>25000</v>
      </c>
      <c r="F30" s="10">
        <v>12750</v>
      </c>
      <c r="G30" s="20">
        <f t="shared" si="0"/>
        <v>0.51</v>
      </c>
      <c r="H30" s="9">
        <v>60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8809640734342</v>
      </c>
      <c r="C31" s="6" t="s">
        <v>60</v>
      </c>
      <c r="D31" s="8" t="s">
        <v>61</v>
      </c>
      <c r="E31" s="10">
        <v>27000</v>
      </c>
      <c r="F31" s="10">
        <v>13770</v>
      </c>
      <c r="G31" s="20">
        <f t="shared" si="0"/>
        <v>0.51</v>
      </c>
      <c r="H31" s="9">
        <v>40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8809640734373</v>
      </c>
      <c r="C32" s="6" t="s">
        <v>62</v>
      </c>
      <c r="D32" s="8" t="s">
        <v>63</v>
      </c>
      <c r="E32" s="10">
        <v>35000</v>
      </c>
      <c r="F32" s="10">
        <v>17850</v>
      </c>
      <c r="G32" s="20">
        <f t="shared" si="0"/>
        <v>0.51</v>
      </c>
      <c r="H32" s="9">
        <v>80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>
        <v>8809640734519</v>
      </c>
      <c r="C33" s="6" t="s">
        <v>64</v>
      </c>
      <c r="D33" s="8" t="s">
        <v>65</v>
      </c>
      <c r="E33" s="10">
        <v>29000</v>
      </c>
      <c r="F33" s="10">
        <v>14790</v>
      </c>
      <c r="G33" s="20">
        <f t="shared" si="0"/>
        <v>0.51</v>
      </c>
      <c r="H33" s="9">
        <v>30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8809640734595</v>
      </c>
      <c r="C34" s="6" t="s">
        <v>66</v>
      </c>
      <c r="D34" s="8" t="s">
        <v>67</v>
      </c>
      <c r="E34" s="10">
        <v>39000</v>
      </c>
      <c r="F34" s="10">
        <v>19890</v>
      </c>
      <c r="G34" s="20">
        <f t="shared" si="0"/>
        <v>0.51</v>
      </c>
      <c r="H34" s="9">
        <v>30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8809640730696</v>
      </c>
      <c r="C35" s="6" t="s">
        <v>68</v>
      </c>
      <c r="D35" s="8" t="s">
        <v>69</v>
      </c>
      <c r="E35" s="10">
        <v>35000</v>
      </c>
      <c r="F35" s="10">
        <v>17850</v>
      </c>
      <c r="G35" s="20">
        <f t="shared" si="0"/>
        <v>0.51</v>
      </c>
      <c r="H35" s="9">
        <v>70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8809640733659</v>
      </c>
      <c r="C36" s="6" t="s">
        <v>70</v>
      </c>
      <c r="D36" s="8" t="s">
        <v>71</v>
      </c>
      <c r="E36" s="10">
        <v>15000</v>
      </c>
      <c r="F36" s="10">
        <v>7650</v>
      </c>
      <c r="G36" s="20">
        <f t="shared" si="0"/>
        <v>0.51</v>
      </c>
      <c r="H36" s="9">
        <v>40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8809640730283</v>
      </c>
      <c r="C37" s="6" t="s">
        <v>72</v>
      </c>
      <c r="D37" s="8" t="s">
        <v>73</v>
      </c>
      <c r="E37" s="10">
        <v>33000</v>
      </c>
      <c r="F37" s="10">
        <v>16830</v>
      </c>
      <c r="G37" s="20">
        <f t="shared" si="0"/>
        <v>0.51</v>
      </c>
      <c r="H37" s="9">
        <v>60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8809640732799</v>
      </c>
      <c r="C38" s="6" t="s">
        <v>74</v>
      </c>
      <c r="D38" s="8" t="s">
        <v>75</v>
      </c>
      <c r="E38" s="10">
        <v>28000</v>
      </c>
      <c r="F38" s="10">
        <v>14280</v>
      </c>
      <c r="G38" s="20">
        <f t="shared" si="0"/>
        <v>0.51</v>
      </c>
      <c r="H38" s="9">
        <v>40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8809640733666</v>
      </c>
      <c r="C39" s="6" t="s">
        <v>76</v>
      </c>
      <c r="D39" s="8" t="s">
        <v>77</v>
      </c>
      <c r="E39" s="10">
        <v>18000</v>
      </c>
      <c r="F39" s="10">
        <v>9180</v>
      </c>
      <c r="G39" s="20">
        <f t="shared" si="0"/>
        <v>0.51</v>
      </c>
      <c r="H39" s="9">
        <v>40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8809640733185</v>
      </c>
      <c r="C40" s="6" t="s">
        <v>78</v>
      </c>
      <c r="D40" s="8" t="s">
        <v>79</v>
      </c>
      <c r="E40" s="10">
        <v>25000</v>
      </c>
      <c r="F40" s="10">
        <v>12750</v>
      </c>
      <c r="G40" s="20">
        <f t="shared" si="0"/>
        <v>0.51</v>
      </c>
      <c r="H40" s="9">
        <v>60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>
        <v>8809640731211</v>
      </c>
      <c r="C41" s="6" t="s">
        <v>80</v>
      </c>
      <c r="D41" s="8" t="s">
        <v>81</v>
      </c>
      <c r="E41" s="10">
        <v>21000</v>
      </c>
      <c r="F41" s="10">
        <v>10710</v>
      </c>
      <c r="G41" s="20">
        <f t="shared" si="0"/>
        <v>0.51</v>
      </c>
      <c r="H41" s="9">
        <v>60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>
        <v>8809640731181</v>
      </c>
      <c r="C42" s="6" t="s">
        <v>82</v>
      </c>
      <c r="D42" s="8" t="s">
        <v>83</v>
      </c>
      <c r="E42" s="10">
        <v>27000</v>
      </c>
      <c r="F42" s="10">
        <v>13770</v>
      </c>
      <c r="G42" s="20">
        <f t="shared" si="0"/>
        <v>0.51</v>
      </c>
      <c r="H42" s="9">
        <v>60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8809640732324</v>
      </c>
      <c r="C43" s="6" t="s">
        <v>84</v>
      </c>
      <c r="D43" s="8" t="s">
        <v>85</v>
      </c>
      <c r="E43" s="10">
        <v>30000</v>
      </c>
      <c r="F43" s="10">
        <v>15300</v>
      </c>
      <c r="G43" s="20">
        <f t="shared" si="0"/>
        <v>0.51</v>
      </c>
      <c r="H43" s="9">
        <v>100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8809640732188</v>
      </c>
      <c r="C44" s="6" t="s">
        <v>86</v>
      </c>
      <c r="D44" s="8" t="s">
        <v>87</v>
      </c>
      <c r="E44" s="10">
        <v>26000</v>
      </c>
      <c r="F44" s="10">
        <v>13260</v>
      </c>
      <c r="G44" s="20">
        <f t="shared" si="0"/>
        <v>0.51</v>
      </c>
      <c r="H44" s="9">
        <v>60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8809640731570</v>
      </c>
      <c r="C45" s="6" t="s">
        <v>88</v>
      </c>
      <c r="D45" s="8" t="s">
        <v>89</v>
      </c>
      <c r="E45" s="10">
        <v>25000</v>
      </c>
      <c r="F45" s="10">
        <v>12750</v>
      </c>
      <c r="G45" s="20">
        <f t="shared" si="0"/>
        <v>0.51</v>
      </c>
      <c r="H45" s="9">
        <v>40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8809640733055</v>
      </c>
      <c r="C46" s="6" t="s">
        <v>90</v>
      </c>
      <c r="D46" s="8" t="s">
        <v>91</v>
      </c>
      <c r="E46" s="10">
        <v>39000</v>
      </c>
      <c r="F46" s="10">
        <v>19890</v>
      </c>
      <c r="G46" s="20">
        <f t="shared" si="0"/>
        <v>0.51</v>
      </c>
      <c r="H46" s="9">
        <v>80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8800307371313</v>
      </c>
      <c r="C47" s="6" t="s">
        <v>92</v>
      </c>
      <c r="D47" s="8" t="s">
        <v>93</v>
      </c>
      <c r="E47" s="10">
        <v>25000</v>
      </c>
      <c r="F47" s="10">
        <v>12750</v>
      </c>
      <c r="G47" s="20">
        <f t="shared" si="0"/>
        <v>0.51</v>
      </c>
      <c r="H47" s="9">
        <v>20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8809640734854</v>
      </c>
      <c r="C48" s="6" t="s">
        <v>94</v>
      </c>
      <c r="D48" s="8" t="s">
        <v>95</v>
      </c>
      <c r="E48" s="10">
        <v>21000</v>
      </c>
      <c r="F48" s="10">
        <v>10710</v>
      </c>
      <c r="G48" s="20">
        <f t="shared" si="0"/>
        <v>0.51</v>
      </c>
      <c r="H48" s="9">
        <v>30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>
        <v>43</v>
      </c>
      <c r="B49" s="7">
        <v>8809640730276</v>
      </c>
      <c r="C49" s="6" t="s">
        <v>96</v>
      </c>
      <c r="D49" s="8" t="s">
        <v>97</v>
      </c>
      <c r="E49" s="10">
        <v>4000</v>
      </c>
      <c r="F49" s="10">
        <v>2040</v>
      </c>
      <c r="G49" s="20">
        <f t="shared" si="0"/>
        <v>0.51</v>
      </c>
      <c r="H49" s="9"/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>
        <v>44</v>
      </c>
      <c r="B50" s="7">
        <v>8809640732515</v>
      </c>
      <c r="C50" s="6" t="s">
        <v>98</v>
      </c>
      <c r="D50" s="8" t="s">
        <v>99</v>
      </c>
      <c r="E50" s="10">
        <v>50000</v>
      </c>
      <c r="F50" s="10">
        <v>25500</v>
      </c>
      <c r="G50" s="20">
        <f t="shared" si="0"/>
        <v>0.51</v>
      </c>
      <c r="H50" s="9"/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>
        <v>45</v>
      </c>
      <c r="B51" s="7">
        <v>8809640730306</v>
      </c>
      <c r="C51" s="6" t="s">
        <v>100</v>
      </c>
      <c r="D51" s="8" t="s">
        <v>101</v>
      </c>
      <c r="E51" s="10">
        <v>40000</v>
      </c>
      <c r="F51" s="10">
        <v>20400</v>
      </c>
      <c r="G51" s="20">
        <f t="shared" si="0"/>
        <v>0.51</v>
      </c>
      <c r="H51" s="9"/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>
        <v>46</v>
      </c>
      <c r="B52" s="7">
        <v>8809640730665</v>
      </c>
      <c r="C52" s="6" t="s">
        <v>102</v>
      </c>
      <c r="D52" s="8" t="s">
        <v>103</v>
      </c>
      <c r="E52" s="10">
        <v>40000</v>
      </c>
      <c r="F52" s="10">
        <v>20400</v>
      </c>
      <c r="G52" s="20">
        <f t="shared" si="0"/>
        <v>0.51</v>
      </c>
      <c r="H52" s="9"/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>
        <v>47</v>
      </c>
      <c r="B53" s="7">
        <v>8809640731082</v>
      </c>
      <c r="C53" s="6" t="s">
        <v>104</v>
      </c>
      <c r="D53" s="8" t="s">
        <v>105</v>
      </c>
      <c r="E53" s="10">
        <v>40000</v>
      </c>
      <c r="F53" s="10">
        <v>20400</v>
      </c>
      <c r="G53" s="20">
        <f t="shared" si="0"/>
        <v>0.51</v>
      </c>
      <c r="H53" s="9"/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>
        <v>48</v>
      </c>
      <c r="B54" s="7">
        <v>8809640733635</v>
      </c>
      <c r="C54" s="6" t="s">
        <v>106</v>
      </c>
      <c r="D54" s="8" t="s">
        <v>107</v>
      </c>
      <c r="E54" s="10">
        <v>40000</v>
      </c>
      <c r="F54" s="10">
        <v>20400</v>
      </c>
      <c r="G54" s="20">
        <f t="shared" si="0"/>
        <v>0.51</v>
      </c>
      <c r="H54" s="9"/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>
        <v>49</v>
      </c>
      <c r="B55" s="7">
        <v>8809640734205</v>
      </c>
      <c r="C55" s="6" t="s">
        <v>108</v>
      </c>
      <c r="D55" s="8" t="s">
        <v>109</v>
      </c>
      <c r="E55" s="10">
        <v>40000</v>
      </c>
      <c r="F55" s="10">
        <v>20400</v>
      </c>
      <c r="G55" s="20">
        <f t="shared" si="0"/>
        <v>0.51</v>
      </c>
      <c r="H55" s="9"/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>
        <v>50</v>
      </c>
      <c r="B56" s="7">
        <v>8800307371306</v>
      </c>
      <c r="C56" s="6" t="s">
        <v>110</v>
      </c>
      <c r="D56" s="8" t="s">
        <v>111</v>
      </c>
      <c r="E56" s="10">
        <v>25000</v>
      </c>
      <c r="F56" s="10">
        <v>12750</v>
      </c>
      <c r="G56" s="20">
        <f t="shared" si="0"/>
        <v>0.51</v>
      </c>
      <c r="H56" s="9"/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>
        <v>51</v>
      </c>
      <c r="B57" s="7">
        <v>8809640737244</v>
      </c>
      <c r="C57" s="6" t="s">
        <v>112</v>
      </c>
      <c r="D57" s="8" t="s">
        <v>113</v>
      </c>
      <c r="E57" s="10">
        <v>24000</v>
      </c>
      <c r="F57" s="10">
        <v>12240</v>
      </c>
      <c r="G57" s="20">
        <f t="shared" si="0"/>
        <v>0.51</v>
      </c>
      <c r="H57" s="9"/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>
        <v>52</v>
      </c>
      <c r="B58" s="7">
        <v>8809640737237</v>
      </c>
      <c r="C58" s="6" t="s">
        <v>114</v>
      </c>
      <c r="D58" s="8" t="s">
        <v>115</v>
      </c>
      <c r="E58" s="10">
        <v>24000</v>
      </c>
      <c r="F58" s="10">
        <v>12240</v>
      </c>
      <c r="G58" s="20">
        <f t="shared" si="0"/>
        <v>0.51</v>
      </c>
      <c r="H58" s="9"/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>
        <v>53</v>
      </c>
      <c r="B59" s="7">
        <v>8809640737220</v>
      </c>
      <c r="C59" s="6" t="s">
        <v>116</v>
      </c>
      <c r="D59" s="8" t="s">
        <v>117</v>
      </c>
      <c r="E59" s="10">
        <v>24000</v>
      </c>
      <c r="F59" s="10">
        <v>12240</v>
      </c>
      <c r="G59" s="20">
        <f t="shared" si="0"/>
        <v>0.51</v>
      </c>
      <c r="H59" s="9"/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>
        <v>54</v>
      </c>
      <c r="B60" s="7">
        <v>8809640732508</v>
      </c>
      <c r="C60" s="6" t="s">
        <v>118</v>
      </c>
      <c r="D60" s="8" t="s">
        <v>119</v>
      </c>
      <c r="E60" s="10">
        <v>5000</v>
      </c>
      <c r="F60" s="10">
        <v>2550</v>
      </c>
      <c r="G60" s="20">
        <f t="shared" si="0"/>
        <v>0.51</v>
      </c>
      <c r="H60" s="9"/>
      <c r="I60" s="11"/>
      <c r="J60" s="12">
        <f t="shared" si="1"/>
        <v>0</v>
      </c>
      <c r="K60" s="13">
        <f t="shared" si="2"/>
        <v>0</v>
      </c>
    </row>
    <row r="61" spans="1:11" ht="30" customHeight="1" x14ac:dyDescent="0.3">
      <c r="A61" s="6">
        <v>55</v>
      </c>
      <c r="B61" s="7">
        <v>8809640730290</v>
      </c>
      <c r="C61" s="6" t="s">
        <v>120</v>
      </c>
      <c r="D61" s="8" t="s">
        <v>121</v>
      </c>
      <c r="E61" s="10">
        <v>4000</v>
      </c>
      <c r="F61" s="10">
        <v>2040</v>
      </c>
      <c r="G61" s="20">
        <f t="shared" si="0"/>
        <v>0.51</v>
      </c>
      <c r="H61" s="9"/>
      <c r="I61" s="11"/>
      <c r="J61" s="12">
        <f t="shared" si="1"/>
        <v>0</v>
      </c>
      <c r="K61" s="13">
        <f t="shared" si="2"/>
        <v>0</v>
      </c>
    </row>
    <row r="62" spans="1:11" ht="30" customHeight="1" x14ac:dyDescent="0.3">
      <c r="A62" s="6">
        <v>56</v>
      </c>
      <c r="B62" s="7">
        <v>8809640730658</v>
      </c>
      <c r="C62" s="6" t="s">
        <v>122</v>
      </c>
      <c r="D62" s="8" t="s">
        <v>123</v>
      </c>
      <c r="E62" s="10">
        <v>4000</v>
      </c>
      <c r="F62" s="10">
        <v>2040</v>
      </c>
      <c r="G62" s="20">
        <f t="shared" si="0"/>
        <v>0.51</v>
      </c>
      <c r="H62" s="9"/>
      <c r="I62" s="11"/>
      <c r="J62" s="12">
        <f t="shared" si="1"/>
        <v>0</v>
      </c>
      <c r="K62" s="13">
        <f t="shared" si="2"/>
        <v>0</v>
      </c>
    </row>
    <row r="63" spans="1:11" ht="30" customHeight="1" x14ac:dyDescent="0.3">
      <c r="A63" s="6">
        <v>57</v>
      </c>
      <c r="B63" s="7">
        <v>8809640731075</v>
      </c>
      <c r="C63" s="6" t="s">
        <v>124</v>
      </c>
      <c r="D63" s="8" t="s">
        <v>125</v>
      </c>
      <c r="E63" s="10">
        <v>4000</v>
      </c>
      <c r="F63" s="10">
        <v>2040</v>
      </c>
      <c r="G63" s="20">
        <f t="shared" si="0"/>
        <v>0.51</v>
      </c>
      <c r="H63" s="9"/>
      <c r="I63" s="11"/>
      <c r="J63" s="12">
        <f t="shared" si="1"/>
        <v>0</v>
      </c>
      <c r="K63" s="13">
        <f t="shared" si="2"/>
        <v>0</v>
      </c>
    </row>
    <row r="64" spans="1:11" ht="30" customHeight="1" x14ac:dyDescent="0.3">
      <c r="A64" s="6">
        <v>58</v>
      </c>
      <c r="B64" s="7">
        <v>8809640733628</v>
      </c>
      <c r="C64" s="6" t="s">
        <v>126</v>
      </c>
      <c r="D64" s="8" t="s">
        <v>127</v>
      </c>
      <c r="E64" s="10">
        <v>4000</v>
      </c>
      <c r="F64" s="10">
        <v>2040</v>
      </c>
      <c r="G64" s="20">
        <f t="shared" si="0"/>
        <v>0.51</v>
      </c>
      <c r="H64" s="9"/>
      <c r="I64" s="11"/>
      <c r="J64" s="12">
        <f t="shared" si="1"/>
        <v>0</v>
      </c>
      <c r="K64" s="13">
        <f t="shared" si="2"/>
        <v>0</v>
      </c>
    </row>
    <row r="65" spans="1:11" ht="30" customHeight="1" x14ac:dyDescent="0.3">
      <c r="A65" s="6">
        <v>59</v>
      </c>
      <c r="B65" s="7">
        <v>8809640734021</v>
      </c>
      <c r="C65" s="6" t="s">
        <v>128</v>
      </c>
      <c r="D65" s="8" t="s">
        <v>129</v>
      </c>
      <c r="E65" s="10">
        <v>4000</v>
      </c>
      <c r="F65" s="10">
        <v>2040</v>
      </c>
      <c r="G65" s="20">
        <f t="shared" si="0"/>
        <v>0.51</v>
      </c>
      <c r="H65" s="9"/>
      <c r="I65" s="11"/>
      <c r="J65" s="12">
        <f t="shared" si="1"/>
        <v>0</v>
      </c>
      <c r="K65" s="13">
        <f t="shared" si="2"/>
        <v>0</v>
      </c>
    </row>
    <row r="66" spans="1:11" ht="30" customHeight="1" x14ac:dyDescent="0.3">
      <c r="A66" s="6">
        <v>60</v>
      </c>
      <c r="B66" s="7">
        <v>8809640738241</v>
      </c>
      <c r="C66" s="6" t="s">
        <v>130</v>
      </c>
      <c r="D66" s="8" t="s">
        <v>131</v>
      </c>
      <c r="E66" s="10">
        <v>24000</v>
      </c>
      <c r="F66" s="10">
        <v>12240</v>
      </c>
      <c r="G66" s="20">
        <f t="shared" si="0"/>
        <v>0.51</v>
      </c>
      <c r="H66" s="9"/>
      <c r="I66" s="11"/>
      <c r="J66" s="12">
        <f t="shared" si="1"/>
        <v>0</v>
      </c>
      <c r="K66" s="13">
        <f t="shared" si="2"/>
        <v>0</v>
      </c>
    </row>
    <row r="67" spans="1:11" ht="30" customHeight="1" x14ac:dyDescent="0.3">
      <c r="A67" s="6">
        <v>61</v>
      </c>
      <c r="B67" s="7">
        <v>8809640738128</v>
      </c>
      <c r="C67" s="6" t="s">
        <v>132</v>
      </c>
      <c r="D67" s="8" t="s">
        <v>133</v>
      </c>
      <c r="E67" s="10">
        <v>24000</v>
      </c>
      <c r="F67" s="10">
        <v>12240</v>
      </c>
      <c r="G67" s="20">
        <f t="shared" si="0"/>
        <v>0.51</v>
      </c>
      <c r="H67" s="9"/>
      <c r="I67" s="11"/>
      <c r="J67" s="12">
        <f t="shared" si="1"/>
        <v>0</v>
      </c>
      <c r="K67" s="13">
        <f t="shared" si="2"/>
        <v>0</v>
      </c>
    </row>
    <row r="68" spans="1:11" ht="30" customHeight="1" x14ac:dyDescent="0.3">
      <c r="A68" s="6">
        <v>62</v>
      </c>
      <c r="B68" s="7">
        <v>8809640738227</v>
      </c>
      <c r="C68" s="6" t="s">
        <v>134</v>
      </c>
      <c r="D68" s="8" t="s">
        <v>135</v>
      </c>
      <c r="E68" s="10">
        <v>24000</v>
      </c>
      <c r="F68" s="10">
        <v>12240</v>
      </c>
      <c r="G68" s="20">
        <f t="shared" si="0"/>
        <v>0.51</v>
      </c>
      <c r="H68" s="9"/>
      <c r="I68" s="11"/>
      <c r="J68" s="12">
        <f t="shared" si="1"/>
        <v>0</v>
      </c>
      <c r="K68" s="13">
        <f t="shared" si="2"/>
        <v>0</v>
      </c>
    </row>
    <row r="69" spans="1:11" ht="30" customHeight="1" x14ac:dyDescent="0.3">
      <c r="A69" s="6">
        <v>63</v>
      </c>
      <c r="B69" s="7">
        <v>8809640738135</v>
      </c>
      <c r="C69" s="6" t="s">
        <v>136</v>
      </c>
      <c r="D69" s="8" t="s">
        <v>137</v>
      </c>
      <c r="E69" s="10">
        <v>32000</v>
      </c>
      <c r="F69" s="10">
        <v>16320</v>
      </c>
      <c r="G69" s="20">
        <f t="shared" si="0"/>
        <v>0.51</v>
      </c>
      <c r="H69" s="9"/>
      <c r="I69" s="11"/>
      <c r="J69" s="12">
        <f t="shared" si="1"/>
        <v>0</v>
      </c>
      <c r="K69" s="13">
        <f t="shared" si="2"/>
        <v>0</v>
      </c>
    </row>
    <row r="70" spans="1:11" ht="30" customHeight="1" x14ac:dyDescent="0.3">
      <c r="A70" s="6">
        <v>64</v>
      </c>
      <c r="B70" s="7">
        <v>8809640739507</v>
      </c>
      <c r="C70" s="6" t="s">
        <v>138</v>
      </c>
      <c r="D70" s="8" t="s">
        <v>139</v>
      </c>
      <c r="E70" s="10">
        <v>22000</v>
      </c>
      <c r="F70" s="10">
        <v>11220</v>
      </c>
      <c r="G70" s="20">
        <f t="shared" si="0"/>
        <v>0.51</v>
      </c>
      <c r="H70" s="9"/>
      <c r="I70" s="11"/>
      <c r="J70" s="12">
        <f t="shared" si="1"/>
        <v>0</v>
      </c>
      <c r="K70" s="13">
        <f t="shared" si="2"/>
        <v>0</v>
      </c>
    </row>
    <row r="71" spans="1:11" ht="30" customHeight="1" x14ac:dyDescent="0.3">
      <c r="A71" s="6">
        <v>65</v>
      </c>
      <c r="B71" s="7">
        <v>8809640737763</v>
      </c>
      <c r="C71" s="6" t="s">
        <v>140</v>
      </c>
      <c r="D71" s="8" t="s">
        <v>141</v>
      </c>
      <c r="E71" s="10">
        <v>4000</v>
      </c>
      <c r="F71" s="10">
        <v>2040</v>
      </c>
      <c r="G71" s="20">
        <f t="shared" si="0"/>
        <v>0.51</v>
      </c>
      <c r="H71" s="9"/>
      <c r="I71" s="11"/>
      <c r="J71" s="12">
        <f t="shared" si="1"/>
        <v>0</v>
      </c>
      <c r="K71" s="13">
        <f t="shared" si="2"/>
        <v>0</v>
      </c>
    </row>
    <row r="72" spans="1:11" ht="30" customHeight="1" x14ac:dyDescent="0.3">
      <c r="A72" s="6">
        <v>66</v>
      </c>
      <c r="B72" s="7">
        <v>8809640737800</v>
      </c>
      <c r="C72" s="6" t="s">
        <v>142</v>
      </c>
      <c r="D72" s="8" t="s">
        <v>143</v>
      </c>
      <c r="E72" s="10">
        <v>40000</v>
      </c>
      <c r="F72" s="10">
        <v>20400</v>
      </c>
      <c r="G72" s="20">
        <f t="shared" ref="G72:G91" si="3">F72/E72</f>
        <v>0.51</v>
      </c>
      <c r="H72" s="9"/>
      <c r="I72" s="11"/>
      <c r="J72" s="12">
        <f t="shared" ref="J72:J91" si="4">I72*H72</f>
        <v>0</v>
      </c>
      <c r="K72" s="13">
        <f t="shared" ref="K72:K91" si="5">IF($F72&gt;0,$J72*$F72,"")</f>
        <v>0</v>
      </c>
    </row>
    <row r="73" spans="1:11" ht="30" customHeight="1" x14ac:dyDescent="0.3">
      <c r="A73" s="6">
        <v>67</v>
      </c>
      <c r="B73" s="7">
        <v>8800307371672</v>
      </c>
      <c r="C73" s="6" t="s">
        <v>144</v>
      </c>
      <c r="D73" s="8" t="s">
        <v>145</v>
      </c>
      <c r="E73" s="10">
        <v>25000</v>
      </c>
      <c r="F73" s="10">
        <v>12750</v>
      </c>
      <c r="G73" s="20">
        <f t="shared" si="3"/>
        <v>0.51</v>
      </c>
      <c r="H73" s="9"/>
      <c r="I73" s="11"/>
      <c r="J73" s="12">
        <f t="shared" si="4"/>
        <v>0</v>
      </c>
      <c r="K73" s="13">
        <f t="shared" si="5"/>
        <v>0</v>
      </c>
    </row>
    <row r="74" spans="1:11" ht="30" customHeight="1" x14ac:dyDescent="0.3">
      <c r="A74" s="6">
        <v>68</v>
      </c>
      <c r="B74" s="7">
        <v>8800307370743</v>
      </c>
      <c r="C74" s="6" t="s">
        <v>146</v>
      </c>
      <c r="D74" s="8" t="s">
        <v>147</v>
      </c>
      <c r="E74" s="10">
        <v>25000</v>
      </c>
      <c r="F74" s="10">
        <v>12750</v>
      </c>
      <c r="G74" s="20">
        <f t="shared" si="3"/>
        <v>0.51</v>
      </c>
      <c r="H74" s="9"/>
      <c r="I74" s="11"/>
      <c r="J74" s="12">
        <f t="shared" si="4"/>
        <v>0</v>
      </c>
      <c r="K74" s="13">
        <f t="shared" si="5"/>
        <v>0</v>
      </c>
    </row>
    <row r="75" spans="1:11" ht="30" customHeight="1" x14ac:dyDescent="0.3">
      <c r="A75" s="6">
        <v>69</v>
      </c>
      <c r="B75" s="7">
        <v>8800307370095</v>
      </c>
      <c r="C75" s="6" t="s">
        <v>148</v>
      </c>
      <c r="D75" s="8" t="s">
        <v>149</v>
      </c>
      <c r="E75" s="10">
        <v>14000</v>
      </c>
      <c r="F75" s="10">
        <v>7140</v>
      </c>
      <c r="G75" s="20">
        <f t="shared" si="3"/>
        <v>0.51</v>
      </c>
      <c r="H75" s="9"/>
      <c r="I75" s="11"/>
      <c r="J75" s="12">
        <f t="shared" si="4"/>
        <v>0</v>
      </c>
      <c r="K75" s="13">
        <f t="shared" si="5"/>
        <v>0</v>
      </c>
    </row>
    <row r="76" spans="1:11" ht="30" customHeight="1" x14ac:dyDescent="0.3">
      <c r="A76" s="6">
        <v>70</v>
      </c>
      <c r="B76" s="7">
        <v>8800307370873</v>
      </c>
      <c r="C76" s="6" t="s">
        <v>150</v>
      </c>
      <c r="D76" s="8" t="s">
        <v>151</v>
      </c>
      <c r="E76" s="10">
        <v>9900</v>
      </c>
      <c r="F76" s="10">
        <v>5049</v>
      </c>
      <c r="G76" s="20">
        <f t="shared" si="3"/>
        <v>0.51</v>
      </c>
      <c r="H76" s="9"/>
      <c r="I76" s="11"/>
      <c r="J76" s="12">
        <f t="shared" si="4"/>
        <v>0</v>
      </c>
      <c r="K76" s="13">
        <f t="shared" si="5"/>
        <v>0</v>
      </c>
    </row>
    <row r="77" spans="1:11" ht="30" customHeight="1" x14ac:dyDescent="0.3">
      <c r="A77" s="6">
        <v>71</v>
      </c>
      <c r="B77" s="7">
        <v>8800307373157</v>
      </c>
      <c r="C77" s="6" t="s">
        <v>152</v>
      </c>
      <c r="D77" s="8" t="s">
        <v>153</v>
      </c>
      <c r="E77" s="10">
        <v>22000</v>
      </c>
      <c r="F77" s="10">
        <v>11220</v>
      </c>
      <c r="G77" s="20">
        <f t="shared" si="3"/>
        <v>0.51</v>
      </c>
      <c r="H77" s="9"/>
      <c r="I77" s="11"/>
      <c r="J77" s="12">
        <f t="shared" si="4"/>
        <v>0</v>
      </c>
      <c r="K77" s="13">
        <f t="shared" si="5"/>
        <v>0</v>
      </c>
    </row>
    <row r="78" spans="1:11" ht="30" customHeight="1" x14ac:dyDescent="0.3">
      <c r="A78" s="6">
        <v>72</v>
      </c>
      <c r="B78" s="7">
        <v>8800307374499</v>
      </c>
      <c r="C78" s="6" t="s">
        <v>154</v>
      </c>
      <c r="D78" s="8" t="s">
        <v>155</v>
      </c>
      <c r="E78" s="10">
        <v>14000</v>
      </c>
      <c r="F78" s="10">
        <v>7140</v>
      </c>
      <c r="G78" s="20">
        <f t="shared" si="3"/>
        <v>0.51</v>
      </c>
      <c r="H78" s="9"/>
      <c r="I78" s="11"/>
      <c r="J78" s="12">
        <f t="shared" si="4"/>
        <v>0</v>
      </c>
      <c r="K78" s="13">
        <f t="shared" si="5"/>
        <v>0</v>
      </c>
    </row>
    <row r="79" spans="1:11" ht="30" customHeight="1" x14ac:dyDescent="0.3">
      <c r="A79" s="6">
        <v>73</v>
      </c>
      <c r="B79" s="7">
        <v>8800307373331</v>
      </c>
      <c r="C79" s="6" t="s">
        <v>156</v>
      </c>
      <c r="D79" s="8" t="s">
        <v>157</v>
      </c>
      <c r="E79" s="10">
        <v>35000</v>
      </c>
      <c r="F79" s="10">
        <v>17850</v>
      </c>
      <c r="G79" s="20">
        <f t="shared" si="3"/>
        <v>0.51</v>
      </c>
      <c r="H79" s="9"/>
      <c r="I79" s="11"/>
      <c r="J79" s="12">
        <f t="shared" si="4"/>
        <v>0</v>
      </c>
      <c r="K79" s="13">
        <f t="shared" si="5"/>
        <v>0</v>
      </c>
    </row>
    <row r="80" spans="1:11" ht="30" customHeight="1" x14ac:dyDescent="0.3">
      <c r="A80" s="6">
        <v>74</v>
      </c>
      <c r="B80" s="7">
        <v>8809640738111</v>
      </c>
      <c r="C80" s="6" t="s">
        <v>158</v>
      </c>
      <c r="D80" s="8" t="s">
        <v>159</v>
      </c>
      <c r="E80" s="10">
        <v>24000</v>
      </c>
      <c r="F80" s="10">
        <v>12240</v>
      </c>
      <c r="G80" s="20">
        <f t="shared" si="3"/>
        <v>0.51</v>
      </c>
      <c r="H80" s="9"/>
      <c r="I80" s="11"/>
      <c r="J80" s="12">
        <f t="shared" si="4"/>
        <v>0</v>
      </c>
      <c r="K80" s="13">
        <f t="shared" si="5"/>
        <v>0</v>
      </c>
    </row>
    <row r="81" spans="1:11" ht="30" customHeight="1" x14ac:dyDescent="0.3">
      <c r="A81" s="6">
        <v>75</v>
      </c>
      <c r="B81" s="7">
        <v>8800307373379</v>
      </c>
      <c r="C81" s="6" t="s">
        <v>160</v>
      </c>
      <c r="D81" s="8" t="s">
        <v>161</v>
      </c>
      <c r="E81" s="10">
        <v>20000</v>
      </c>
      <c r="F81" s="10">
        <v>10200</v>
      </c>
      <c r="G81" s="20">
        <f t="shared" si="3"/>
        <v>0.51</v>
      </c>
      <c r="H81" s="9"/>
      <c r="I81" s="11"/>
      <c r="J81" s="12">
        <f t="shared" si="4"/>
        <v>0</v>
      </c>
      <c r="K81" s="13">
        <f t="shared" si="5"/>
        <v>0</v>
      </c>
    </row>
    <row r="82" spans="1:11" ht="30" customHeight="1" x14ac:dyDescent="0.3">
      <c r="A82" s="6">
        <v>76</v>
      </c>
      <c r="B82" s="7">
        <v>8800307373386</v>
      </c>
      <c r="C82" s="6" t="s">
        <v>162</v>
      </c>
      <c r="D82" s="8" t="s">
        <v>163</v>
      </c>
      <c r="E82" s="10">
        <v>20000</v>
      </c>
      <c r="F82" s="10">
        <v>10200</v>
      </c>
      <c r="G82" s="20">
        <f t="shared" si="3"/>
        <v>0.51</v>
      </c>
      <c r="H82" s="9"/>
      <c r="I82" s="11"/>
      <c r="J82" s="12">
        <f t="shared" si="4"/>
        <v>0</v>
      </c>
      <c r="K82" s="13">
        <f t="shared" si="5"/>
        <v>0</v>
      </c>
    </row>
    <row r="83" spans="1:11" ht="30" customHeight="1" x14ac:dyDescent="0.3">
      <c r="A83" s="6">
        <v>77</v>
      </c>
      <c r="B83" s="7">
        <v>8809640734281</v>
      </c>
      <c r="C83" s="6" t="s">
        <v>164</v>
      </c>
      <c r="D83" s="8" t="s">
        <v>165</v>
      </c>
      <c r="E83" s="10">
        <v>18000</v>
      </c>
      <c r="F83" s="10">
        <v>9180</v>
      </c>
      <c r="G83" s="20">
        <f t="shared" si="3"/>
        <v>0.51</v>
      </c>
      <c r="H83" s="9"/>
      <c r="I83" s="11"/>
      <c r="J83" s="12">
        <f t="shared" si="4"/>
        <v>0</v>
      </c>
      <c r="K83" s="13">
        <f t="shared" si="5"/>
        <v>0</v>
      </c>
    </row>
    <row r="84" spans="1:11" ht="30" customHeight="1" x14ac:dyDescent="0.3">
      <c r="A84" s="6">
        <v>78</v>
      </c>
      <c r="B84" s="7">
        <v>8809640731792</v>
      </c>
      <c r="C84" s="6" t="s">
        <v>166</v>
      </c>
      <c r="D84" s="8" t="s">
        <v>167</v>
      </c>
      <c r="E84" s="10">
        <v>5000</v>
      </c>
      <c r="F84" s="10">
        <v>2550</v>
      </c>
      <c r="G84" s="20">
        <f t="shared" si="3"/>
        <v>0.51</v>
      </c>
      <c r="H84" s="9"/>
      <c r="I84" s="11"/>
      <c r="J84" s="12">
        <f t="shared" si="4"/>
        <v>0</v>
      </c>
      <c r="K84" s="13">
        <f t="shared" si="5"/>
        <v>0</v>
      </c>
    </row>
    <row r="85" spans="1:11" ht="30" customHeight="1" x14ac:dyDescent="0.3">
      <c r="A85" s="6">
        <v>79</v>
      </c>
      <c r="B85" s="7">
        <v>8809640738401</v>
      </c>
      <c r="C85" s="6" t="s">
        <v>168</v>
      </c>
      <c r="D85" s="8" t="s">
        <v>169</v>
      </c>
      <c r="E85" s="10">
        <v>5000</v>
      </c>
      <c r="F85" s="10">
        <v>2550</v>
      </c>
      <c r="G85" s="20">
        <f t="shared" si="3"/>
        <v>0.51</v>
      </c>
      <c r="H85" s="9"/>
      <c r="I85" s="11"/>
      <c r="J85" s="12">
        <f t="shared" si="4"/>
        <v>0</v>
      </c>
      <c r="K85" s="13">
        <f t="shared" si="5"/>
        <v>0</v>
      </c>
    </row>
    <row r="86" spans="1:11" ht="30" customHeight="1" x14ac:dyDescent="0.3">
      <c r="A86" s="6">
        <v>80</v>
      </c>
      <c r="B86" s="7">
        <v>8809640739132</v>
      </c>
      <c r="C86" s="6" t="s">
        <v>170</v>
      </c>
      <c r="D86" s="8" t="s">
        <v>171</v>
      </c>
      <c r="E86" s="10">
        <v>12000</v>
      </c>
      <c r="F86" s="10">
        <v>6120</v>
      </c>
      <c r="G86" s="20">
        <f t="shared" si="3"/>
        <v>0.51</v>
      </c>
      <c r="H86" s="9"/>
      <c r="I86" s="11"/>
      <c r="J86" s="12">
        <f t="shared" si="4"/>
        <v>0</v>
      </c>
      <c r="K86" s="13">
        <f t="shared" si="5"/>
        <v>0</v>
      </c>
    </row>
    <row r="87" spans="1:11" ht="30" customHeight="1" x14ac:dyDescent="0.3">
      <c r="A87" s="6">
        <v>81</v>
      </c>
      <c r="B87" s="7">
        <v>8809640732805</v>
      </c>
      <c r="C87" s="6" t="s">
        <v>172</v>
      </c>
      <c r="D87" s="8" t="s">
        <v>173</v>
      </c>
      <c r="E87" s="10">
        <v>5000</v>
      </c>
      <c r="F87" s="10">
        <v>2550</v>
      </c>
      <c r="G87" s="20">
        <f t="shared" si="3"/>
        <v>0.51</v>
      </c>
      <c r="H87" s="9"/>
      <c r="I87" s="11"/>
      <c r="J87" s="12">
        <f t="shared" si="4"/>
        <v>0</v>
      </c>
      <c r="K87" s="13">
        <f t="shared" si="5"/>
        <v>0</v>
      </c>
    </row>
    <row r="88" spans="1:11" ht="30" customHeight="1" x14ac:dyDescent="0.3">
      <c r="A88" s="6">
        <v>82</v>
      </c>
      <c r="B88" s="7">
        <v>8809640735660</v>
      </c>
      <c r="C88" s="6" t="s">
        <v>174</v>
      </c>
      <c r="D88" s="8" t="s">
        <v>175</v>
      </c>
      <c r="E88" s="10">
        <v>13000</v>
      </c>
      <c r="F88" s="10">
        <v>6630</v>
      </c>
      <c r="G88" s="20">
        <f t="shared" si="3"/>
        <v>0.51</v>
      </c>
      <c r="H88" s="9"/>
      <c r="I88" s="11"/>
      <c r="J88" s="12">
        <f t="shared" si="4"/>
        <v>0</v>
      </c>
      <c r="K88" s="13">
        <f t="shared" si="5"/>
        <v>0</v>
      </c>
    </row>
    <row r="89" spans="1:11" ht="30" customHeight="1" x14ac:dyDescent="0.3">
      <c r="A89" s="6">
        <v>83</v>
      </c>
      <c r="B89" s="7">
        <v>8809640739729</v>
      </c>
      <c r="C89" s="6" t="s">
        <v>176</v>
      </c>
      <c r="D89" s="8" t="s">
        <v>177</v>
      </c>
      <c r="E89" s="10">
        <v>10000</v>
      </c>
      <c r="F89" s="10">
        <v>5100</v>
      </c>
      <c r="G89" s="20">
        <f t="shared" si="3"/>
        <v>0.51</v>
      </c>
      <c r="H89" s="9"/>
      <c r="I89" s="11"/>
      <c r="J89" s="12">
        <f t="shared" si="4"/>
        <v>0</v>
      </c>
      <c r="K89" s="13">
        <f t="shared" si="5"/>
        <v>0</v>
      </c>
    </row>
    <row r="90" spans="1:11" ht="30" customHeight="1" x14ac:dyDescent="0.3">
      <c r="A90" s="6">
        <v>84</v>
      </c>
      <c r="B90" s="7">
        <v>8809640733734</v>
      </c>
      <c r="C90" s="6" t="s">
        <v>178</v>
      </c>
      <c r="D90" s="8" t="s">
        <v>179</v>
      </c>
      <c r="E90" s="10">
        <v>5000</v>
      </c>
      <c r="F90" s="10">
        <v>2550</v>
      </c>
      <c r="G90" s="20">
        <f t="shared" si="3"/>
        <v>0.51</v>
      </c>
      <c r="H90" s="9"/>
      <c r="I90" s="11"/>
      <c r="J90" s="12">
        <f t="shared" si="4"/>
        <v>0</v>
      </c>
      <c r="K90" s="13">
        <f t="shared" si="5"/>
        <v>0</v>
      </c>
    </row>
    <row r="91" spans="1:11" ht="30" customHeight="1" x14ac:dyDescent="0.3">
      <c r="A91" s="6">
        <v>85</v>
      </c>
      <c r="B91" s="7">
        <v>8809640739606</v>
      </c>
      <c r="C91" s="6" t="s">
        <v>180</v>
      </c>
      <c r="D91" s="8" t="s">
        <v>181</v>
      </c>
      <c r="E91" s="10">
        <v>5000</v>
      </c>
      <c r="F91" s="10">
        <v>2550</v>
      </c>
      <c r="G91" s="20">
        <f t="shared" si="3"/>
        <v>0.51</v>
      </c>
      <c r="H91" s="9"/>
      <c r="I91" s="11"/>
      <c r="J91" s="12">
        <f t="shared" si="4"/>
        <v>0</v>
      </c>
      <c r="K91" s="13">
        <f t="shared" si="5"/>
        <v>0</v>
      </c>
    </row>
  </sheetData>
  <mergeCells count="2">
    <mergeCell ref="A1:C1"/>
    <mergeCell ref="E6:G6"/>
  </mergeCells>
  <phoneticPr fontId="2" type="noConversion"/>
  <conditionalFormatting sqref="J7:J91">
    <cfRule type="expression" dxfId="5" priority="1">
      <formula>#REF!="품절"</formula>
    </cfRule>
    <cfRule type="expression" dxfId="4" priority="2">
      <formula>#REF!="단종"</formula>
    </cfRule>
  </conditionalFormatting>
  <conditionalFormatting sqref="E5:G5 I5:K5 A5:D6 H5:H6 K7:K91">
    <cfRule type="expression" dxfId="3" priority="3">
      <formula>#REF!="품절"</formula>
    </cfRule>
    <cfRule type="expression" dxfId="2" priority="4">
      <formula>#REF!="단종"</formula>
    </cfRule>
  </conditionalFormatting>
  <conditionalFormatting sqref="E6:K6">
    <cfRule type="expression" dxfId="1" priority="5">
      <formula>$M7="품절"</formula>
    </cfRule>
    <cfRule type="expression" dxfId="0" priority="6">
      <formula>$M7="단종"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Sun Jin</cp:lastModifiedBy>
  <dcterms:created xsi:type="dcterms:W3CDTF">2026-01-07T03:25:48Z</dcterms:created>
  <dcterms:modified xsi:type="dcterms:W3CDTF">2026-07-01T06:32:53Z</dcterms:modified>
</cp:coreProperties>
</file>
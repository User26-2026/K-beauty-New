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C:\Users\user\Desktop\Papa cos\files\Buyers\2026\Russia\Price list to send\AFTERCHECK\26.07\"/>
    </mc:Choice>
  </mc:AlternateContent>
  <xr:revisionPtr revIDLastSave="0" documentId="13_ncr:1_{10D286DA-5216-4C48-8F9D-57DF2F7A2C80}" xr6:coauthVersionLast="47" xr6:coauthVersionMax="47" xr10:uidLastSave="{00000000-0000-0000-0000-000000000000}"/>
  <bookViews>
    <workbookView xWindow="-28920" yWindow="555" windowWidth="29040" windowHeight="15720" xr2:uid="{9999AC61-8E5C-480F-B905-95BDE599E29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J6" i="1" l="1"/>
  <c r="K49" i="1"/>
  <c r="L49" i="1" s="1"/>
  <c r="K50" i="1"/>
  <c r="L50" i="1" s="1"/>
  <c r="H49" i="1"/>
  <c r="H50" i="1"/>
  <c r="K8" i="1"/>
  <c r="L8" i="1" s="1"/>
  <c r="K9" i="1"/>
  <c r="L9" i="1" s="1"/>
  <c r="K10" i="1"/>
  <c r="L10" i="1" s="1"/>
  <c r="K11" i="1"/>
  <c r="L11" i="1" s="1"/>
  <c r="K12" i="1"/>
  <c r="L12" i="1" s="1"/>
  <c r="K13" i="1"/>
  <c r="L13" i="1" s="1"/>
  <c r="K14" i="1"/>
  <c r="L14" i="1" s="1"/>
  <c r="K15" i="1"/>
  <c r="L15" i="1" s="1"/>
  <c r="K16" i="1"/>
  <c r="L16" i="1" s="1"/>
  <c r="K17" i="1"/>
  <c r="L17" i="1" s="1"/>
  <c r="K18" i="1"/>
  <c r="L18" i="1" s="1"/>
  <c r="K19" i="1"/>
  <c r="L19" i="1" s="1"/>
  <c r="K20" i="1"/>
  <c r="L20" i="1" s="1"/>
  <c r="K21" i="1"/>
  <c r="L21" i="1" s="1"/>
  <c r="K22" i="1"/>
  <c r="L22" i="1" s="1"/>
  <c r="K23" i="1"/>
  <c r="L23" i="1" s="1"/>
  <c r="K24" i="1"/>
  <c r="L24" i="1" s="1"/>
  <c r="K25" i="1"/>
  <c r="L25" i="1" s="1"/>
  <c r="K26" i="1"/>
  <c r="L26" i="1" s="1"/>
  <c r="K27" i="1"/>
  <c r="L27" i="1" s="1"/>
  <c r="K28" i="1"/>
  <c r="L28" i="1"/>
  <c r="K29" i="1"/>
  <c r="L29" i="1" s="1"/>
  <c r="K30" i="1"/>
  <c r="L30" i="1"/>
  <c r="K31" i="1"/>
  <c r="L31" i="1" s="1"/>
  <c r="K32" i="1"/>
  <c r="L32" i="1" s="1"/>
  <c r="K33" i="1"/>
  <c r="L33" i="1" s="1"/>
  <c r="K34" i="1"/>
  <c r="L34" i="1"/>
  <c r="K35" i="1"/>
  <c r="L35" i="1" s="1"/>
  <c r="K36" i="1"/>
  <c r="L36" i="1" s="1"/>
  <c r="K37" i="1"/>
  <c r="L37" i="1" s="1"/>
  <c r="K38" i="1"/>
  <c r="L38" i="1" s="1"/>
  <c r="K39" i="1"/>
  <c r="L39" i="1" s="1"/>
  <c r="K40" i="1"/>
  <c r="L40" i="1" s="1"/>
  <c r="K41" i="1"/>
  <c r="L41" i="1" s="1"/>
  <c r="K42" i="1"/>
  <c r="L42" i="1"/>
  <c r="K43" i="1"/>
  <c r="L43" i="1"/>
  <c r="K44" i="1"/>
  <c r="L44" i="1" s="1"/>
  <c r="K45" i="1"/>
  <c r="L45" i="1" s="1"/>
  <c r="K46" i="1"/>
  <c r="L46" i="1" s="1"/>
  <c r="K47" i="1"/>
  <c r="L47" i="1" s="1"/>
  <c r="K48" i="1"/>
  <c r="L48" i="1" s="1"/>
  <c r="H8" i="1"/>
  <c r="H9" i="1"/>
  <c r="H10" i="1"/>
  <c r="H11" i="1"/>
  <c r="H12" i="1"/>
  <c r="H13" i="1"/>
  <c r="H14" i="1"/>
  <c r="H15" i="1"/>
  <c r="H16" i="1"/>
  <c r="H17" i="1"/>
  <c r="H18" i="1"/>
  <c r="H19" i="1"/>
  <c r="H20" i="1"/>
  <c r="H21" i="1"/>
  <c r="H22" i="1"/>
  <c r="H23" i="1"/>
  <c r="H24" i="1"/>
  <c r="H25" i="1"/>
  <c r="H26" i="1"/>
  <c r="H27" i="1"/>
  <c r="H28" i="1"/>
  <c r="H29" i="1"/>
  <c r="H30" i="1"/>
  <c r="H31" i="1"/>
  <c r="H32" i="1"/>
  <c r="H33" i="1"/>
  <c r="H34" i="1"/>
  <c r="H35" i="1"/>
  <c r="H36" i="1"/>
  <c r="H37" i="1"/>
  <c r="H38" i="1"/>
  <c r="H39" i="1"/>
  <c r="H40" i="1"/>
  <c r="H41" i="1"/>
  <c r="H42" i="1"/>
  <c r="H43" i="1"/>
  <c r="H44" i="1"/>
  <c r="H45" i="1"/>
  <c r="H46" i="1"/>
  <c r="H47" i="1"/>
  <c r="H48" i="1"/>
  <c r="K7" i="1" l="1"/>
  <c r="H7" i="1"/>
  <c r="K6" i="1" l="1"/>
  <c r="L7" i="1"/>
  <c r="L6" i="1" s="1"/>
</calcChain>
</file>

<file path=xl/sharedStrings.xml><?xml version="1.0" encoding="utf-8"?>
<sst xmlns="http://schemas.openxmlformats.org/spreadsheetml/2006/main" count="147" uniqueCount="126">
  <si>
    <t>NO</t>
    <phoneticPr fontId="4" type="noConversion"/>
  </si>
  <si>
    <t>Bar Code</t>
    <phoneticPr fontId="2" type="noConversion"/>
  </si>
  <si>
    <t>Product Name(EN)</t>
    <phoneticPr fontId="5" type="noConversion"/>
  </si>
  <si>
    <t>PCS / 
OUTBOX</t>
    <phoneticPr fontId="5" type="noConversion"/>
  </si>
  <si>
    <t>ORDER 
BOXES</t>
    <phoneticPr fontId="5" type="noConversion"/>
  </si>
  <si>
    <t>TOTAL 
QUANTITIES</t>
    <phoneticPr fontId="5" type="noConversion"/>
  </si>
  <si>
    <t>Total Supply Price</t>
    <phoneticPr fontId="2" type="noConversion"/>
  </si>
  <si>
    <t>TOTAL</t>
    <phoneticPr fontId="2" type="noConversion"/>
  </si>
  <si>
    <t>Product Name(KR)</t>
    <phoneticPr fontId="5" type="noConversion"/>
  </si>
  <si>
    <t>갈락나이아신3.0에센스60(일원화용)</t>
  </si>
  <si>
    <t>ma:nyo GALAC NIACIN 3.0 ESSENCE</t>
  </si>
  <si>
    <t>갈락나이아신3.0에센스30(일원화용)</t>
  </si>
  <si>
    <t>마녀공장 갈락토미 클리어스킨 토너</t>
  </si>
  <si>
    <t>ma:nyo GALACTOMY CLEARSKIN TONER</t>
  </si>
  <si>
    <t>마녀공장 갈락토미 엔자임 필링젤</t>
  </si>
  <si>
    <t>ma:nyo GALACTOMY ENZYME PEELING GEL</t>
  </si>
  <si>
    <t>마녀공장 갈락 나이아신 에센스 마스크 (1매)</t>
  </si>
  <si>
    <t>ma:nyo GALAC NIACIN ESSENCE MASK (1 SHEET)</t>
  </si>
  <si>
    <t>마녀공장 갈락 나이아신 에센스 마스크 (10매)</t>
  </si>
  <si>
    <t>ma:nyo GALAC NIACIN ESSENCE MASK (30G/10SHEETS)</t>
  </si>
  <si>
    <t>마녀공장 갈락토미 모이스처 선세럼</t>
  </si>
  <si>
    <t>ma:nyo GALACTOMY MOISTURE SUN SERUM</t>
  </si>
  <si>
    <t>마녀공장 비피다 바이옴 콤플렉스 앰플</t>
  </si>
  <si>
    <t>ma:nyo BIFIDA BIOME COMPLEX AMPOULE</t>
  </si>
  <si>
    <t>마녀공장 비피다 바이옴 앰플 토너</t>
  </si>
  <si>
    <t>ma:nyo BIFIDA BIOME AMPOULE TONER</t>
  </si>
  <si>
    <t>마녀공장 비피다 바이옴 앰플 로션</t>
  </si>
  <si>
    <t>ma:nyo BIFIDA BIOME AMPOULE LOTION</t>
  </si>
  <si>
    <t>마녀공장 비피다 바이옴 아쿠아 베리어 크림</t>
  </si>
  <si>
    <t>ma:nyo BIFIDA BIOME AQUA BARRIER CREAM</t>
  </si>
  <si>
    <t>마녀공장 비피다 바이옴 컨센트레이트 세럼</t>
  </si>
  <si>
    <t>ma:nyo BIFIDA BIOME CONCENTRATE SERUM</t>
  </si>
  <si>
    <t>마녀공장 비피다 바이옴 컨센트레이트 아이크림</t>
  </si>
  <si>
    <t>ma:nyo BIFIDA BIOME CONCENTRATE EYE CREAM</t>
  </si>
  <si>
    <t>마녀공장 비피다 바이옴 앰플마스크 (1매)</t>
  </si>
  <si>
    <t>ma:nyo BIFIDA BIOME AMPOULE MASK (1 SHEET)</t>
  </si>
  <si>
    <t>마녀공장 비피다 바이옴 앰플마스크 (10매)</t>
  </si>
  <si>
    <t>ma:nyo BIFIDA BIOME AMPOULE MASK (30G/10SHEETS)</t>
  </si>
  <si>
    <t>마녀공장 갈락화이트닝비타세럼50</t>
  </si>
  <si>
    <t>ma:nyo GALAC WHITENING VITA SERUM</t>
  </si>
  <si>
    <t>마녀공장 비피다시카허브토너210</t>
  </si>
  <si>
    <t>ma:nyo BIFIDA CICA HERB TONER</t>
  </si>
  <si>
    <t>마녀공장 비피다시카허브세럼50</t>
  </si>
  <si>
    <t>ma:nyo BIFIDA CICA HERB SERUM</t>
  </si>
  <si>
    <t>마녀공장 딥 포어 클렌징 소다폼</t>
  </si>
  <si>
    <t>ma:nyo DEEP PORE CLEANSING SODA FOAM</t>
  </si>
  <si>
    <t>퓨어소이빈클렌징폼120(일원화)</t>
  </si>
  <si>
    <t>manyo Pure Soybean Cleansing Foam</t>
  </si>
  <si>
    <t>퓨어소이빈클렌징폼160(일원화)</t>
  </si>
  <si>
    <t>마녀공장 비피다 앰플 젤 클렌저</t>
  </si>
  <si>
    <t>ma:nyo BIFIDA COMPLEX AMPOULE GEL CLEANSER</t>
  </si>
  <si>
    <t>퓨어소이빈클렌징오일200(일원화)</t>
  </si>
  <si>
    <t xml:space="preserve">manyo Pure Soybean Cleansing Oil </t>
  </si>
  <si>
    <t>마녀공장 블랙헤드&amp;포어 토너</t>
  </si>
  <si>
    <t>ma:nyo BLACKHEAD &amp; PORE TONER</t>
  </si>
  <si>
    <t>마녀공장 블랙헤드&amp;포어 크림</t>
  </si>
  <si>
    <t>ma:nyo BLACKHEAD &amp; PORE CREAM</t>
  </si>
  <si>
    <t>마녀공장 파데 프리 선크림</t>
  </si>
  <si>
    <t>ma:nyo FOUNDATION- FREE SUN CREAM</t>
  </si>
  <si>
    <t>마녀공장 판테토인 에센스 토너</t>
  </si>
  <si>
    <t>ma:nyo PANTHETOIN ESSENCE TONER</t>
  </si>
  <si>
    <t>마녀공장 판테토인 크림</t>
  </si>
  <si>
    <t>ma:nyo PANTHETOIN CREAM</t>
  </si>
  <si>
    <t>마녀공장 히알루론하이드레이팅선크림50</t>
  </si>
  <si>
    <t>ma:nyo HYALURON HYDRATING SUNSCREEN</t>
  </si>
  <si>
    <t>퓨어소이빈클렌징워터500(일원화_리무버펌프타입)</t>
  </si>
  <si>
    <t>manyo Pure Soybean Cleansing Water</t>
  </si>
  <si>
    <t>마녀공장 트라이얼 키트</t>
  </si>
  <si>
    <t>ma:nyo BEST SELLERS TRIAL KIT</t>
  </si>
  <si>
    <t>마녀공장 로터스포어타이트닝세럼30</t>
  </si>
  <si>
    <t>ma:nyo Lotus Pore Tightening Serum</t>
  </si>
  <si>
    <t>마녀공장 로터스포어타이트닝세럼55</t>
  </si>
  <si>
    <t>마녀공장 로터스프라이머프리선크림50</t>
  </si>
  <si>
    <t>ma:nyo Lotus Primer-Free Sunscreen</t>
  </si>
  <si>
    <t>마녀공장 로터스포어타이트핏마스크25(1ea)</t>
  </si>
  <si>
    <t>ma:nyo Lotus Pore Tight-Fit Mask (1 SHEET)</t>
  </si>
  <si>
    <t>마녀공장 브이콜라겐딥앰플겔마스크34(1ea)</t>
  </si>
  <si>
    <t>ma:nyo Vcollagen Deep Ampoule Gel Mask</t>
  </si>
  <si>
    <t>퓨어소이빈클렌징밀크200(일원화용)(디자인리뉴얼)</t>
  </si>
  <si>
    <t>ma:nyo Pure Soybean Cleansing Milk</t>
  </si>
  <si>
    <t>글루타치온7다크스팟세럼패치30매(일원화)</t>
  </si>
  <si>
    <t>manyo Glutathione 7 Dark Spot Serum Patch</t>
  </si>
  <si>
    <t>마녀공장글루타치온7다크스팟세럼30(일원화)</t>
  </si>
  <si>
    <t>manyo Glutathione 7 Dark Spot Serum</t>
  </si>
  <si>
    <t>MSRP
(KRW)</t>
  </si>
  <si>
    <t>Supply Price
(KRW)</t>
  </si>
  <si>
    <t>Supply Rate</t>
  </si>
  <si>
    <t>PAPACOSMETIC MA:ANYO PRICE LIST</t>
    <phoneticPr fontId="2" type="noConversion"/>
  </si>
  <si>
    <t>MOA : \100,000,000</t>
    <phoneticPr fontId="2" type="noConversion"/>
  </si>
  <si>
    <t>마녀공장 갈락화이트닝비타토너210</t>
  </si>
  <si>
    <t>ma:nyo GALAC WHITENING VITA TONER</t>
  </si>
  <si>
    <t>마녀공장 딥 클리어 클렌징 밤</t>
  </si>
  <si>
    <t>ma:nyo DEEP CLEAR CLEANSING BALM</t>
  </si>
  <si>
    <t>마녀공장 퓨어 클렌징 오일 딥 클린</t>
  </si>
  <si>
    <t>ma:nyo PURE CLEANSING OIL DEEP CLEAN</t>
  </si>
  <si>
    <t>마녀공장 비피다인퓨전샷앰플1디엑스50</t>
  </si>
  <si>
    <t>ma:nyo BIFIDA INFUSION SHOT AMPOULE 1DX</t>
  </si>
  <si>
    <t>60ml</t>
    <phoneticPr fontId="4" type="noConversion"/>
  </si>
  <si>
    <t>30ml</t>
  </si>
  <si>
    <t>210ml</t>
    <phoneticPr fontId="15" type="noConversion"/>
  </si>
  <si>
    <t>75ml</t>
    <phoneticPr fontId="15" type="noConversion"/>
  </si>
  <si>
    <t>1 SHEET</t>
    <phoneticPr fontId="4" type="noConversion"/>
  </si>
  <si>
    <t>10 SHEET</t>
    <phoneticPr fontId="4" type="noConversion"/>
  </si>
  <si>
    <t>50ml</t>
    <phoneticPr fontId="15" type="noConversion"/>
  </si>
  <si>
    <t>30ml</t>
    <phoneticPr fontId="15" type="noConversion"/>
  </si>
  <si>
    <t>210ml</t>
    <phoneticPr fontId="4" type="noConversion"/>
  </si>
  <si>
    <t>300ml</t>
    <phoneticPr fontId="15" type="noConversion"/>
  </si>
  <si>
    <t>80ml</t>
    <phoneticPr fontId="15" type="noConversion"/>
  </si>
  <si>
    <t>35ml</t>
    <phoneticPr fontId="15" type="noConversion"/>
  </si>
  <si>
    <t>150ml</t>
    <phoneticPr fontId="15" type="noConversion"/>
  </si>
  <si>
    <t>120ml</t>
    <phoneticPr fontId="4" type="noConversion"/>
  </si>
  <si>
    <t>160ml</t>
    <phoneticPr fontId="4" type="noConversion"/>
  </si>
  <si>
    <t>400ml</t>
    <phoneticPr fontId="15" type="noConversion"/>
  </si>
  <si>
    <t>200ml</t>
  </si>
  <si>
    <t>200ml</t>
    <phoneticPr fontId="4" type="noConversion"/>
  </si>
  <si>
    <t>80ml</t>
    <phoneticPr fontId="4" type="noConversion"/>
  </si>
  <si>
    <t>50ml</t>
    <phoneticPr fontId="4" type="noConversion"/>
  </si>
  <si>
    <t>500ml</t>
  </si>
  <si>
    <t>SET</t>
  </si>
  <si>
    <t>30ml</t>
    <phoneticPr fontId="4" type="noConversion"/>
  </si>
  <si>
    <t>55ml</t>
    <phoneticPr fontId="4" type="noConversion"/>
  </si>
  <si>
    <t>50ml</t>
  </si>
  <si>
    <t>1 SHEET</t>
  </si>
  <si>
    <t>30 sheet/72g</t>
    <phoneticPr fontId="4" type="noConversion"/>
  </si>
  <si>
    <t>132ml</t>
  </si>
  <si>
    <t>Volume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</si>
</sst>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76" formatCode="_-[$₩-412]* #,##0_-;\-[$₩-412]* #,##0_-;_-[$₩-412]* &quot;-&quot;??_-;_-@_-"/>
    <numFmt numFmtId="177" formatCode="#,##0_ "/>
    <numFmt numFmtId="178" formatCode="_-* #,##0_-;\-* #,##0_-;_-* &quot;-&quot;_-;_-@_-"/>
    <numFmt numFmtId="179" formatCode="&quot;₩&quot;#,##0_);[Red]\(&quot;₩&quot;#,##0\)"/>
    <numFmt numFmtId="180" formatCode="0_);[Red]\(0\)"/>
  </numFmts>
  <fonts count="16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sz val="8"/>
      <name val="맑은 고딕"/>
      <family val="3"/>
      <charset val="129"/>
    </font>
    <font>
      <sz val="8"/>
      <name val="맑은 고딕"/>
      <family val="3"/>
      <charset val="129"/>
      <scheme val="minor"/>
    </font>
    <font>
      <b/>
      <sz val="14"/>
      <color rgb="FF00B0F0"/>
      <name val="맑은 고딕"/>
      <family val="3"/>
      <charset val="129"/>
      <scheme val="minor"/>
    </font>
    <font>
      <b/>
      <sz val="11"/>
      <color theme="5"/>
      <name val="맑은 고딕"/>
      <family val="3"/>
      <charset val="129"/>
      <scheme val="minor"/>
    </font>
    <font>
      <sz val="11"/>
      <color theme="1"/>
      <name val="맑은 고딕"/>
      <family val="3"/>
      <charset val="129"/>
      <scheme val="minor"/>
    </font>
    <font>
      <sz val="11"/>
      <name val="맑은 고딕"/>
      <family val="3"/>
      <charset val="129"/>
      <scheme val="minor"/>
    </font>
    <font>
      <b/>
      <sz val="11"/>
      <color theme="0"/>
      <name val="맑은 고딕"/>
      <family val="3"/>
      <charset val="129"/>
      <scheme val="minor"/>
    </font>
    <font>
      <b/>
      <sz val="14"/>
      <color theme="1"/>
      <name val="맑은 고딕"/>
      <family val="3"/>
      <charset val="129"/>
      <scheme val="minor"/>
    </font>
    <font>
      <b/>
      <sz val="16"/>
      <color theme="1"/>
      <name val="맑은 고딕"/>
      <family val="3"/>
      <charset val="129"/>
      <scheme val="minor"/>
    </font>
    <font>
      <sz val="11"/>
      <name val="돋움"/>
      <family val="3"/>
      <charset val="129"/>
    </font>
    <font>
      <sz val="12"/>
      <name val="맑은 고딕"/>
      <family val="3"/>
      <charset val="129"/>
      <scheme val="major"/>
    </font>
    <font>
      <sz val="8"/>
      <color rgb="FF000000"/>
      <name val="맑은 고딕"/>
      <family val="3"/>
      <charset val="129"/>
      <scheme val="minor"/>
    </font>
  </fonts>
  <fills count="7">
    <fill>
      <patternFill patternType="none"/>
    </fill>
    <fill>
      <patternFill patternType="gray125"/>
    </fill>
    <fill>
      <patternFill patternType="solid">
        <fgColor theme="9" tint="0.79998168889431442"/>
        <bgColor indexed="65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theme="6" tint="0.59999389629810485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">
    <xf numFmtId="0" fontId="0" fillId="0" borderId="0">
      <alignment vertical="center"/>
    </xf>
    <xf numFmtId="0" fontId="1" fillId="2" borderId="0" applyNumberFormat="0" applyBorder="0" applyAlignment="0" applyProtection="0">
      <alignment vertical="center"/>
    </xf>
    <xf numFmtId="0" fontId="13" fillId="0" borderId="0">
      <alignment vertical="center"/>
    </xf>
    <xf numFmtId="0" fontId="13" fillId="0" borderId="0">
      <alignment vertical="center"/>
    </xf>
  </cellStyleXfs>
  <cellXfs count="27">
    <xf numFmtId="0" fontId="0" fillId="0" borderId="0" xfId="0">
      <alignment vertical="center"/>
    </xf>
    <xf numFmtId="176" fontId="0" fillId="0" borderId="0" xfId="0" applyNumberFormat="1">
      <alignment vertical="center"/>
    </xf>
    <xf numFmtId="0" fontId="3" fillId="3" borderId="1" xfId="1" applyFont="1" applyFill="1" applyBorder="1" applyAlignment="1">
      <alignment horizontal="center" vertical="center"/>
    </xf>
    <xf numFmtId="178" fontId="7" fillId="4" borderId="1" xfId="1" applyNumberFormat="1" applyFont="1" applyFill="1" applyBorder="1" applyAlignment="1">
      <alignment horizontal="center" vertical="center"/>
    </xf>
    <xf numFmtId="178" fontId="7" fillId="0" borderId="1" xfId="1" applyNumberFormat="1" applyFont="1" applyFill="1" applyBorder="1" applyAlignment="1">
      <alignment horizontal="center" vertical="center"/>
    </xf>
    <xf numFmtId="179" fontId="7" fillId="0" borderId="1" xfId="1" applyNumberFormat="1" applyFont="1" applyFill="1" applyBorder="1" applyAlignment="1">
      <alignment horizontal="center" vertical="center"/>
    </xf>
    <xf numFmtId="0" fontId="8" fillId="0" borderId="1" xfId="0" applyFont="1" applyBorder="1" applyAlignment="1">
      <alignment horizontal="center" vertical="center"/>
    </xf>
    <xf numFmtId="180" fontId="8" fillId="0" borderId="1" xfId="0" applyNumberFormat="1" applyFont="1" applyBorder="1" applyAlignment="1">
      <alignment horizontal="center" vertical="center" wrapText="1"/>
    </xf>
    <xf numFmtId="0" fontId="9" fillId="0" borderId="1" xfId="0" applyFont="1" applyBorder="1" applyAlignment="1">
      <alignment horizontal="center" vertical="center"/>
    </xf>
    <xf numFmtId="180" fontId="9" fillId="0" borderId="1" xfId="0" applyNumberFormat="1" applyFont="1" applyBorder="1" applyAlignment="1">
      <alignment horizontal="center" vertical="center" wrapText="1"/>
    </xf>
    <xf numFmtId="179" fontId="9" fillId="0" borderId="1" xfId="0" applyNumberFormat="1" applyFont="1" applyBorder="1" applyAlignment="1">
      <alignment horizontal="center" vertical="center" wrapText="1"/>
    </xf>
    <xf numFmtId="0" fontId="0" fillId="4" borderId="1" xfId="0" applyFill="1" applyBorder="1">
      <alignment vertical="center"/>
    </xf>
    <xf numFmtId="178" fontId="8" fillId="0" borderId="1" xfId="0" applyNumberFormat="1" applyFont="1" applyBorder="1" applyAlignment="1">
      <alignment horizontal="center" vertical="center"/>
    </xf>
    <xf numFmtId="179" fontId="8" fillId="0" borderId="1" xfId="0" applyNumberFormat="1" applyFont="1" applyBorder="1" applyAlignment="1">
      <alignment horizontal="center" vertical="center"/>
    </xf>
    <xf numFmtId="0" fontId="10" fillId="5" borderId="1" xfId="1" applyFont="1" applyFill="1" applyBorder="1" applyAlignment="1">
      <alignment horizontal="center" vertical="center"/>
    </xf>
    <xf numFmtId="0" fontId="10" fillId="5" borderId="1" xfId="1" applyFont="1" applyFill="1" applyBorder="1" applyAlignment="1">
      <alignment horizontal="center" vertical="center" wrapText="1"/>
    </xf>
    <xf numFmtId="177" fontId="10" fillId="5" borderId="1" xfId="1" applyNumberFormat="1" applyFont="1" applyFill="1" applyBorder="1" applyAlignment="1">
      <alignment horizontal="center" vertical="center" wrapText="1"/>
    </xf>
    <xf numFmtId="176" fontId="10" fillId="5" borderId="1" xfId="1" applyNumberFormat="1" applyFont="1" applyFill="1" applyBorder="1" applyAlignment="1">
      <alignment horizontal="center" vertical="center" wrapText="1"/>
    </xf>
    <xf numFmtId="176" fontId="10" fillId="5" borderId="1" xfId="1" applyNumberFormat="1" applyFont="1" applyFill="1" applyBorder="1" applyAlignment="1">
      <alignment horizontal="center" vertical="center"/>
    </xf>
    <xf numFmtId="0" fontId="11" fillId="0" borderId="0" xfId="0" applyFont="1" applyAlignment="1">
      <alignment horizontal="center" vertical="center"/>
    </xf>
    <xf numFmtId="10" fontId="8" fillId="0" borderId="1" xfId="0" applyNumberFormat="1" applyFont="1" applyBorder="1" applyAlignment="1">
      <alignment horizontal="center" vertical="center" wrapText="1"/>
    </xf>
    <xf numFmtId="0" fontId="12" fillId="6" borderId="0" xfId="0" quotePrefix="1" applyFont="1" applyFill="1" applyAlignment="1">
      <alignment horizontal="center" vertical="center"/>
    </xf>
    <xf numFmtId="0" fontId="14" fillId="3" borderId="1" xfId="2" applyFont="1" applyFill="1" applyBorder="1" applyAlignment="1">
      <alignment horizontal="center" vertical="center"/>
    </xf>
    <xf numFmtId="0" fontId="14" fillId="3" borderId="1" xfId="3" applyFont="1" applyFill="1" applyBorder="1" applyAlignment="1">
      <alignment horizontal="center" vertical="center"/>
    </xf>
    <xf numFmtId="0" fontId="6" fillId="0" borderId="2" xfId="0" applyFont="1" applyBorder="1" applyAlignment="1">
      <alignment horizontal="center" vertical="center" wrapText="1" shrinkToFit="1"/>
    </xf>
    <xf numFmtId="0" fontId="6" fillId="0" borderId="3" xfId="0" applyFont="1" applyBorder="1" applyAlignment="1">
      <alignment horizontal="center" vertical="center" wrapText="1" shrinkToFit="1"/>
    </xf>
    <xf numFmtId="0" fontId="6" fillId="0" borderId="4" xfId="0" applyFont="1" applyBorder="1" applyAlignment="1">
      <alignment horizontal="center" vertical="center" wrapText="1" shrinkToFit="1"/>
    </xf>
  </cellXfs>
  <cellStyles count="4">
    <cellStyle name="20% - Accent6" xfId="1" builtinId="50"/>
    <cellStyle name="Normal" xfId="0" builtinId="0"/>
    <cellStyle name="표준 2 2" xfId="2" xr:uid="{BE65B031-06C1-4FC0-B7D3-E9CFBA30FF70}"/>
    <cellStyle name="표준 2 2 2" xfId="3" xr:uid="{F7E6540B-86E4-4F77-A238-5FA04A46CFAF}"/>
  </cellStyles>
  <dxfs count="8"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52E3E2-90B0-403A-99C2-4817F58E66FE}">
  <dimension ref="A1:L458"/>
  <sheetViews>
    <sheetView tabSelected="1" topLeftCell="B1" zoomScale="85" zoomScaleNormal="85" workbookViewId="0">
      <selection activeCell="N7" sqref="N7"/>
    </sheetView>
  </sheetViews>
  <sheetFormatPr defaultRowHeight="16.5" x14ac:dyDescent="0.3"/>
  <cols>
    <col min="2" max="2" width="15.625" bestFit="1" customWidth="1"/>
    <col min="3" max="3" width="47.75" bestFit="1" customWidth="1"/>
    <col min="4" max="4" width="50.625" customWidth="1"/>
    <col min="5" max="5" width="12.875" customWidth="1"/>
    <col min="6" max="6" width="13.375" customWidth="1"/>
    <col min="7" max="7" width="11.875" bestFit="1" customWidth="1"/>
    <col min="9" max="9" width="16.875" bestFit="1" customWidth="1"/>
    <col min="10" max="10" width="22.5" bestFit="1" customWidth="1"/>
    <col min="11" max="11" width="20.125" bestFit="1" customWidth="1"/>
    <col min="12" max="12" width="20.125" customWidth="1"/>
  </cols>
  <sheetData>
    <row r="1" spans="1:12" ht="41.25" customHeight="1" x14ac:dyDescent="0.3">
      <c r="A1" s="21" t="s">
        <v>87</v>
      </c>
      <c r="B1" s="21"/>
      <c r="C1" s="21"/>
      <c r="D1" s="19" t="s">
        <v>88</v>
      </c>
    </row>
    <row r="4" spans="1:12" x14ac:dyDescent="0.3">
      <c r="F4" s="1"/>
      <c r="G4" s="1"/>
    </row>
    <row r="5" spans="1:12" ht="30" customHeight="1" x14ac:dyDescent="0.3">
      <c r="A5" s="14" t="s">
        <v>0</v>
      </c>
      <c r="B5" s="14" t="s">
        <v>1</v>
      </c>
      <c r="C5" s="14" t="s">
        <v>8</v>
      </c>
      <c r="D5" s="14" t="s">
        <v>2</v>
      </c>
      <c r="E5" s="14" t="s">
        <v>125</v>
      </c>
      <c r="F5" s="16" t="s">
        <v>84</v>
      </c>
      <c r="G5" s="16" t="s">
        <v>85</v>
      </c>
      <c r="H5" s="17" t="s">
        <v>86</v>
      </c>
      <c r="I5" s="15" t="s">
        <v>3</v>
      </c>
      <c r="J5" s="18" t="s">
        <v>4</v>
      </c>
      <c r="K5" s="18" t="s">
        <v>5</v>
      </c>
      <c r="L5" s="18" t="s">
        <v>6</v>
      </c>
    </row>
    <row r="6" spans="1:12" ht="30" customHeight="1" x14ac:dyDescent="0.3">
      <c r="A6" s="2"/>
      <c r="B6" s="2"/>
      <c r="C6" s="2"/>
      <c r="D6" s="2"/>
      <c r="E6" s="2"/>
      <c r="F6" s="24" t="s">
        <v>7</v>
      </c>
      <c r="G6" s="25"/>
      <c r="H6" s="26"/>
      <c r="I6" s="2"/>
      <c r="J6" s="3">
        <f>SUM(J7:J50)</f>
        <v>0</v>
      </c>
      <c r="K6" s="4">
        <f>SUM(K7:K50)</f>
        <v>0</v>
      </c>
      <c r="L6" s="5">
        <f>SUM(L7:L50)</f>
        <v>0</v>
      </c>
    </row>
    <row r="7" spans="1:12" ht="30" customHeight="1" x14ac:dyDescent="0.3">
      <c r="A7" s="6">
        <v>1</v>
      </c>
      <c r="B7" s="7">
        <v>8809730958436</v>
      </c>
      <c r="C7" s="6" t="s">
        <v>9</v>
      </c>
      <c r="D7" s="8" t="s">
        <v>10</v>
      </c>
      <c r="E7" s="22" t="s">
        <v>97</v>
      </c>
      <c r="F7" s="10">
        <v>36000</v>
      </c>
      <c r="G7" s="10">
        <v>14040</v>
      </c>
      <c r="H7" s="20">
        <f>G7/F7</f>
        <v>0.39</v>
      </c>
      <c r="I7" s="9">
        <v>35</v>
      </c>
      <c r="J7" s="11"/>
      <c r="K7" s="12">
        <f>J7*I7</f>
        <v>0</v>
      </c>
      <c r="L7" s="13">
        <f>IF($G7&gt;0,$K7*$G7,"")</f>
        <v>0</v>
      </c>
    </row>
    <row r="8" spans="1:12" ht="30" customHeight="1" x14ac:dyDescent="0.3">
      <c r="A8" s="6">
        <v>2</v>
      </c>
      <c r="B8" s="7">
        <v>8809730958573</v>
      </c>
      <c r="C8" s="6" t="s">
        <v>11</v>
      </c>
      <c r="D8" s="8" t="s">
        <v>10</v>
      </c>
      <c r="E8" s="22" t="s">
        <v>98</v>
      </c>
      <c r="F8" s="10">
        <v>24000</v>
      </c>
      <c r="G8" s="10">
        <v>9360</v>
      </c>
      <c r="H8" s="20">
        <f t="shared" ref="H8:H50" si="0">G8/F8</f>
        <v>0.39</v>
      </c>
      <c r="I8" s="9">
        <v>35</v>
      </c>
      <c r="J8" s="11"/>
      <c r="K8" s="12">
        <f t="shared" ref="K8:K50" si="1">J8*I8</f>
        <v>0</v>
      </c>
      <c r="L8" s="13">
        <f>IF($G8&gt;0,$K8*$G8,"")</f>
        <v>0</v>
      </c>
    </row>
    <row r="9" spans="1:12" ht="30" customHeight="1" x14ac:dyDescent="0.3">
      <c r="A9" s="6">
        <v>3</v>
      </c>
      <c r="B9" s="7">
        <v>8809657118203</v>
      </c>
      <c r="C9" s="6" t="s">
        <v>12</v>
      </c>
      <c r="D9" s="8" t="s">
        <v>13</v>
      </c>
      <c r="E9" s="22" t="s">
        <v>99</v>
      </c>
      <c r="F9" s="10">
        <v>29000</v>
      </c>
      <c r="G9" s="10">
        <v>11310</v>
      </c>
      <c r="H9" s="20">
        <f t="shared" si="0"/>
        <v>0.39</v>
      </c>
      <c r="I9" s="9">
        <v>35</v>
      </c>
      <c r="J9" s="11"/>
      <c r="K9" s="12">
        <f t="shared" si="1"/>
        <v>0</v>
      </c>
      <c r="L9" s="13">
        <f>IF($G9&gt;0,$K9*$G9,"")</f>
        <v>0</v>
      </c>
    </row>
    <row r="10" spans="1:12" ht="30" customHeight="1" x14ac:dyDescent="0.3">
      <c r="A10" s="6">
        <v>4</v>
      </c>
      <c r="B10" s="7">
        <v>8809730951499</v>
      </c>
      <c r="C10" s="6" t="s">
        <v>14</v>
      </c>
      <c r="D10" s="8" t="s">
        <v>15</v>
      </c>
      <c r="E10" s="22" t="s">
        <v>100</v>
      </c>
      <c r="F10" s="10">
        <v>12000</v>
      </c>
      <c r="G10" s="10">
        <v>4680</v>
      </c>
      <c r="H10" s="20">
        <f t="shared" si="0"/>
        <v>0.39</v>
      </c>
      <c r="I10" s="9">
        <v>60</v>
      </c>
      <c r="J10" s="11"/>
      <c r="K10" s="12">
        <f t="shared" si="1"/>
        <v>0</v>
      </c>
      <c r="L10" s="13">
        <f>IF($G10&gt;0,$K10*$G10,"")</f>
        <v>0</v>
      </c>
    </row>
    <row r="11" spans="1:12" ht="30" customHeight="1" x14ac:dyDescent="0.3">
      <c r="A11" s="6">
        <v>5</v>
      </c>
      <c r="B11" s="7">
        <v>8809730950546</v>
      </c>
      <c r="C11" s="6" t="s">
        <v>16</v>
      </c>
      <c r="D11" s="8" t="s">
        <v>17</v>
      </c>
      <c r="E11" s="23" t="s">
        <v>101</v>
      </c>
      <c r="F11" s="10">
        <v>3000</v>
      </c>
      <c r="G11" s="10">
        <v>1170</v>
      </c>
      <c r="H11" s="20">
        <f t="shared" si="0"/>
        <v>0.39</v>
      </c>
      <c r="I11" s="9">
        <v>300</v>
      </c>
      <c r="J11" s="11"/>
      <c r="K11" s="12">
        <f t="shared" si="1"/>
        <v>0</v>
      </c>
      <c r="L11" s="13">
        <f>IF($G11&gt;0,$K11*$G11,"")</f>
        <v>0</v>
      </c>
    </row>
    <row r="12" spans="1:12" ht="30" customHeight="1" x14ac:dyDescent="0.3">
      <c r="A12" s="6">
        <v>6</v>
      </c>
      <c r="B12" s="7">
        <v>8809730951178</v>
      </c>
      <c r="C12" s="6" t="s">
        <v>18</v>
      </c>
      <c r="D12" s="8" t="s">
        <v>19</v>
      </c>
      <c r="E12" s="23" t="s">
        <v>102</v>
      </c>
      <c r="F12" s="10">
        <v>30000</v>
      </c>
      <c r="G12" s="10">
        <v>11700</v>
      </c>
      <c r="H12" s="20">
        <f t="shared" si="0"/>
        <v>0.39</v>
      </c>
      <c r="I12" s="9">
        <v>24</v>
      </c>
      <c r="J12" s="11"/>
      <c r="K12" s="12">
        <f t="shared" si="1"/>
        <v>0</v>
      </c>
      <c r="L12" s="13">
        <f>IF($G12&gt;0,$K12*$G12,"")</f>
        <v>0</v>
      </c>
    </row>
    <row r="13" spans="1:12" ht="30" customHeight="1" x14ac:dyDescent="0.3">
      <c r="A13" s="6">
        <v>7</v>
      </c>
      <c r="B13" s="7">
        <v>8809730955374</v>
      </c>
      <c r="C13" s="6" t="s">
        <v>20</v>
      </c>
      <c r="D13" s="8" t="s">
        <v>21</v>
      </c>
      <c r="E13" s="22" t="s">
        <v>103</v>
      </c>
      <c r="F13" s="10">
        <v>20000</v>
      </c>
      <c r="G13" s="10">
        <v>7800</v>
      </c>
      <c r="H13" s="20">
        <f t="shared" si="0"/>
        <v>0.39</v>
      </c>
      <c r="I13" s="9">
        <v>130</v>
      </c>
      <c r="J13" s="11"/>
      <c r="K13" s="12">
        <f t="shared" si="1"/>
        <v>0</v>
      </c>
      <c r="L13" s="13">
        <f>IF($G13&gt;0,$K13*$G13,"")</f>
        <v>0</v>
      </c>
    </row>
    <row r="14" spans="1:12" ht="30" customHeight="1" x14ac:dyDescent="0.3">
      <c r="A14" s="6">
        <v>8</v>
      </c>
      <c r="B14" s="7">
        <v>8809657114700</v>
      </c>
      <c r="C14" s="6" t="s">
        <v>22</v>
      </c>
      <c r="D14" s="8" t="s">
        <v>23</v>
      </c>
      <c r="E14" s="22" t="s">
        <v>103</v>
      </c>
      <c r="F14" s="10">
        <v>35000</v>
      </c>
      <c r="G14" s="10">
        <v>13650</v>
      </c>
      <c r="H14" s="20">
        <f t="shared" si="0"/>
        <v>0.39</v>
      </c>
      <c r="I14" s="9">
        <v>35</v>
      </c>
      <c r="J14" s="11"/>
      <c r="K14" s="12">
        <f t="shared" si="1"/>
        <v>0</v>
      </c>
      <c r="L14" s="13">
        <f>IF($G14&gt;0,$K14*$G14,"")</f>
        <v>0</v>
      </c>
    </row>
    <row r="15" spans="1:12" ht="30" customHeight="1" x14ac:dyDescent="0.3">
      <c r="A15" s="6">
        <v>9</v>
      </c>
      <c r="B15" s="7">
        <v>8809657114687</v>
      </c>
      <c r="C15" s="6" t="s">
        <v>22</v>
      </c>
      <c r="D15" s="8" t="s">
        <v>23</v>
      </c>
      <c r="E15" s="22" t="s">
        <v>104</v>
      </c>
      <c r="F15" s="10">
        <v>23000</v>
      </c>
      <c r="G15" s="10">
        <v>8970</v>
      </c>
      <c r="H15" s="20">
        <f t="shared" si="0"/>
        <v>0.39</v>
      </c>
      <c r="I15" s="9">
        <v>100</v>
      </c>
      <c r="J15" s="11"/>
      <c r="K15" s="12">
        <f t="shared" si="1"/>
        <v>0</v>
      </c>
      <c r="L15" s="13">
        <f>IF($G15&gt;0,$K15*$G15,"")</f>
        <v>0</v>
      </c>
    </row>
    <row r="16" spans="1:12" ht="30" customHeight="1" x14ac:dyDescent="0.3">
      <c r="A16" s="6">
        <v>10</v>
      </c>
      <c r="B16" s="7">
        <v>8809730950881</v>
      </c>
      <c r="C16" s="6" t="s">
        <v>24</v>
      </c>
      <c r="D16" s="8" t="s">
        <v>25</v>
      </c>
      <c r="E16" s="22" t="s">
        <v>105</v>
      </c>
      <c r="F16" s="10">
        <v>15000</v>
      </c>
      <c r="G16" s="10">
        <v>5850</v>
      </c>
      <c r="H16" s="20">
        <f t="shared" si="0"/>
        <v>0.39</v>
      </c>
      <c r="I16" s="9">
        <v>60</v>
      </c>
      <c r="J16" s="11"/>
      <c r="K16" s="12">
        <f t="shared" si="1"/>
        <v>0</v>
      </c>
      <c r="L16" s="13">
        <f>IF($G16&gt;0,$K16*$G16,"")</f>
        <v>0</v>
      </c>
    </row>
    <row r="17" spans="1:12" ht="30" customHeight="1" x14ac:dyDescent="0.3">
      <c r="A17" s="6">
        <v>11</v>
      </c>
      <c r="B17" s="7">
        <v>8809730952236</v>
      </c>
      <c r="C17" s="6" t="s">
        <v>26</v>
      </c>
      <c r="D17" s="8" t="s">
        <v>27</v>
      </c>
      <c r="E17" s="22" t="s">
        <v>106</v>
      </c>
      <c r="F17" s="10">
        <v>25000</v>
      </c>
      <c r="G17" s="10">
        <v>9750</v>
      </c>
      <c r="H17" s="20">
        <f t="shared" si="0"/>
        <v>0.39</v>
      </c>
      <c r="I17" s="9">
        <v>40</v>
      </c>
      <c r="J17" s="11"/>
      <c r="K17" s="12">
        <f t="shared" si="1"/>
        <v>0</v>
      </c>
      <c r="L17" s="13">
        <f>IF($G17&gt;0,$K17*$G17,"")</f>
        <v>0</v>
      </c>
    </row>
    <row r="18" spans="1:12" ht="30" customHeight="1" x14ac:dyDescent="0.3">
      <c r="A18" s="6">
        <v>12</v>
      </c>
      <c r="B18" s="7">
        <v>8809730950560</v>
      </c>
      <c r="C18" s="6" t="s">
        <v>28</v>
      </c>
      <c r="D18" s="8" t="s">
        <v>29</v>
      </c>
      <c r="E18" s="22" t="s">
        <v>107</v>
      </c>
      <c r="F18" s="10">
        <v>24500</v>
      </c>
      <c r="G18" s="10">
        <v>9555</v>
      </c>
      <c r="H18" s="20">
        <f t="shared" si="0"/>
        <v>0.39</v>
      </c>
      <c r="I18" s="9">
        <v>120</v>
      </c>
      <c r="J18" s="11"/>
      <c r="K18" s="12">
        <f t="shared" si="1"/>
        <v>0</v>
      </c>
      <c r="L18" s="13">
        <f>IF($G18&gt;0,$K18*$G18,"")</f>
        <v>0</v>
      </c>
    </row>
    <row r="19" spans="1:12" ht="30" customHeight="1" x14ac:dyDescent="0.3">
      <c r="A19" s="6">
        <v>13</v>
      </c>
      <c r="B19" s="7">
        <v>8809639172810</v>
      </c>
      <c r="C19" s="6" t="s">
        <v>30</v>
      </c>
      <c r="D19" s="8" t="s">
        <v>31</v>
      </c>
      <c r="E19" s="22" t="s">
        <v>108</v>
      </c>
      <c r="F19" s="10">
        <v>39000</v>
      </c>
      <c r="G19" s="10">
        <v>15210</v>
      </c>
      <c r="H19" s="20">
        <f t="shared" si="0"/>
        <v>0.39</v>
      </c>
      <c r="I19" s="9">
        <v>88</v>
      </c>
      <c r="J19" s="11"/>
      <c r="K19" s="12">
        <f t="shared" si="1"/>
        <v>0</v>
      </c>
      <c r="L19" s="13">
        <f>IF($G19&gt;0,$K19*$G19,"")</f>
        <v>0</v>
      </c>
    </row>
    <row r="20" spans="1:12" ht="30" customHeight="1" x14ac:dyDescent="0.3">
      <c r="A20" s="6">
        <v>14</v>
      </c>
      <c r="B20" s="7">
        <v>8809730950034</v>
      </c>
      <c r="C20" s="6" t="s">
        <v>32</v>
      </c>
      <c r="D20" s="8" t="s">
        <v>33</v>
      </c>
      <c r="E20" s="22" t="s">
        <v>104</v>
      </c>
      <c r="F20" s="10">
        <v>35000</v>
      </c>
      <c r="G20" s="10">
        <v>13650</v>
      </c>
      <c r="H20" s="20">
        <f t="shared" si="0"/>
        <v>0.39</v>
      </c>
      <c r="I20" s="9">
        <v>90</v>
      </c>
      <c r="J20" s="11"/>
      <c r="K20" s="12">
        <f t="shared" si="1"/>
        <v>0</v>
      </c>
      <c r="L20" s="13">
        <f>IF($G20&gt;0,$K20*$G20,"")</f>
        <v>0</v>
      </c>
    </row>
    <row r="21" spans="1:12" ht="30" customHeight="1" x14ac:dyDescent="0.3">
      <c r="A21" s="6">
        <v>15</v>
      </c>
      <c r="B21" s="7">
        <v>8809730950553</v>
      </c>
      <c r="C21" s="6" t="s">
        <v>34</v>
      </c>
      <c r="D21" s="8" t="s">
        <v>35</v>
      </c>
      <c r="E21" s="23" t="s">
        <v>101</v>
      </c>
      <c r="F21" s="10">
        <v>3000</v>
      </c>
      <c r="G21" s="10">
        <v>1170</v>
      </c>
      <c r="H21" s="20">
        <f t="shared" si="0"/>
        <v>0.39</v>
      </c>
      <c r="I21" s="9">
        <v>300</v>
      </c>
      <c r="J21" s="11"/>
      <c r="K21" s="12">
        <f t="shared" si="1"/>
        <v>0</v>
      </c>
      <c r="L21" s="13">
        <f>IF($G21&gt;0,$K21*$G21,"")</f>
        <v>0</v>
      </c>
    </row>
    <row r="22" spans="1:12" ht="30" customHeight="1" x14ac:dyDescent="0.3">
      <c r="A22" s="6">
        <v>16</v>
      </c>
      <c r="B22" s="7">
        <v>8809730951161</v>
      </c>
      <c r="C22" s="6" t="s">
        <v>36</v>
      </c>
      <c r="D22" s="8" t="s">
        <v>37</v>
      </c>
      <c r="E22" s="23" t="s">
        <v>102</v>
      </c>
      <c r="F22" s="10">
        <v>30000</v>
      </c>
      <c r="G22" s="10">
        <v>11700</v>
      </c>
      <c r="H22" s="20">
        <f t="shared" si="0"/>
        <v>0.39</v>
      </c>
      <c r="I22" s="9">
        <v>30</v>
      </c>
      <c r="J22" s="11"/>
      <c r="K22" s="12">
        <f t="shared" si="1"/>
        <v>0</v>
      </c>
      <c r="L22" s="13">
        <f>IF($G22&gt;0,$K22*$G22,"")</f>
        <v>0</v>
      </c>
    </row>
    <row r="23" spans="1:12" ht="30" customHeight="1" x14ac:dyDescent="0.3">
      <c r="A23" s="6">
        <v>17</v>
      </c>
      <c r="B23" s="7">
        <v>8809730955985</v>
      </c>
      <c r="C23" s="6" t="s">
        <v>89</v>
      </c>
      <c r="D23" s="8" t="s">
        <v>90</v>
      </c>
      <c r="E23" s="22" t="s">
        <v>99</v>
      </c>
      <c r="F23" s="10">
        <v>19000</v>
      </c>
      <c r="G23" s="10">
        <v>7410</v>
      </c>
      <c r="H23" s="20">
        <f t="shared" si="0"/>
        <v>0.39</v>
      </c>
      <c r="I23" s="9">
        <v>60</v>
      </c>
      <c r="J23" s="11"/>
      <c r="K23" s="12">
        <f t="shared" si="1"/>
        <v>0</v>
      </c>
      <c r="L23" s="13">
        <f>IF($G23&gt;0,$K23*$G23,"")</f>
        <v>0</v>
      </c>
    </row>
    <row r="24" spans="1:12" ht="30" customHeight="1" x14ac:dyDescent="0.3">
      <c r="A24" s="6">
        <v>18</v>
      </c>
      <c r="B24" s="7">
        <v>8809730952014</v>
      </c>
      <c r="C24" s="6" t="s">
        <v>38</v>
      </c>
      <c r="D24" s="8" t="s">
        <v>39</v>
      </c>
      <c r="E24" s="22" t="s">
        <v>103</v>
      </c>
      <c r="F24" s="10">
        <v>25000</v>
      </c>
      <c r="G24" s="10">
        <v>9750</v>
      </c>
      <c r="H24" s="20">
        <f t="shared" si="0"/>
        <v>0.39</v>
      </c>
      <c r="I24" s="9">
        <v>35</v>
      </c>
      <c r="J24" s="11"/>
      <c r="K24" s="12">
        <f t="shared" si="1"/>
        <v>0</v>
      </c>
      <c r="L24" s="13">
        <f>IF($G24&gt;0,$K24*$G24,"")</f>
        <v>0</v>
      </c>
    </row>
    <row r="25" spans="1:12" ht="30" customHeight="1" x14ac:dyDescent="0.3">
      <c r="A25" s="6">
        <v>19</v>
      </c>
      <c r="B25" s="7">
        <v>8809730951963</v>
      </c>
      <c r="C25" s="6" t="s">
        <v>40</v>
      </c>
      <c r="D25" s="8" t="s">
        <v>41</v>
      </c>
      <c r="E25" s="22" t="s">
        <v>99</v>
      </c>
      <c r="F25" s="10">
        <v>19000</v>
      </c>
      <c r="G25" s="10">
        <v>7410</v>
      </c>
      <c r="H25" s="20">
        <f t="shared" si="0"/>
        <v>0.39</v>
      </c>
      <c r="I25" s="9">
        <v>60</v>
      </c>
      <c r="J25" s="11"/>
      <c r="K25" s="12">
        <f t="shared" si="1"/>
        <v>0</v>
      </c>
      <c r="L25" s="13">
        <f>IF($G25&gt;0,$K25*$G25,"")</f>
        <v>0</v>
      </c>
    </row>
    <row r="26" spans="1:12" ht="30" customHeight="1" x14ac:dyDescent="0.3">
      <c r="A26" s="6">
        <v>20</v>
      </c>
      <c r="B26" s="7">
        <v>8809730952007</v>
      </c>
      <c r="C26" s="6" t="s">
        <v>42</v>
      </c>
      <c r="D26" s="8" t="s">
        <v>43</v>
      </c>
      <c r="E26" s="22" t="s">
        <v>103</v>
      </c>
      <c r="F26" s="10">
        <v>25000</v>
      </c>
      <c r="G26" s="10">
        <v>9750</v>
      </c>
      <c r="H26" s="20">
        <f t="shared" si="0"/>
        <v>0.39</v>
      </c>
      <c r="I26" s="9">
        <v>35</v>
      </c>
      <c r="J26" s="11"/>
      <c r="K26" s="12">
        <f t="shared" si="1"/>
        <v>0</v>
      </c>
      <c r="L26" s="13">
        <f>IF($G26&gt;0,$K26*$G26,"")</f>
        <v>0</v>
      </c>
    </row>
    <row r="27" spans="1:12" ht="30" customHeight="1" x14ac:dyDescent="0.3">
      <c r="A27" s="6">
        <v>21</v>
      </c>
      <c r="B27" s="7">
        <v>8806135207053</v>
      </c>
      <c r="C27" s="6" t="s">
        <v>44</v>
      </c>
      <c r="D27" s="8" t="s">
        <v>45</v>
      </c>
      <c r="E27" s="22" t="s">
        <v>109</v>
      </c>
      <c r="F27" s="10">
        <v>20000</v>
      </c>
      <c r="G27" s="10">
        <v>7800</v>
      </c>
      <c r="H27" s="20">
        <f t="shared" si="0"/>
        <v>0.39</v>
      </c>
      <c r="I27" s="9">
        <v>70</v>
      </c>
      <c r="J27" s="11"/>
      <c r="K27" s="12">
        <f t="shared" si="1"/>
        <v>0</v>
      </c>
      <c r="L27" s="13">
        <f>IF($G27&gt;0,$K27*$G27,"")</f>
        <v>0</v>
      </c>
    </row>
    <row r="28" spans="1:12" ht="30" customHeight="1" x14ac:dyDescent="0.3">
      <c r="A28" s="6">
        <v>22</v>
      </c>
      <c r="B28" s="7">
        <v>8809567929722</v>
      </c>
      <c r="C28" s="6" t="s">
        <v>49</v>
      </c>
      <c r="D28" s="8" t="s">
        <v>50</v>
      </c>
      <c r="E28" s="22" t="s">
        <v>112</v>
      </c>
      <c r="F28" s="10">
        <v>23000</v>
      </c>
      <c r="G28" s="10">
        <v>8970</v>
      </c>
      <c r="H28" s="20">
        <f t="shared" si="0"/>
        <v>0.39</v>
      </c>
      <c r="I28" s="9">
        <v>35</v>
      </c>
      <c r="J28" s="11"/>
      <c r="K28" s="12">
        <f t="shared" si="1"/>
        <v>0</v>
      </c>
      <c r="L28" s="13">
        <f>IF($G28&gt;0,$K28*$G28,"")</f>
        <v>0</v>
      </c>
    </row>
    <row r="29" spans="1:12" ht="30" customHeight="1" x14ac:dyDescent="0.3">
      <c r="A29" s="6">
        <v>23</v>
      </c>
      <c r="B29" s="7">
        <v>8809730959167</v>
      </c>
      <c r="C29" s="6" t="s">
        <v>46</v>
      </c>
      <c r="D29" s="8" t="s">
        <v>47</v>
      </c>
      <c r="E29" s="22" t="s">
        <v>110</v>
      </c>
      <c r="F29" s="10">
        <v>11800</v>
      </c>
      <c r="G29" s="10">
        <v>4602</v>
      </c>
      <c r="H29" s="20">
        <f t="shared" si="0"/>
        <v>0.39</v>
      </c>
      <c r="I29" s="9">
        <v>54</v>
      </c>
      <c r="J29" s="11"/>
      <c r="K29" s="12">
        <f t="shared" si="1"/>
        <v>0</v>
      </c>
      <c r="L29" s="13">
        <f>IF($G29&gt;0,$K29*$G29,"")</f>
        <v>0</v>
      </c>
    </row>
    <row r="30" spans="1:12" ht="30" customHeight="1" x14ac:dyDescent="0.3">
      <c r="A30" s="6">
        <v>24</v>
      </c>
      <c r="B30" s="7">
        <v>8809730959174</v>
      </c>
      <c r="C30" s="6" t="s">
        <v>48</v>
      </c>
      <c r="D30" s="8" t="s">
        <v>47</v>
      </c>
      <c r="E30" s="22" t="s">
        <v>111</v>
      </c>
      <c r="F30" s="10">
        <v>14400</v>
      </c>
      <c r="G30" s="10">
        <v>5616</v>
      </c>
      <c r="H30" s="20">
        <f t="shared" si="0"/>
        <v>0.39</v>
      </c>
      <c r="I30" s="9">
        <v>30</v>
      </c>
      <c r="J30" s="11"/>
      <c r="K30" s="12">
        <f t="shared" si="1"/>
        <v>0</v>
      </c>
      <c r="L30" s="13">
        <f>IF($G30&gt;0,$K30*$G30,"")</f>
        <v>0</v>
      </c>
    </row>
    <row r="31" spans="1:12" ht="30" customHeight="1" x14ac:dyDescent="0.3">
      <c r="A31" s="6">
        <v>25</v>
      </c>
      <c r="B31" s="7">
        <v>8809082392292</v>
      </c>
      <c r="C31" s="6" t="s">
        <v>51</v>
      </c>
      <c r="D31" s="8" t="s">
        <v>52</v>
      </c>
      <c r="E31" s="22" t="s">
        <v>113</v>
      </c>
      <c r="F31" s="10">
        <v>25000</v>
      </c>
      <c r="G31" s="10">
        <v>9750</v>
      </c>
      <c r="H31" s="20">
        <f t="shared" si="0"/>
        <v>0.39</v>
      </c>
      <c r="I31" s="9">
        <v>40</v>
      </c>
      <c r="J31" s="11"/>
      <c r="K31" s="12">
        <f t="shared" si="1"/>
        <v>0</v>
      </c>
      <c r="L31" s="13">
        <f>IF($G31&gt;0,$K31*$G31,"")</f>
        <v>0</v>
      </c>
    </row>
    <row r="32" spans="1:12" ht="30" customHeight="1" x14ac:dyDescent="0.3">
      <c r="A32" s="6">
        <v>26</v>
      </c>
      <c r="B32" s="7">
        <v>8809730959372</v>
      </c>
      <c r="C32" s="6" t="s">
        <v>65</v>
      </c>
      <c r="D32" s="8" t="s">
        <v>66</v>
      </c>
      <c r="E32" s="22" t="s">
        <v>117</v>
      </c>
      <c r="F32" s="10">
        <v>28200</v>
      </c>
      <c r="G32" s="10">
        <v>10998</v>
      </c>
      <c r="H32" s="20">
        <f t="shared" si="0"/>
        <v>0.39</v>
      </c>
      <c r="I32" s="9">
        <v>20</v>
      </c>
      <c r="J32" s="11"/>
      <c r="K32" s="12">
        <f t="shared" si="1"/>
        <v>0</v>
      </c>
      <c r="L32" s="13">
        <f>IF($G32&gt;0,$K32*$G32,"")</f>
        <v>0</v>
      </c>
    </row>
    <row r="33" spans="1:12" ht="30" customHeight="1" x14ac:dyDescent="0.3">
      <c r="A33" s="6">
        <v>27</v>
      </c>
      <c r="B33" s="7">
        <v>8809730952489</v>
      </c>
      <c r="C33" s="6" t="s">
        <v>53</v>
      </c>
      <c r="D33" s="8" t="s">
        <v>54</v>
      </c>
      <c r="E33" s="22" t="s">
        <v>99</v>
      </c>
      <c r="F33" s="10">
        <v>20000</v>
      </c>
      <c r="G33" s="10">
        <v>7800</v>
      </c>
      <c r="H33" s="20">
        <f t="shared" si="0"/>
        <v>0.39</v>
      </c>
      <c r="I33" s="9">
        <v>45</v>
      </c>
      <c r="J33" s="11"/>
      <c r="K33" s="12">
        <f t="shared" si="1"/>
        <v>0</v>
      </c>
      <c r="L33" s="13">
        <f>IF($G33&gt;0,$K33*$G33,"")</f>
        <v>0</v>
      </c>
    </row>
    <row r="34" spans="1:12" ht="30" customHeight="1" x14ac:dyDescent="0.3">
      <c r="A34" s="6">
        <v>28</v>
      </c>
      <c r="B34" s="7">
        <v>8809730952908</v>
      </c>
      <c r="C34" s="6" t="s">
        <v>55</v>
      </c>
      <c r="D34" s="8" t="s">
        <v>56</v>
      </c>
      <c r="E34" s="22" t="s">
        <v>104</v>
      </c>
      <c r="F34" s="10">
        <v>15000</v>
      </c>
      <c r="G34" s="10">
        <v>5850</v>
      </c>
      <c r="H34" s="20">
        <f t="shared" si="0"/>
        <v>0.39</v>
      </c>
      <c r="I34" s="9">
        <v>117</v>
      </c>
      <c r="J34" s="11"/>
      <c r="K34" s="12">
        <f t="shared" si="1"/>
        <v>0</v>
      </c>
      <c r="L34" s="13">
        <f>IF($G34&gt;0,$K34*$G34,"")</f>
        <v>0</v>
      </c>
    </row>
    <row r="35" spans="1:12" ht="30" customHeight="1" x14ac:dyDescent="0.3">
      <c r="A35" s="6">
        <v>29</v>
      </c>
      <c r="B35" s="7">
        <v>8809730954094</v>
      </c>
      <c r="C35" s="6" t="s">
        <v>57</v>
      </c>
      <c r="D35" s="8" t="s">
        <v>58</v>
      </c>
      <c r="E35" s="22" t="s">
        <v>103</v>
      </c>
      <c r="F35" s="10">
        <v>28000</v>
      </c>
      <c r="G35" s="10">
        <v>10920</v>
      </c>
      <c r="H35" s="20">
        <f t="shared" si="0"/>
        <v>0.39</v>
      </c>
      <c r="I35" s="9">
        <v>55</v>
      </c>
      <c r="J35" s="11"/>
      <c r="K35" s="12">
        <f t="shared" si="1"/>
        <v>0</v>
      </c>
      <c r="L35" s="13">
        <f>IF($G35&gt;0,$K35*$G35,"")</f>
        <v>0</v>
      </c>
    </row>
    <row r="36" spans="1:12" ht="30" customHeight="1" x14ac:dyDescent="0.3">
      <c r="A36" s="6">
        <v>30</v>
      </c>
      <c r="B36" s="7">
        <v>8809730955107</v>
      </c>
      <c r="C36" s="6" t="s">
        <v>59</v>
      </c>
      <c r="D36" s="8" t="s">
        <v>60</v>
      </c>
      <c r="E36" s="22" t="s">
        <v>114</v>
      </c>
      <c r="F36" s="10">
        <v>32000</v>
      </c>
      <c r="G36" s="10">
        <v>12480</v>
      </c>
      <c r="H36" s="20">
        <f t="shared" si="0"/>
        <v>0.39</v>
      </c>
      <c r="I36" s="9">
        <v>45</v>
      </c>
      <c r="J36" s="11"/>
      <c r="K36" s="12">
        <f t="shared" si="1"/>
        <v>0</v>
      </c>
      <c r="L36" s="13">
        <f>IF($G36&gt;0,$K36*$G36,"")</f>
        <v>0</v>
      </c>
    </row>
    <row r="37" spans="1:12" ht="30" customHeight="1" x14ac:dyDescent="0.3">
      <c r="A37" s="6">
        <v>31</v>
      </c>
      <c r="B37" s="7">
        <v>8809730955114</v>
      </c>
      <c r="C37" s="6" t="s">
        <v>61</v>
      </c>
      <c r="D37" s="8" t="s">
        <v>62</v>
      </c>
      <c r="E37" s="22" t="s">
        <v>115</v>
      </c>
      <c r="F37" s="10">
        <v>42000</v>
      </c>
      <c r="G37" s="10">
        <v>16380</v>
      </c>
      <c r="H37" s="20">
        <f t="shared" si="0"/>
        <v>0.39</v>
      </c>
      <c r="I37" s="9">
        <v>77</v>
      </c>
      <c r="J37" s="11"/>
      <c r="K37" s="12">
        <f t="shared" si="1"/>
        <v>0</v>
      </c>
      <c r="L37" s="13">
        <f>IF($G37&gt;0,$K37*$G37,"")</f>
        <v>0</v>
      </c>
    </row>
    <row r="38" spans="1:12" ht="30" customHeight="1" x14ac:dyDescent="0.3">
      <c r="A38" s="6">
        <v>32</v>
      </c>
      <c r="B38" s="7">
        <v>8809730955893</v>
      </c>
      <c r="C38" s="6" t="s">
        <v>91</v>
      </c>
      <c r="D38" s="8" t="s">
        <v>92</v>
      </c>
      <c r="E38" s="23" t="s">
        <v>124</v>
      </c>
      <c r="F38" s="10">
        <v>24000</v>
      </c>
      <c r="G38" s="10">
        <v>9360</v>
      </c>
      <c r="H38" s="20">
        <f t="shared" si="0"/>
        <v>0.39</v>
      </c>
      <c r="I38" s="9">
        <v>40</v>
      </c>
      <c r="J38" s="11"/>
      <c r="K38" s="12">
        <f t="shared" si="1"/>
        <v>0</v>
      </c>
      <c r="L38" s="13">
        <f>IF($G38&gt;0,$K38*$G38,"")</f>
        <v>0</v>
      </c>
    </row>
    <row r="39" spans="1:12" ht="30" customHeight="1" x14ac:dyDescent="0.3">
      <c r="A39" s="6">
        <v>33</v>
      </c>
      <c r="B39" s="7">
        <v>8809730956111</v>
      </c>
      <c r="C39" s="6" t="s">
        <v>93</v>
      </c>
      <c r="D39" s="8" t="s">
        <v>94</v>
      </c>
      <c r="E39" s="23" t="s">
        <v>113</v>
      </c>
      <c r="F39" s="10">
        <v>29000</v>
      </c>
      <c r="G39" s="10">
        <v>11310</v>
      </c>
      <c r="H39" s="20">
        <f t="shared" si="0"/>
        <v>0.39</v>
      </c>
      <c r="I39" s="9">
        <v>40</v>
      </c>
      <c r="J39" s="11"/>
      <c r="K39" s="12">
        <f t="shared" si="1"/>
        <v>0</v>
      </c>
      <c r="L39" s="13">
        <f>IF($G39&gt;0,$K39*$G39,"")</f>
        <v>0</v>
      </c>
    </row>
    <row r="40" spans="1:12" ht="30" customHeight="1" x14ac:dyDescent="0.3">
      <c r="A40" s="6">
        <v>34</v>
      </c>
      <c r="B40" s="7">
        <v>8809730956234</v>
      </c>
      <c r="C40" s="6" t="s">
        <v>63</v>
      </c>
      <c r="D40" s="8" t="s">
        <v>64</v>
      </c>
      <c r="E40" s="23" t="s">
        <v>116</v>
      </c>
      <c r="F40" s="10">
        <v>26000</v>
      </c>
      <c r="G40" s="10">
        <v>10140</v>
      </c>
      <c r="H40" s="20">
        <f t="shared" si="0"/>
        <v>0.39</v>
      </c>
      <c r="I40" s="9">
        <v>55</v>
      </c>
      <c r="J40" s="11"/>
      <c r="K40" s="12">
        <f t="shared" si="1"/>
        <v>0</v>
      </c>
      <c r="L40" s="13">
        <f>IF($G40&gt;0,$K40*$G40,"")</f>
        <v>0</v>
      </c>
    </row>
    <row r="41" spans="1:12" ht="30" customHeight="1" x14ac:dyDescent="0.3">
      <c r="A41" s="6">
        <v>35</v>
      </c>
      <c r="B41" s="7">
        <v>8809730957156</v>
      </c>
      <c r="C41" s="6" t="s">
        <v>67</v>
      </c>
      <c r="D41" s="8" t="s">
        <v>68</v>
      </c>
      <c r="E41" s="23" t="s">
        <v>118</v>
      </c>
      <c r="F41" s="10">
        <v>42700</v>
      </c>
      <c r="G41" s="10">
        <v>16653</v>
      </c>
      <c r="H41" s="20">
        <f t="shared" si="0"/>
        <v>0.39</v>
      </c>
      <c r="I41" s="9">
        <v>60</v>
      </c>
      <c r="J41" s="11"/>
      <c r="K41" s="12">
        <f t="shared" si="1"/>
        <v>0</v>
      </c>
      <c r="L41" s="13">
        <f>IF($G41&gt;0,$K41*$G41,"")</f>
        <v>0</v>
      </c>
    </row>
    <row r="42" spans="1:12" ht="30" customHeight="1" x14ac:dyDescent="0.3">
      <c r="A42" s="6">
        <v>36</v>
      </c>
      <c r="B42" s="7">
        <v>8809730957705</v>
      </c>
      <c r="C42" s="6" t="s">
        <v>95</v>
      </c>
      <c r="D42" s="8" t="s">
        <v>96</v>
      </c>
      <c r="E42" s="23" t="s">
        <v>121</v>
      </c>
      <c r="F42" s="10">
        <v>39000</v>
      </c>
      <c r="G42" s="10">
        <v>15210</v>
      </c>
      <c r="H42" s="20">
        <f t="shared" si="0"/>
        <v>0.39</v>
      </c>
      <c r="I42" s="9">
        <v>35</v>
      </c>
      <c r="J42" s="11"/>
      <c r="K42" s="12">
        <f t="shared" si="1"/>
        <v>0</v>
      </c>
      <c r="L42" s="13">
        <f>IF($G42&gt;0,$K42*$G42,"")</f>
        <v>0</v>
      </c>
    </row>
    <row r="43" spans="1:12" ht="30" customHeight="1" x14ac:dyDescent="0.3">
      <c r="A43" s="6">
        <v>37</v>
      </c>
      <c r="B43" s="7">
        <v>8809730959082</v>
      </c>
      <c r="C43" s="6" t="s">
        <v>69</v>
      </c>
      <c r="D43" s="8" t="s">
        <v>70</v>
      </c>
      <c r="E43" s="23" t="s">
        <v>119</v>
      </c>
      <c r="F43" s="10">
        <v>23000</v>
      </c>
      <c r="G43" s="10">
        <v>8970</v>
      </c>
      <c r="H43" s="20">
        <f t="shared" si="0"/>
        <v>0.39</v>
      </c>
      <c r="I43" s="9">
        <v>100</v>
      </c>
      <c r="J43" s="11"/>
      <c r="K43" s="12">
        <f t="shared" si="1"/>
        <v>0</v>
      </c>
      <c r="L43" s="13">
        <f>IF($G43&gt;0,$K43*$G43,"")</f>
        <v>0</v>
      </c>
    </row>
    <row r="44" spans="1:12" ht="30" customHeight="1" x14ac:dyDescent="0.3">
      <c r="A44" s="6">
        <v>38</v>
      </c>
      <c r="B44" s="7">
        <v>8809730958740</v>
      </c>
      <c r="C44" s="6" t="s">
        <v>71</v>
      </c>
      <c r="D44" s="8" t="s">
        <v>70</v>
      </c>
      <c r="E44" s="23" t="s">
        <v>120</v>
      </c>
      <c r="F44" s="10">
        <v>35000</v>
      </c>
      <c r="G44" s="10">
        <v>13650</v>
      </c>
      <c r="H44" s="20">
        <f t="shared" si="0"/>
        <v>0.39</v>
      </c>
      <c r="I44" s="9">
        <v>35</v>
      </c>
      <c r="J44" s="11"/>
      <c r="K44" s="12">
        <f t="shared" si="1"/>
        <v>0</v>
      </c>
      <c r="L44" s="13">
        <f>IF($G44&gt;0,$K44*$G44,"")</f>
        <v>0</v>
      </c>
    </row>
    <row r="45" spans="1:12" ht="30" customHeight="1" x14ac:dyDescent="0.3">
      <c r="A45" s="6">
        <v>39</v>
      </c>
      <c r="B45" s="7">
        <v>8809730958757</v>
      </c>
      <c r="C45" s="6" t="s">
        <v>72</v>
      </c>
      <c r="D45" s="8" t="s">
        <v>73</v>
      </c>
      <c r="E45" s="23" t="s">
        <v>121</v>
      </c>
      <c r="F45" s="10">
        <v>28000</v>
      </c>
      <c r="G45" s="10">
        <v>10920</v>
      </c>
      <c r="H45" s="20">
        <f t="shared" si="0"/>
        <v>0.39</v>
      </c>
      <c r="I45" s="9">
        <v>55</v>
      </c>
      <c r="J45" s="11"/>
      <c r="K45" s="12">
        <f t="shared" si="1"/>
        <v>0</v>
      </c>
      <c r="L45" s="13">
        <f>IF($G45&gt;0,$K45*$G45,"")</f>
        <v>0</v>
      </c>
    </row>
    <row r="46" spans="1:12" ht="30" customHeight="1" x14ac:dyDescent="0.3">
      <c r="A46" s="6">
        <v>40</v>
      </c>
      <c r="B46" s="7">
        <v>8809730958771</v>
      </c>
      <c r="C46" s="6" t="s">
        <v>74</v>
      </c>
      <c r="D46" s="8" t="s">
        <v>75</v>
      </c>
      <c r="E46" s="23" t="s">
        <v>122</v>
      </c>
      <c r="F46" s="10">
        <v>4000</v>
      </c>
      <c r="G46" s="10">
        <v>1560</v>
      </c>
      <c r="H46" s="20">
        <f t="shared" si="0"/>
        <v>0.39</v>
      </c>
      <c r="I46" s="9">
        <v>300</v>
      </c>
      <c r="J46" s="11"/>
      <c r="K46" s="12">
        <f t="shared" si="1"/>
        <v>0</v>
      </c>
      <c r="L46" s="13">
        <f>IF($G46&gt;0,$K46*$G46,"")</f>
        <v>0</v>
      </c>
    </row>
    <row r="47" spans="1:12" ht="30" customHeight="1" x14ac:dyDescent="0.3">
      <c r="A47" s="6">
        <v>41</v>
      </c>
      <c r="B47" s="7">
        <v>8809730958795</v>
      </c>
      <c r="C47" s="6" t="s">
        <v>76</v>
      </c>
      <c r="D47" s="8" t="s">
        <v>77</v>
      </c>
      <c r="E47" s="23" t="s">
        <v>122</v>
      </c>
      <c r="F47" s="10">
        <v>6000</v>
      </c>
      <c r="G47" s="10">
        <v>2340</v>
      </c>
      <c r="H47" s="20">
        <f t="shared" si="0"/>
        <v>0.39</v>
      </c>
      <c r="I47" s="9">
        <v>270</v>
      </c>
      <c r="J47" s="11"/>
      <c r="K47" s="12">
        <f t="shared" si="1"/>
        <v>0</v>
      </c>
      <c r="L47" s="13">
        <f t="shared" ref="L47:L50" si="2">IF($G47&gt;0,$K47*$G47,"")</f>
        <v>0</v>
      </c>
    </row>
    <row r="48" spans="1:12" ht="30" customHeight="1" x14ac:dyDescent="0.3">
      <c r="A48" s="6">
        <v>42</v>
      </c>
      <c r="B48" s="7">
        <v>8809730959075</v>
      </c>
      <c r="C48" s="6" t="s">
        <v>78</v>
      </c>
      <c r="D48" s="8" t="s">
        <v>79</v>
      </c>
      <c r="E48" s="23" t="s">
        <v>113</v>
      </c>
      <c r="F48" s="10">
        <v>21000</v>
      </c>
      <c r="G48" s="10">
        <v>8190</v>
      </c>
      <c r="H48" s="20">
        <f t="shared" si="0"/>
        <v>0.39</v>
      </c>
      <c r="I48" s="9">
        <v>40</v>
      </c>
      <c r="J48" s="11"/>
      <c r="K48" s="12">
        <f t="shared" si="1"/>
        <v>0</v>
      </c>
      <c r="L48" s="13">
        <f t="shared" si="2"/>
        <v>0</v>
      </c>
    </row>
    <row r="49" spans="2:12" ht="30" customHeight="1" x14ac:dyDescent="0.3">
      <c r="B49" s="7">
        <v>8809730959341</v>
      </c>
      <c r="C49" s="6" t="s">
        <v>80</v>
      </c>
      <c r="D49" s="8" t="s">
        <v>81</v>
      </c>
      <c r="E49" s="23" t="s">
        <v>123</v>
      </c>
      <c r="F49" s="10">
        <v>24000</v>
      </c>
      <c r="G49" s="10">
        <v>9360</v>
      </c>
      <c r="H49" s="20">
        <f t="shared" si="0"/>
        <v>0.39</v>
      </c>
      <c r="I49" s="9">
        <v>60</v>
      </c>
      <c r="J49" s="11"/>
      <c r="K49" s="12">
        <f t="shared" si="1"/>
        <v>0</v>
      </c>
      <c r="L49" s="13">
        <f t="shared" si="2"/>
        <v>0</v>
      </c>
    </row>
    <row r="50" spans="2:12" ht="30" customHeight="1" x14ac:dyDescent="0.3">
      <c r="B50" s="7">
        <v>8809730959334</v>
      </c>
      <c r="C50" s="6" t="s">
        <v>82</v>
      </c>
      <c r="D50" s="8" t="s">
        <v>83</v>
      </c>
      <c r="E50" s="23" t="s">
        <v>119</v>
      </c>
      <c r="F50" s="10">
        <v>28000</v>
      </c>
      <c r="G50" s="10">
        <v>10920</v>
      </c>
      <c r="H50" s="20">
        <f t="shared" si="0"/>
        <v>0.39</v>
      </c>
      <c r="I50" s="9">
        <v>128</v>
      </c>
      <c r="J50" s="11"/>
      <c r="K50" s="12">
        <f t="shared" si="1"/>
        <v>0</v>
      </c>
      <c r="L50" s="13">
        <f t="shared" si="2"/>
        <v>0</v>
      </c>
    </row>
    <row r="51" spans="2:12" ht="30" customHeight="1" x14ac:dyDescent="0.3"/>
    <row r="52" spans="2:12" ht="30" customHeight="1" x14ac:dyDescent="0.3"/>
    <row r="53" spans="2:12" ht="30" customHeight="1" x14ac:dyDescent="0.3"/>
    <row r="54" spans="2:12" ht="30" customHeight="1" x14ac:dyDescent="0.3"/>
    <row r="55" spans="2:12" ht="30" customHeight="1" x14ac:dyDescent="0.3"/>
    <row r="56" spans="2:12" ht="30" customHeight="1" x14ac:dyDescent="0.3"/>
    <row r="57" spans="2:12" ht="30" customHeight="1" x14ac:dyDescent="0.3"/>
    <row r="58" spans="2:12" ht="30" customHeight="1" x14ac:dyDescent="0.3"/>
    <row r="59" spans="2:12" ht="30" customHeight="1" x14ac:dyDescent="0.3"/>
    <row r="60" spans="2:12" ht="30" customHeight="1" x14ac:dyDescent="0.3"/>
    <row r="61" spans="2:12" ht="30" customHeight="1" x14ac:dyDescent="0.3"/>
    <row r="62" spans="2:12" ht="30" customHeight="1" x14ac:dyDescent="0.3"/>
    <row r="63" spans="2:12" ht="30" customHeight="1" x14ac:dyDescent="0.3"/>
    <row r="64" spans="2:12" ht="30" customHeight="1" x14ac:dyDescent="0.3"/>
    <row r="65" ht="30" customHeight="1" x14ac:dyDescent="0.3"/>
    <row r="66" ht="30" customHeight="1" x14ac:dyDescent="0.3"/>
    <row r="67" ht="30" customHeight="1" x14ac:dyDescent="0.3"/>
    <row r="68" ht="30" customHeight="1" x14ac:dyDescent="0.3"/>
    <row r="69" ht="30" customHeight="1" x14ac:dyDescent="0.3"/>
    <row r="70" ht="30" customHeight="1" x14ac:dyDescent="0.3"/>
    <row r="71" ht="30" customHeight="1" x14ac:dyDescent="0.3"/>
    <row r="72" ht="30" customHeight="1" x14ac:dyDescent="0.3"/>
    <row r="73" ht="30" customHeight="1" x14ac:dyDescent="0.3"/>
    <row r="74" ht="30" customHeight="1" x14ac:dyDescent="0.3"/>
    <row r="75" ht="30" customHeight="1" x14ac:dyDescent="0.3"/>
    <row r="76" ht="30" customHeight="1" x14ac:dyDescent="0.3"/>
    <row r="77" ht="30" customHeight="1" x14ac:dyDescent="0.3"/>
    <row r="78" ht="30" customHeight="1" x14ac:dyDescent="0.3"/>
    <row r="79" ht="30" customHeight="1" x14ac:dyDescent="0.3"/>
    <row r="80" ht="30" customHeight="1" x14ac:dyDescent="0.3"/>
    <row r="81" ht="30" customHeight="1" x14ac:dyDescent="0.3"/>
    <row r="82" ht="30" customHeight="1" x14ac:dyDescent="0.3"/>
    <row r="83" ht="30" customHeight="1" x14ac:dyDescent="0.3"/>
    <row r="84" ht="30" customHeight="1" x14ac:dyDescent="0.3"/>
    <row r="85" ht="30" customHeight="1" x14ac:dyDescent="0.3"/>
    <row r="86" ht="30" customHeight="1" x14ac:dyDescent="0.3"/>
    <row r="87" ht="30" customHeight="1" x14ac:dyDescent="0.3"/>
    <row r="88" ht="30" customHeight="1" x14ac:dyDescent="0.3"/>
    <row r="89" ht="30" customHeight="1" x14ac:dyDescent="0.3"/>
    <row r="90" ht="30" customHeight="1" x14ac:dyDescent="0.3"/>
    <row r="91" ht="30" customHeight="1" x14ac:dyDescent="0.3"/>
    <row r="92" ht="30" customHeight="1" x14ac:dyDescent="0.3"/>
    <row r="93" ht="30" customHeight="1" x14ac:dyDescent="0.3"/>
    <row r="94" ht="30" customHeight="1" x14ac:dyDescent="0.3"/>
    <row r="95" ht="30" customHeight="1" x14ac:dyDescent="0.3"/>
    <row r="96" ht="30" customHeight="1" x14ac:dyDescent="0.3"/>
    <row r="97" ht="30" customHeight="1" x14ac:dyDescent="0.3"/>
    <row r="98" ht="30" customHeight="1" x14ac:dyDescent="0.3"/>
    <row r="99" ht="30" customHeight="1" x14ac:dyDescent="0.3"/>
    <row r="100" ht="30" customHeight="1" x14ac:dyDescent="0.3"/>
    <row r="101" ht="30" customHeight="1" x14ac:dyDescent="0.3"/>
    <row r="102" ht="30" customHeight="1" x14ac:dyDescent="0.3"/>
    <row r="103" ht="30" customHeight="1" x14ac:dyDescent="0.3"/>
    <row r="104" ht="30" customHeight="1" x14ac:dyDescent="0.3"/>
    <row r="105" ht="30" customHeight="1" x14ac:dyDescent="0.3"/>
    <row r="106" ht="30" customHeight="1" x14ac:dyDescent="0.3"/>
    <row r="107" ht="30" customHeight="1" x14ac:dyDescent="0.3"/>
    <row r="108" ht="30" customHeight="1" x14ac:dyDescent="0.3"/>
    <row r="109" ht="30" customHeight="1" x14ac:dyDescent="0.3"/>
    <row r="110" ht="30" customHeight="1" x14ac:dyDescent="0.3"/>
    <row r="111" ht="30" customHeight="1" x14ac:dyDescent="0.3"/>
    <row r="112" ht="30" customHeight="1" x14ac:dyDescent="0.3"/>
    <row r="113" ht="30" customHeight="1" x14ac:dyDescent="0.3"/>
    <row r="114" ht="30" customHeight="1" x14ac:dyDescent="0.3"/>
    <row r="115" ht="30" customHeight="1" x14ac:dyDescent="0.3"/>
    <row r="116" ht="30" customHeight="1" x14ac:dyDescent="0.3"/>
    <row r="117" ht="30" customHeight="1" x14ac:dyDescent="0.3"/>
    <row r="118" ht="30" customHeight="1" x14ac:dyDescent="0.3"/>
    <row r="119" ht="30" customHeight="1" x14ac:dyDescent="0.3"/>
    <row r="120" ht="30" customHeight="1" x14ac:dyDescent="0.3"/>
    <row r="121" ht="30" customHeight="1" x14ac:dyDescent="0.3"/>
    <row r="122" ht="30" customHeight="1" x14ac:dyDescent="0.3"/>
    <row r="123" ht="30" customHeight="1" x14ac:dyDescent="0.3"/>
    <row r="124" ht="30" customHeight="1" x14ac:dyDescent="0.3"/>
    <row r="125" ht="30" customHeight="1" x14ac:dyDescent="0.3"/>
    <row r="126" ht="30" customHeight="1" x14ac:dyDescent="0.3"/>
    <row r="127" ht="30" customHeight="1" x14ac:dyDescent="0.3"/>
    <row r="128" ht="30" customHeight="1" x14ac:dyDescent="0.3"/>
    <row r="129" ht="30" customHeight="1" x14ac:dyDescent="0.3"/>
    <row r="130" ht="30" customHeight="1" x14ac:dyDescent="0.3"/>
    <row r="131" ht="30" customHeight="1" x14ac:dyDescent="0.3"/>
    <row r="132" ht="30" customHeight="1" x14ac:dyDescent="0.3"/>
    <row r="133" ht="30" customHeight="1" x14ac:dyDescent="0.3"/>
    <row r="134" ht="30" customHeight="1" x14ac:dyDescent="0.3"/>
    <row r="135" ht="30" customHeight="1" x14ac:dyDescent="0.3"/>
    <row r="136" ht="30" customHeight="1" x14ac:dyDescent="0.3"/>
    <row r="137" ht="30" customHeight="1" x14ac:dyDescent="0.3"/>
    <row r="138" ht="30" customHeight="1" x14ac:dyDescent="0.3"/>
    <row r="139" ht="30" customHeight="1" x14ac:dyDescent="0.3"/>
    <row r="140" ht="30" customHeight="1" x14ac:dyDescent="0.3"/>
    <row r="141" ht="30" customHeight="1" x14ac:dyDescent="0.3"/>
    <row r="142" ht="30" customHeight="1" x14ac:dyDescent="0.3"/>
    <row r="143" ht="30" customHeight="1" x14ac:dyDescent="0.3"/>
    <row r="144" ht="30" customHeight="1" x14ac:dyDescent="0.3"/>
    <row r="145" ht="30" customHeight="1" x14ac:dyDescent="0.3"/>
    <row r="146" ht="30" customHeight="1" x14ac:dyDescent="0.3"/>
    <row r="147" ht="30" customHeight="1" x14ac:dyDescent="0.3"/>
    <row r="148" ht="30" customHeight="1" x14ac:dyDescent="0.3"/>
    <row r="149" ht="30" customHeight="1" x14ac:dyDescent="0.3"/>
    <row r="150" ht="30" customHeight="1" x14ac:dyDescent="0.3"/>
    <row r="151" ht="30" customHeight="1" x14ac:dyDescent="0.3"/>
    <row r="152" ht="30" customHeight="1" x14ac:dyDescent="0.3"/>
    <row r="153" ht="30" customHeight="1" x14ac:dyDescent="0.3"/>
    <row r="154" ht="30" customHeight="1" x14ac:dyDescent="0.3"/>
    <row r="155" ht="30" customHeight="1" x14ac:dyDescent="0.3"/>
    <row r="156" ht="30" customHeight="1" x14ac:dyDescent="0.3"/>
    <row r="157" ht="30" customHeight="1" x14ac:dyDescent="0.3"/>
    <row r="158" ht="30" customHeight="1" x14ac:dyDescent="0.3"/>
    <row r="159" ht="30" customHeight="1" x14ac:dyDescent="0.3"/>
    <row r="160" ht="30" customHeight="1" x14ac:dyDescent="0.3"/>
    <row r="161" ht="30" customHeight="1" x14ac:dyDescent="0.3"/>
    <row r="162" ht="30" customHeight="1" x14ac:dyDescent="0.3"/>
    <row r="163" ht="30" customHeight="1" x14ac:dyDescent="0.3"/>
    <row r="164" ht="30" customHeight="1" x14ac:dyDescent="0.3"/>
    <row r="165" ht="30" customHeight="1" x14ac:dyDescent="0.3"/>
    <row r="166" ht="30" customHeight="1" x14ac:dyDescent="0.3"/>
    <row r="167" ht="30" customHeight="1" x14ac:dyDescent="0.3"/>
    <row r="168" ht="30" customHeight="1" x14ac:dyDescent="0.3"/>
    <row r="169" ht="30" customHeight="1" x14ac:dyDescent="0.3"/>
    <row r="170" ht="30" customHeight="1" x14ac:dyDescent="0.3"/>
    <row r="171" ht="30" customHeight="1" x14ac:dyDescent="0.3"/>
    <row r="172" ht="30" customHeight="1" x14ac:dyDescent="0.3"/>
    <row r="173" ht="30" customHeight="1" x14ac:dyDescent="0.3"/>
    <row r="174" ht="30" customHeight="1" x14ac:dyDescent="0.3"/>
    <row r="175" ht="30" customHeight="1" x14ac:dyDescent="0.3"/>
    <row r="176" ht="30" customHeight="1" x14ac:dyDescent="0.3"/>
    <row r="177" ht="30" customHeight="1" x14ac:dyDescent="0.3"/>
    <row r="178" ht="30" customHeight="1" x14ac:dyDescent="0.3"/>
    <row r="179" ht="30" customHeight="1" x14ac:dyDescent="0.3"/>
    <row r="180" ht="30" customHeight="1" x14ac:dyDescent="0.3"/>
    <row r="181" ht="30" customHeight="1" x14ac:dyDescent="0.3"/>
    <row r="182" ht="30" customHeight="1" x14ac:dyDescent="0.3"/>
    <row r="183" ht="30" customHeight="1" x14ac:dyDescent="0.3"/>
    <row r="184" ht="30" customHeight="1" x14ac:dyDescent="0.3"/>
    <row r="185" ht="30" customHeight="1" x14ac:dyDescent="0.3"/>
    <row r="186" ht="30" customHeight="1" x14ac:dyDescent="0.3"/>
    <row r="187" ht="30" customHeight="1" x14ac:dyDescent="0.3"/>
    <row r="188" ht="30" customHeight="1" x14ac:dyDescent="0.3"/>
    <row r="189" ht="30" customHeight="1" x14ac:dyDescent="0.3"/>
    <row r="190" ht="30" customHeight="1" x14ac:dyDescent="0.3"/>
    <row r="191" ht="30" customHeight="1" x14ac:dyDescent="0.3"/>
    <row r="192" ht="30" customHeight="1" x14ac:dyDescent="0.3"/>
    <row r="193" ht="30" customHeight="1" x14ac:dyDescent="0.3"/>
    <row r="194" ht="30" customHeight="1" x14ac:dyDescent="0.3"/>
    <row r="195" ht="30" customHeight="1" x14ac:dyDescent="0.3"/>
    <row r="196" ht="30" customHeight="1" x14ac:dyDescent="0.3"/>
    <row r="197" ht="30" customHeight="1" x14ac:dyDescent="0.3"/>
    <row r="198" ht="30" customHeight="1" x14ac:dyDescent="0.3"/>
    <row r="199" ht="30" customHeight="1" x14ac:dyDescent="0.3"/>
    <row r="200" ht="30" customHeight="1" x14ac:dyDescent="0.3"/>
    <row r="201" ht="30" customHeight="1" x14ac:dyDescent="0.3"/>
    <row r="202" ht="30" customHeight="1" x14ac:dyDescent="0.3"/>
    <row r="203" ht="30" customHeight="1" x14ac:dyDescent="0.3"/>
    <row r="204" ht="30" customHeight="1" x14ac:dyDescent="0.3"/>
    <row r="205" ht="30" customHeight="1" x14ac:dyDescent="0.3"/>
    <row r="206" ht="30" customHeight="1" x14ac:dyDescent="0.3"/>
    <row r="207" ht="30" customHeight="1" x14ac:dyDescent="0.3"/>
    <row r="208" ht="30" customHeight="1" x14ac:dyDescent="0.3"/>
    <row r="209" ht="30" customHeight="1" x14ac:dyDescent="0.3"/>
    <row r="210" ht="30" customHeight="1" x14ac:dyDescent="0.3"/>
    <row r="211" ht="30" customHeight="1" x14ac:dyDescent="0.3"/>
    <row r="212" ht="30" customHeight="1" x14ac:dyDescent="0.3"/>
    <row r="213" ht="30" customHeight="1" x14ac:dyDescent="0.3"/>
    <row r="214" ht="30" customHeight="1" x14ac:dyDescent="0.3"/>
    <row r="215" ht="30" customHeight="1" x14ac:dyDescent="0.3"/>
    <row r="216" ht="30" customHeight="1" x14ac:dyDescent="0.3"/>
    <row r="217" ht="30" customHeight="1" x14ac:dyDescent="0.3"/>
    <row r="218" ht="30" customHeight="1" x14ac:dyDescent="0.3"/>
    <row r="219" ht="30" customHeight="1" x14ac:dyDescent="0.3"/>
    <row r="220" ht="30" customHeight="1" x14ac:dyDescent="0.3"/>
    <row r="221" ht="30" customHeight="1" x14ac:dyDescent="0.3"/>
    <row r="222" ht="30" customHeight="1" x14ac:dyDescent="0.3"/>
    <row r="223" ht="30" customHeight="1" x14ac:dyDescent="0.3"/>
    <row r="224" ht="30" customHeight="1" x14ac:dyDescent="0.3"/>
    <row r="225" ht="30" customHeight="1" x14ac:dyDescent="0.3"/>
    <row r="226" ht="30" customHeight="1" x14ac:dyDescent="0.3"/>
    <row r="227" ht="30" customHeight="1" x14ac:dyDescent="0.3"/>
    <row r="228" ht="30" customHeight="1" x14ac:dyDescent="0.3"/>
    <row r="229" ht="30" customHeight="1" x14ac:dyDescent="0.3"/>
    <row r="230" ht="30" customHeight="1" x14ac:dyDescent="0.3"/>
    <row r="231" ht="30" customHeight="1" x14ac:dyDescent="0.3"/>
    <row r="232" ht="30" customHeight="1" x14ac:dyDescent="0.3"/>
    <row r="233" ht="30" customHeight="1" x14ac:dyDescent="0.3"/>
    <row r="234" ht="30" customHeight="1" x14ac:dyDescent="0.3"/>
    <row r="235" ht="30" customHeight="1" x14ac:dyDescent="0.3"/>
    <row r="236" ht="30" customHeight="1" x14ac:dyDescent="0.3"/>
    <row r="237" ht="30" customHeight="1" x14ac:dyDescent="0.3"/>
    <row r="238" ht="30" customHeight="1" x14ac:dyDescent="0.3"/>
    <row r="239" ht="30" customHeight="1" x14ac:dyDescent="0.3"/>
    <row r="240" ht="30" customHeight="1" x14ac:dyDescent="0.3"/>
    <row r="241" ht="30" customHeight="1" x14ac:dyDescent="0.3"/>
    <row r="242" ht="30" customHeight="1" x14ac:dyDescent="0.3"/>
    <row r="243" ht="30" customHeight="1" x14ac:dyDescent="0.3"/>
    <row r="244" ht="30" customHeight="1" x14ac:dyDescent="0.3"/>
    <row r="245" ht="30" customHeight="1" x14ac:dyDescent="0.3"/>
    <row r="246" ht="30" customHeight="1" x14ac:dyDescent="0.3"/>
    <row r="247" ht="30" customHeight="1" x14ac:dyDescent="0.3"/>
    <row r="248" ht="30" customHeight="1" x14ac:dyDescent="0.3"/>
    <row r="249" ht="30" customHeight="1" x14ac:dyDescent="0.3"/>
    <row r="250" ht="30" customHeight="1" x14ac:dyDescent="0.3"/>
    <row r="251" ht="30" customHeight="1" x14ac:dyDescent="0.3"/>
    <row r="252" ht="30" customHeight="1" x14ac:dyDescent="0.3"/>
    <row r="253" ht="30" customHeight="1" x14ac:dyDescent="0.3"/>
    <row r="254" ht="30" customHeight="1" x14ac:dyDescent="0.3"/>
    <row r="255" ht="30" customHeight="1" x14ac:dyDescent="0.3"/>
    <row r="256" ht="30" customHeight="1" x14ac:dyDescent="0.3"/>
    <row r="257" ht="30" customHeight="1" x14ac:dyDescent="0.3"/>
    <row r="258" ht="30" customHeight="1" x14ac:dyDescent="0.3"/>
    <row r="259" ht="30" customHeight="1" x14ac:dyDescent="0.3"/>
    <row r="260" ht="30" customHeight="1" x14ac:dyDescent="0.3"/>
    <row r="261" ht="30" customHeight="1" x14ac:dyDescent="0.3"/>
    <row r="262" ht="30" customHeight="1" x14ac:dyDescent="0.3"/>
    <row r="263" ht="30" customHeight="1" x14ac:dyDescent="0.3"/>
    <row r="264" ht="30" customHeight="1" x14ac:dyDescent="0.3"/>
    <row r="265" ht="30" customHeight="1" x14ac:dyDescent="0.3"/>
    <row r="266" ht="30" customHeight="1" x14ac:dyDescent="0.3"/>
    <row r="267" ht="30" customHeight="1" x14ac:dyDescent="0.3"/>
    <row r="268" ht="30" customHeight="1" x14ac:dyDescent="0.3"/>
    <row r="269" ht="30" customHeight="1" x14ac:dyDescent="0.3"/>
    <row r="270" ht="30" customHeight="1" x14ac:dyDescent="0.3"/>
    <row r="271" ht="30" customHeight="1" x14ac:dyDescent="0.3"/>
    <row r="272" ht="30" customHeight="1" x14ac:dyDescent="0.3"/>
    <row r="273" ht="30" customHeight="1" x14ac:dyDescent="0.3"/>
    <row r="274" ht="30" customHeight="1" x14ac:dyDescent="0.3"/>
    <row r="275" ht="30" customHeight="1" x14ac:dyDescent="0.3"/>
    <row r="276" ht="30" customHeight="1" x14ac:dyDescent="0.3"/>
    <row r="277" ht="30" customHeight="1" x14ac:dyDescent="0.3"/>
    <row r="278" ht="30" customHeight="1" x14ac:dyDescent="0.3"/>
    <row r="279" ht="30" customHeight="1" x14ac:dyDescent="0.3"/>
    <row r="280" ht="30" customHeight="1" x14ac:dyDescent="0.3"/>
    <row r="281" ht="30" customHeight="1" x14ac:dyDescent="0.3"/>
    <row r="282" ht="30" customHeight="1" x14ac:dyDescent="0.3"/>
    <row r="283" ht="30" customHeight="1" x14ac:dyDescent="0.3"/>
    <row r="284" ht="30" customHeight="1" x14ac:dyDescent="0.3"/>
    <row r="285" ht="30" customHeight="1" x14ac:dyDescent="0.3"/>
    <row r="286" ht="30" customHeight="1" x14ac:dyDescent="0.3"/>
    <row r="287" ht="30" customHeight="1" x14ac:dyDescent="0.3"/>
    <row r="288" ht="30" customHeight="1" x14ac:dyDescent="0.3"/>
    <row r="289" ht="30" customHeight="1" x14ac:dyDescent="0.3"/>
    <row r="290" ht="30" customHeight="1" x14ac:dyDescent="0.3"/>
    <row r="291" ht="30" customHeight="1" x14ac:dyDescent="0.3"/>
    <row r="292" ht="30" customHeight="1" x14ac:dyDescent="0.3"/>
    <row r="293" ht="30" customHeight="1" x14ac:dyDescent="0.3"/>
    <row r="294" ht="30" customHeight="1" x14ac:dyDescent="0.3"/>
    <row r="295" ht="30" customHeight="1" x14ac:dyDescent="0.3"/>
    <row r="296" ht="30" customHeight="1" x14ac:dyDescent="0.3"/>
    <row r="297" ht="30" customHeight="1" x14ac:dyDescent="0.3"/>
    <row r="298" ht="30" customHeight="1" x14ac:dyDescent="0.3"/>
    <row r="299" ht="30" customHeight="1" x14ac:dyDescent="0.3"/>
    <row r="300" ht="30" customHeight="1" x14ac:dyDescent="0.3"/>
    <row r="301" ht="30" customHeight="1" x14ac:dyDescent="0.3"/>
    <row r="302" ht="30" customHeight="1" x14ac:dyDescent="0.3"/>
    <row r="303" ht="30" customHeight="1" x14ac:dyDescent="0.3"/>
    <row r="304" ht="30" customHeight="1" x14ac:dyDescent="0.3"/>
    <row r="305" ht="30" customHeight="1" x14ac:dyDescent="0.3"/>
    <row r="306" ht="30" customHeight="1" x14ac:dyDescent="0.3"/>
    <row r="307" ht="30" customHeight="1" x14ac:dyDescent="0.3"/>
    <row r="308" ht="30" customHeight="1" x14ac:dyDescent="0.3"/>
    <row r="309" ht="30" customHeight="1" x14ac:dyDescent="0.3"/>
    <row r="310" ht="30" customHeight="1" x14ac:dyDescent="0.3"/>
    <row r="311" ht="30" customHeight="1" x14ac:dyDescent="0.3"/>
    <row r="312" ht="30" customHeight="1" x14ac:dyDescent="0.3"/>
    <row r="313" ht="30" customHeight="1" x14ac:dyDescent="0.3"/>
    <row r="314" ht="30" customHeight="1" x14ac:dyDescent="0.3"/>
    <row r="315" ht="30" customHeight="1" x14ac:dyDescent="0.3"/>
    <row r="316" ht="30" customHeight="1" x14ac:dyDescent="0.3"/>
    <row r="317" ht="30" customHeight="1" x14ac:dyDescent="0.3"/>
    <row r="318" ht="30" customHeight="1" x14ac:dyDescent="0.3"/>
    <row r="319" ht="30" customHeight="1" x14ac:dyDescent="0.3"/>
    <row r="320" ht="30" customHeight="1" x14ac:dyDescent="0.3"/>
    <row r="321" ht="30" customHeight="1" x14ac:dyDescent="0.3"/>
    <row r="322" ht="30" customHeight="1" x14ac:dyDescent="0.3"/>
    <row r="323" ht="30" customHeight="1" x14ac:dyDescent="0.3"/>
    <row r="324" ht="30" customHeight="1" x14ac:dyDescent="0.3"/>
    <row r="325" ht="30" customHeight="1" x14ac:dyDescent="0.3"/>
    <row r="326" ht="30" customHeight="1" x14ac:dyDescent="0.3"/>
    <row r="327" ht="30" customHeight="1" x14ac:dyDescent="0.3"/>
    <row r="328" ht="30" customHeight="1" x14ac:dyDescent="0.3"/>
    <row r="329" ht="30" customHeight="1" x14ac:dyDescent="0.3"/>
    <row r="330" ht="30" customHeight="1" x14ac:dyDescent="0.3"/>
    <row r="331" ht="30" customHeight="1" x14ac:dyDescent="0.3"/>
    <row r="332" ht="30" customHeight="1" x14ac:dyDescent="0.3"/>
    <row r="333" ht="30" customHeight="1" x14ac:dyDescent="0.3"/>
    <row r="334" ht="30" customHeight="1" x14ac:dyDescent="0.3"/>
    <row r="335" ht="30" customHeight="1" x14ac:dyDescent="0.3"/>
    <row r="336" ht="30" customHeight="1" x14ac:dyDescent="0.3"/>
    <row r="337" ht="30" customHeight="1" x14ac:dyDescent="0.3"/>
    <row r="338" ht="30" customHeight="1" x14ac:dyDescent="0.3"/>
    <row r="339" ht="30" customHeight="1" x14ac:dyDescent="0.3"/>
    <row r="340" ht="30" customHeight="1" x14ac:dyDescent="0.3"/>
    <row r="341" ht="30" customHeight="1" x14ac:dyDescent="0.3"/>
    <row r="342" ht="30" customHeight="1" x14ac:dyDescent="0.3"/>
    <row r="343" ht="30" customHeight="1" x14ac:dyDescent="0.3"/>
    <row r="344" ht="30" customHeight="1" x14ac:dyDescent="0.3"/>
    <row r="345" ht="30" customHeight="1" x14ac:dyDescent="0.3"/>
    <row r="346" ht="30" customHeight="1" x14ac:dyDescent="0.3"/>
    <row r="347" ht="30" customHeight="1" x14ac:dyDescent="0.3"/>
    <row r="348" ht="30" customHeight="1" x14ac:dyDescent="0.3"/>
    <row r="349" ht="30" customHeight="1" x14ac:dyDescent="0.3"/>
    <row r="350" ht="30" customHeight="1" x14ac:dyDescent="0.3"/>
    <row r="351" ht="30" customHeight="1" x14ac:dyDescent="0.3"/>
    <row r="352" ht="30" customHeight="1" x14ac:dyDescent="0.3"/>
    <row r="353" ht="30" customHeight="1" x14ac:dyDescent="0.3"/>
    <row r="354" ht="30" customHeight="1" x14ac:dyDescent="0.3"/>
    <row r="355" ht="30" customHeight="1" x14ac:dyDescent="0.3"/>
    <row r="356" ht="30" customHeight="1" x14ac:dyDescent="0.3"/>
    <row r="357" ht="30" customHeight="1" x14ac:dyDescent="0.3"/>
    <row r="358" ht="30" customHeight="1" x14ac:dyDescent="0.3"/>
    <row r="359" ht="30" customHeight="1" x14ac:dyDescent="0.3"/>
    <row r="360" ht="30" customHeight="1" x14ac:dyDescent="0.3"/>
    <row r="361" ht="30" customHeight="1" x14ac:dyDescent="0.3"/>
    <row r="362" ht="30" customHeight="1" x14ac:dyDescent="0.3"/>
    <row r="363" ht="30" customHeight="1" x14ac:dyDescent="0.3"/>
    <row r="364" ht="30" customHeight="1" x14ac:dyDescent="0.3"/>
    <row r="365" ht="30" customHeight="1" x14ac:dyDescent="0.3"/>
    <row r="366" ht="30" customHeight="1" x14ac:dyDescent="0.3"/>
    <row r="367" ht="30" customHeight="1" x14ac:dyDescent="0.3"/>
    <row r="368" ht="30" customHeight="1" x14ac:dyDescent="0.3"/>
    <row r="369" ht="30" customHeight="1" x14ac:dyDescent="0.3"/>
    <row r="370" ht="30" customHeight="1" x14ac:dyDescent="0.3"/>
    <row r="371" ht="30" customHeight="1" x14ac:dyDescent="0.3"/>
    <row r="372" ht="30" customHeight="1" x14ac:dyDescent="0.3"/>
    <row r="373" ht="30" customHeight="1" x14ac:dyDescent="0.3"/>
    <row r="374" ht="30" customHeight="1" x14ac:dyDescent="0.3"/>
    <row r="375" ht="30" customHeight="1" x14ac:dyDescent="0.3"/>
    <row r="376" ht="30" customHeight="1" x14ac:dyDescent="0.3"/>
    <row r="377" ht="30" customHeight="1" x14ac:dyDescent="0.3"/>
    <row r="378" ht="30" customHeight="1" x14ac:dyDescent="0.3"/>
    <row r="379" ht="30" customHeight="1" x14ac:dyDescent="0.3"/>
    <row r="380" ht="30" customHeight="1" x14ac:dyDescent="0.3"/>
    <row r="381" ht="30" customHeight="1" x14ac:dyDescent="0.3"/>
    <row r="382" ht="30" customHeight="1" x14ac:dyDescent="0.3"/>
    <row r="383" ht="30" customHeight="1" x14ac:dyDescent="0.3"/>
    <row r="384" ht="30" customHeight="1" x14ac:dyDescent="0.3"/>
    <row r="385" ht="30" customHeight="1" x14ac:dyDescent="0.3"/>
    <row r="386" ht="30" customHeight="1" x14ac:dyDescent="0.3"/>
    <row r="387" ht="30" customHeight="1" x14ac:dyDescent="0.3"/>
    <row r="388" ht="30" customHeight="1" x14ac:dyDescent="0.3"/>
    <row r="389" ht="30" customHeight="1" x14ac:dyDescent="0.3"/>
    <row r="390" ht="30" customHeight="1" x14ac:dyDescent="0.3"/>
    <row r="391" ht="30" customHeight="1" x14ac:dyDescent="0.3"/>
    <row r="392" ht="30" customHeight="1" x14ac:dyDescent="0.3"/>
    <row r="393" ht="30" customHeight="1" x14ac:dyDescent="0.3"/>
    <row r="394" ht="30" customHeight="1" x14ac:dyDescent="0.3"/>
    <row r="395" ht="30" customHeight="1" x14ac:dyDescent="0.3"/>
    <row r="396" ht="30" customHeight="1" x14ac:dyDescent="0.3"/>
    <row r="397" ht="30" customHeight="1" x14ac:dyDescent="0.3"/>
    <row r="398" ht="30" customHeight="1" x14ac:dyDescent="0.3"/>
    <row r="399" ht="30" customHeight="1" x14ac:dyDescent="0.3"/>
    <row r="400" ht="30" customHeight="1" x14ac:dyDescent="0.3"/>
    <row r="401" ht="30" customHeight="1" x14ac:dyDescent="0.3"/>
    <row r="402" ht="30" customHeight="1" x14ac:dyDescent="0.3"/>
    <row r="403" ht="30" customHeight="1" x14ac:dyDescent="0.3"/>
    <row r="404" ht="30" customHeight="1" x14ac:dyDescent="0.3"/>
    <row r="405" ht="30" customHeight="1" x14ac:dyDescent="0.3"/>
    <row r="406" ht="30" customHeight="1" x14ac:dyDescent="0.3"/>
    <row r="407" ht="30" customHeight="1" x14ac:dyDescent="0.3"/>
    <row r="408" ht="30" customHeight="1" x14ac:dyDescent="0.3"/>
    <row r="409" ht="30" customHeight="1" x14ac:dyDescent="0.3"/>
    <row r="410" ht="30" customHeight="1" x14ac:dyDescent="0.3"/>
    <row r="411" ht="30" customHeight="1" x14ac:dyDescent="0.3"/>
    <row r="412" ht="30" customHeight="1" x14ac:dyDescent="0.3"/>
    <row r="413" ht="30" customHeight="1" x14ac:dyDescent="0.3"/>
    <row r="414" ht="30" customHeight="1" x14ac:dyDescent="0.3"/>
    <row r="415" ht="30" customHeight="1" x14ac:dyDescent="0.3"/>
    <row r="416" ht="30" customHeight="1" x14ac:dyDescent="0.3"/>
    <row r="417" ht="30" customHeight="1" x14ac:dyDescent="0.3"/>
    <row r="418" ht="30" customHeight="1" x14ac:dyDescent="0.3"/>
    <row r="419" ht="30" customHeight="1" x14ac:dyDescent="0.3"/>
    <row r="420" ht="30" customHeight="1" x14ac:dyDescent="0.3"/>
    <row r="421" ht="30" customHeight="1" x14ac:dyDescent="0.3"/>
    <row r="422" ht="30" customHeight="1" x14ac:dyDescent="0.3"/>
    <row r="423" ht="30" customHeight="1" x14ac:dyDescent="0.3"/>
    <row r="424" ht="30" customHeight="1" x14ac:dyDescent="0.3"/>
    <row r="425" ht="30" customHeight="1" x14ac:dyDescent="0.3"/>
    <row r="426" ht="30" customHeight="1" x14ac:dyDescent="0.3"/>
    <row r="427" ht="30" customHeight="1" x14ac:dyDescent="0.3"/>
    <row r="428" ht="30" customHeight="1" x14ac:dyDescent="0.3"/>
    <row r="429" ht="30" customHeight="1" x14ac:dyDescent="0.3"/>
    <row r="430" ht="30" customHeight="1" x14ac:dyDescent="0.3"/>
    <row r="431" ht="30" customHeight="1" x14ac:dyDescent="0.3"/>
    <row r="432" ht="30" customHeight="1" x14ac:dyDescent="0.3"/>
    <row r="433" ht="30" customHeight="1" x14ac:dyDescent="0.3"/>
    <row r="434" ht="30" customHeight="1" x14ac:dyDescent="0.3"/>
    <row r="435" ht="30" customHeight="1" x14ac:dyDescent="0.3"/>
    <row r="436" ht="30" customHeight="1" x14ac:dyDescent="0.3"/>
    <row r="437" ht="30" customHeight="1" x14ac:dyDescent="0.3"/>
    <row r="438" ht="30" customHeight="1" x14ac:dyDescent="0.3"/>
    <row r="439" ht="30" customHeight="1" x14ac:dyDescent="0.3"/>
    <row r="440" ht="30" customHeight="1" x14ac:dyDescent="0.3"/>
    <row r="441" ht="30" customHeight="1" x14ac:dyDescent="0.3"/>
    <row r="442" ht="30" customHeight="1" x14ac:dyDescent="0.3"/>
    <row r="443" ht="30" customHeight="1" x14ac:dyDescent="0.3"/>
    <row r="444" ht="30" customHeight="1" x14ac:dyDescent="0.3"/>
    <row r="445" ht="30" customHeight="1" x14ac:dyDescent="0.3"/>
    <row r="446" ht="30" customHeight="1" x14ac:dyDescent="0.3"/>
    <row r="447" ht="30" customHeight="1" x14ac:dyDescent="0.3"/>
    <row r="448" ht="30" customHeight="1" x14ac:dyDescent="0.3"/>
    <row r="449" ht="30" customHeight="1" x14ac:dyDescent="0.3"/>
    <row r="450" ht="30" customHeight="1" x14ac:dyDescent="0.3"/>
    <row r="451" ht="30" customHeight="1" x14ac:dyDescent="0.3"/>
    <row r="452" ht="30" customHeight="1" x14ac:dyDescent="0.3"/>
    <row r="453" ht="30" customHeight="1" x14ac:dyDescent="0.3"/>
    <row r="454" ht="30" customHeight="1" x14ac:dyDescent="0.3"/>
    <row r="455" ht="30" customHeight="1" x14ac:dyDescent="0.3"/>
    <row r="456" ht="30" customHeight="1" x14ac:dyDescent="0.3"/>
    <row r="457" ht="30" customHeight="1" x14ac:dyDescent="0.3"/>
    <row r="458" ht="30" customHeight="1" x14ac:dyDescent="0.3"/>
  </sheetData>
  <mergeCells count="2">
    <mergeCell ref="A1:C1"/>
    <mergeCell ref="F6:H6"/>
  </mergeCells>
  <phoneticPr fontId="2" type="noConversion"/>
  <conditionalFormatting sqref="K7:K50">
    <cfRule type="expression" dxfId="7" priority="15">
      <formula>#REF!="품절"</formula>
    </cfRule>
    <cfRule type="expression" dxfId="6" priority="16">
      <formula>#REF!="단종"</formula>
    </cfRule>
  </conditionalFormatting>
  <conditionalFormatting sqref="J5:M5 L7:M7 I5:I6 L7:L50 A5:E6">
    <cfRule type="expression" dxfId="5" priority="17">
      <formula>#REF!="품절"</formula>
    </cfRule>
    <cfRule type="expression" dxfId="4" priority="18">
      <formula>#REF!="단종"</formula>
    </cfRule>
  </conditionalFormatting>
  <conditionalFormatting sqref="F5:H5">
    <cfRule type="expression" dxfId="3" priority="3">
      <formula>#REF!="품절"</formula>
    </cfRule>
    <cfRule type="expression" dxfId="2" priority="4">
      <formula>#REF!="단종"</formula>
    </cfRule>
  </conditionalFormatting>
  <conditionalFormatting sqref="F6 I6:M6">
    <cfRule type="expression" dxfId="1" priority="21">
      <formula>#REF!="품절"</formula>
    </cfRule>
    <cfRule type="expression" dxfId="0" priority="22">
      <formula>#REF!="단종"</formula>
    </cfRule>
  </conditionalFormatting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Jin Sun</dc:creator>
  <cp:lastModifiedBy>Sun Jin</cp:lastModifiedBy>
  <dcterms:created xsi:type="dcterms:W3CDTF">2026-01-07T03:25:48Z</dcterms:created>
  <dcterms:modified xsi:type="dcterms:W3CDTF">2026-07-02T06:27:37Z</dcterms:modified>
</cp:coreProperties>
</file>
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apa cos\files\Buyers\2026\Russia\Price list to send\AFTERCHECK\"/>
    </mc:Choice>
  </mc:AlternateContent>
  <xr:revisionPtr revIDLastSave="0" documentId="13_ncr:1_{63301177-865B-4BE9-BD14-2AA7C6FAD7EE}" xr6:coauthVersionLast="47" xr6:coauthVersionMax="47" xr10:uidLastSave="{00000000-0000-0000-0000-000000000000}"/>
  <bookViews>
    <workbookView xWindow="-28920" yWindow="555" windowWidth="29040" windowHeight="15720" xr2:uid="{9999AC61-8E5C-480F-B905-95BDE599E2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1" l="1"/>
  <c r="J6" i="2" l="1"/>
  <c r="I6" i="2"/>
  <c r="J120" i="2"/>
  <c r="K120" i="2" s="1"/>
  <c r="G120" i="2"/>
  <c r="J119" i="2"/>
  <c r="K119" i="2" s="1"/>
  <c r="G119" i="2"/>
  <c r="J118" i="2"/>
  <c r="K118" i="2" s="1"/>
  <c r="G118" i="2"/>
  <c r="J117" i="2"/>
  <c r="K117" i="2" s="1"/>
  <c r="G117" i="2"/>
  <c r="J116" i="2"/>
  <c r="K116" i="2" s="1"/>
  <c r="G116" i="2"/>
  <c r="J115" i="2"/>
  <c r="K115" i="2" s="1"/>
  <c r="G115" i="2"/>
  <c r="J114" i="2"/>
  <c r="K114" i="2" s="1"/>
  <c r="G114" i="2"/>
  <c r="J113" i="2"/>
  <c r="K113" i="2" s="1"/>
  <c r="G113" i="2"/>
  <c r="J112" i="2"/>
  <c r="K112" i="2" s="1"/>
  <c r="G112" i="2"/>
  <c r="J111" i="2"/>
  <c r="K111" i="2" s="1"/>
  <c r="G111" i="2"/>
  <c r="J110" i="2"/>
  <c r="K110" i="2" s="1"/>
  <c r="G110" i="2"/>
  <c r="J109" i="2"/>
  <c r="K109" i="2" s="1"/>
  <c r="G109" i="2"/>
  <c r="J108" i="2"/>
  <c r="K108" i="2" s="1"/>
  <c r="G108" i="2"/>
  <c r="K107" i="2"/>
  <c r="J107" i="2"/>
  <c r="G107" i="2"/>
  <c r="J106" i="2"/>
  <c r="K106" i="2" s="1"/>
  <c r="G106" i="2"/>
  <c r="K105" i="2"/>
  <c r="J105" i="2"/>
  <c r="G105" i="2"/>
  <c r="K104" i="2"/>
  <c r="J104" i="2"/>
  <c r="G104" i="2"/>
  <c r="K103" i="2"/>
  <c r="J103" i="2"/>
  <c r="G103" i="2"/>
  <c r="J102" i="2"/>
  <c r="K102" i="2" s="1"/>
  <c r="G102" i="2"/>
  <c r="J101" i="2"/>
  <c r="K101" i="2" s="1"/>
  <c r="G101" i="2"/>
  <c r="J100" i="2"/>
  <c r="K100" i="2" s="1"/>
  <c r="G100" i="2"/>
  <c r="J99" i="2"/>
  <c r="K99" i="2" s="1"/>
  <c r="G99" i="2"/>
  <c r="J98" i="2"/>
  <c r="K98" i="2" s="1"/>
  <c r="G98" i="2"/>
  <c r="J97" i="2"/>
  <c r="K97" i="2" s="1"/>
  <c r="G97" i="2"/>
  <c r="J96" i="2"/>
  <c r="K96" i="2" s="1"/>
  <c r="G96" i="2"/>
  <c r="K95" i="2"/>
  <c r="J95" i="2"/>
  <c r="G95" i="2"/>
  <c r="J94" i="2"/>
  <c r="K94" i="2" s="1"/>
  <c r="G94" i="2"/>
  <c r="J93" i="2"/>
  <c r="K93" i="2" s="1"/>
  <c r="G93" i="2"/>
  <c r="J92" i="2"/>
  <c r="K92" i="2" s="1"/>
  <c r="G92" i="2"/>
  <c r="J91" i="2"/>
  <c r="K91" i="2" s="1"/>
  <c r="G91" i="2"/>
  <c r="J90" i="2"/>
  <c r="K90" i="2" s="1"/>
  <c r="G90" i="2"/>
  <c r="J89" i="2"/>
  <c r="K89" i="2" s="1"/>
  <c r="G89" i="2"/>
  <c r="J88" i="2"/>
  <c r="K88" i="2" s="1"/>
  <c r="G88" i="2"/>
  <c r="K87" i="2"/>
  <c r="J87" i="2"/>
  <c r="G87" i="2"/>
  <c r="J86" i="2"/>
  <c r="K86" i="2" s="1"/>
  <c r="G86" i="2"/>
  <c r="K85" i="2"/>
  <c r="J85" i="2"/>
  <c r="G85" i="2"/>
  <c r="K84" i="2"/>
  <c r="J84" i="2"/>
  <c r="G84" i="2"/>
  <c r="K83" i="2"/>
  <c r="J83" i="2"/>
  <c r="G83" i="2"/>
  <c r="J82" i="2"/>
  <c r="K82" i="2" s="1"/>
  <c r="G82" i="2"/>
  <c r="J81" i="2"/>
  <c r="K81" i="2" s="1"/>
  <c r="G81" i="2"/>
  <c r="J80" i="2"/>
  <c r="K80" i="2" s="1"/>
  <c r="G80" i="2"/>
  <c r="J79" i="2"/>
  <c r="K79" i="2" s="1"/>
  <c r="G79" i="2"/>
  <c r="J78" i="2"/>
  <c r="K78" i="2" s="1"/>
  <c r="G78" i="2"/>
  <c r="J77" i="2"/>
  <c r="K77" i="2" s="1"/>
  <c r="G77" i="2"/>
  <c r="J76" i="2"/>
  <c r="K76" i="2" s="1"/>
  <c r="G76" i="2"/>
  <c r="J75" i="2"/>
  <c r="K75" i="2" s="1"/>
  <c r="G75" i="2"/>
  <c r="J74" i="2"/>
  <c r="K74" i="2" s="1"/>
  <c r="G74" i="2"/>
  <c r="J73" i="2"/>
  <c r="K73" i="2" s="1"/>
  <c r="G73" i="2"/>
  <c r="J72" i="2"/>
  <c r="K72" i="2" s="1"/>
  <c r="G72" i="2"/>
  <c r="J71" i="2"/>
  <c r="K71" i="2" s="1"/>
  <c r="G71" i="2"/>
  <c r="J70" i="2"/>
  <c r="K70" i="2" s="1"/>
  <c r="G70" i="2"/>
  <c r="J69" i="2"/>
  <c r="K69" i="2" s="1"/>
  <c r="G69" i="2"/>
  <c r="J68" i="2"/>
  <c r="K68" i="2" s="1"/>
  <c r="G68" i="2"/>
  <c r="K67" i="2"/>
  <c r="J67" i="2"/>
  <c r="G67" i="2"/>
  <c r="J66" i="2"/>
  <c r="K66" i="2" s="1"/>
  <c r="G66" i="2"/>
  <c r="K65" i="2"/>
  <c r="J65" i="2"/>
  <c r="G65" i="2"/>
  <c r="K64" i="2"/>
  <c r="J64" i="2"/>
  <c r="G64" i="2"/>
  <c r="K63" i="2"/>
  <c r="J63" i="2"/>
  <c r="G63" i="2"/>
  <c r="J62" i="2"/>
  <c r="K62" i="2" s="1"/>
  <c r="G62" i="2"/>
  <c r="J61" i="2"/>
  <c r="K61" i="2" s="1"/>
  <c r="G61" i="2"/>
  <c r="J60" i="2"/>
  <c r="K60" i="2" s="1"/>
  <c r="G60" i="2"/>
  <c r="J59" i="2"/>
  <c r="K59" i="2" s="1"/>
  <c r="G59" i="2"/>
  <c r="J58" i="2"/>
  <c r="K58" i="2" s="1"/>
  <c r="G58" i="2"/>
  <c r="J57" i="2"/>
  <c r="K57" i="2" s="1"/>
  <c r="G57" i="2"/>
  <c r="J56" i="2"/>
  <c r="K56" i="2" s="1"/>
  <c r="G56" i="2"/>
  <c r="J55" i="2"/>
  <c r="K55" i="2" s="1"/>
  <c r="G55" i="2"/>
  <c r="J54" i="2"/>
  <c r="K54" i="2" s="1"/>
  <c r="G54" i="2"/>
  <c r="J53" i="2"/>
  <c r="K53" i="2" s="1"/>
  <c r="G53" i="2"/>
  <c r="J52" i="2"/>
  <c r="K52" i="2" s="1"/>
  <c r="G52" i="2"/>
  <c r="J51" i="2"/>
  <c r="K51" i="2" s="1"/>
  <c r="G51" i="2"/>
  <c r="J50" i="2"/>
  <c r="K50" i="2" s="1"/>
  <c r="G50" i="2"/>
  <c r="J49" i="2"/>
  <c r="K49" i="2" s="1"/>
  <c r="G49" i="2"/>
  <c r="J48" i="2"/>
  <c r="K48" i="2" s="1"/>
  <c r="G48" i="2"/>
  <c r="K47" i="2"/>
  <c r="J47" i="2"/>
  <c r="G47" i="2"/>
  <c r="J46" i="2"/>
  <c r="K46" i="2" s="1"/>
  <c r="G46" i="2"/>
  <c r="K45" i="2"/>
  <c r="J45" i="2"/>
  <c r="G45" i="2"/>
  <c r="K44" i="2"/>
  <c r="J44" i="2"/>
  <c r="G44" i="2"/>
  <c r="K43" i="2"/>
  <c r="J43" i="2"/>
  <c r="G43" i="2"/>
  <c r="J42" i="2"/>
  <c r="K42" i="2" s="1"/>
  <c r="G42" i="2"/>
  <c r="J41" i="2"/>
  <c r="K41" i="2" s="1"/>
  <c r="G41" i="2"/>
  <c r="J40" i="2"/>
  <c r="K40" i="2" s="1"/>
  <c r="G40" i="2"/>
  <c r="J39" i="2"/>
  <c r="K39" i="2" s="1"/>
  <c r="G39" i="2"/>
  <c r="J38" i="2"/>
  <c r="K38" i="2" s="1"/>
  <c r="G38" i="2"/>
  <c r="J37" i="2"/>
  <c r="K37" i="2" s="1"/>
  <c r="G37" i="2"/>
  <c r="J36" i="2"/>
  <c r="K36" i="2" s="1"/>
  <c r="G36" i="2"/>
  <c r="J35" i="2"/>
  <c r="K35" i="2" s="1"/>
  <c r="G35" i="2"/>
  <c r="J34" i="2"/>
  <c r="K34" i="2" s="1"/>
  <c r="G34" i="2"/>
  <c r="J33" i="2"/>
  <c r="K33" i="2" s="1"/>
  <c r="G33" i="2"/>
  <c r="J32" i="2"/>
  <c r="K32" i="2" s="1"/>
  <c r="G32" i="2"/>
  <c r="J31" i="2"/>
  <c r="K31" i="2" s="1"/>
  <c r="G31" i="2"/>
  <c r="J30" i="2"/>
  <c r="K30" i="2" s="1"/>
  <c r="G30" i="2"/>
  <c r="J29" i="2"/>
  <c r="K29" i="2" s="1"/>
  <c r="G29" i="2"/>
  <c r="J28" i="2"/>
  <c r="K28" i="2" s="1"/>
  <c r="G28" i="2"/>
  <c r="K27" i="2"/>
  <c r="J27" i="2"/>
  <c r="G27" i="2"/>
  <c r="J26" i="2"/>
  <c r="K26" i="2" s="1"/>
  <c r="G26" i="2"/>
  <c r="K25" i="2"/>
  <c r="J25" i="2"/>
  <c r="G25" i="2"/>
  <c r="K24" i="2"/>
  <c r="J24" i="2"/>
  <c r="G24" i="2"/>
  <c r="K23" i="2"/>
  <c r="J23" i="2"/>
  <c r="G23" i="2"/>
  <c r="J22" i="2"/>
  <c r="K22" i="2" s="1"/>
  <c r="G22" i="2"/>
  <c r="J21" i="2"/>
  <c r="K21" i="2" s="1"/>
  <c r="G21" i="2"/>
  <c r="J20" i="2"/>
  <c r="K20" i="2" s="1"/>
  <c r="G20" i="2"/>
  <c r="J19" i="2"/>
  <c r="K19" i="2" s="1"/>
  <c r="G19" i="2"/>
  <c r="J18" i="2"/>
  <c r="K18" i="2" s="1"/>
  <c r="G18" i="2"/>
  <c r="J17" i="2"/>
  <c r="K17" i="2" s="1"/>
  <c r="G17" i="2"/>
  <c r="J16" i="2"/>
  <c r="K16" i="2" s="1"/>
  <c r="G16" i="2"/>
  <c r="J15" i="2"/>
  <c r="K15" i="2" s="1"/>
  <c r="G15" i="2"/>
  <c r="J14" i="2"/>
  <c r="K14" i="2" s="1"/>
  <c r="G14" i="2"/>
  <c r="J13" i="2"/>
  <c r="K13" i="2" s="1"/>
  <c r="G13" i="2"/>
  <c r="J12" i="2"/>
  <c r="K12" i="2" s="1"/>
  <c r="G12" i="2"/>
  <c r="J11" i="2"/>
  <c r="K11" i="2" s="1"/>
  <c r="G11" i="2"/>
  <c r="J10" i="2"/>
  <c r="K10" i="2" s="1"/>
  <c r="G10" i="2"/>
  <c r="J9" i="2"/>
  <c r="K9" i="2" s="1"/>
  <c r="G9" i="2"/>
  <c r="J8" i="2"/>
  <c r="K8" i="2" s="1"/>
  <c r="G8" i="2"/>
  <c r="K7" i="2"/>
  <c r="J7" i="2"/>
  <c r="G7" i="2"/>
  <c r="K6" i="2" l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 s="1"/>
  <c r="J15" i="1"/>
  <c r="K15" i="1"/>
  <c r="J16" i="1"/>
  <c r="K16" i="1"/>
  <c r="J17" i="1"/>
  <c r="K17" i="1"/>
  <c r="J18" i="1"/>
  <c r="K18" i="1" s="1"/>
  <c r="J19" i="1"/>
  <c r="K19" i="1"/>
  <c r="J20" i="1"/>
  <c r="K20" i="1"/>
  <c r="J21" i="1"/>
  <c r="K21" i="1" s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 s="1"/>
  <c r="J30" i="1"/>
  <c r="K30" i="1"/>
  <c r="J31" i="1"/>
  <c r="K31" i="1" s="1"/>
  <c r="J32" i="1"/>
  <c r="K32" i="1" s="1"/>
  <c r="J33" i="1"/>
  <c r="K33" i="1"/>
  <c r="J34" i="1"/>
  <c r="K34" i="1" s="1"/>
  <c r="J35" i="1"/>
  <c r="K35" i="1"/>
  <c r="J36" i="1"/>
  <c r="K36" i="1"/>
  <c r="J37" i="1"/>
  <c r="K37" i="1"/>
  <c r="J38" i="1"/>
  <c r="K38" i="1"/>
  <c r="J39" i="1"/>
  <c r="K39" i="1" s="1"/>
  <c r="J40" i="1"/>
  <c r="K40" i="1"/>
  <c r="J41" i="1"/>
  <c r="K41" i="1" s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 s="1"/>
  <c r="J49" i="1"/>
  <c r="K49" i="1"/>
  <c r="J50" i="1"/>
  <c r="K50" i="1" s="1"/>
  <c r="J51" i="1"/>
  <c r="K51" i="1"/>
  <c r="J52" i="1"/>
  <c r="K52" i="1"/>
  <c r="J53" i="1"/>
  <c r="K53" i="1" s="1"/>
  <c r="J54" i="1"/>
  <c r="K54" i="1"/>
  <c r="J55" i="1"/>
  <c r="K55" i="1" s="1"/>
  <c r="J56" i="1"/>
  <c r="K56" i="1"/>
  <c r="J57" i="1"/>
  <c r="K57" i="1"/>
  <c r="J58" i="1"/>
  <c r="K58" i="1" s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 s="1"/>
  <c r="J69" i="1"/>
  <c r="K69" i="1"/>
  <c r="J70" i="1"/>
  <c r="K70" i="1"/>
  <c r="J71" i="1"/>
  <c r="K71" i="1" s="1"/>
  <c r="J72" i="1"/>
  <c r="K72" i="1"/>
  <c r="J73" i="1"/>
  <c r="K73" i="1"/>
  <c r="J74" i="1"/>
  <c r="K74" i="1" s="1"/>
  <c r="J75" i="1"/>
  <c r="K75" i="1"/>
  <c r="J76" i="1"/>
  <c r="K76" i="1" s="1"/>
  <c r="J77" i="1"/>
  <c r="K77" i="1"/>
  <c r="J78" i="1"/>
  <c r="K78" i="1" s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 s="1"/>
  <c r="J89" i="1"/>
  <c r="K89" i="1"/>
  <c r="J90" i="1"/>
  <c r="K90" i="1"/>
  <c r="J91" i="1"/>
  <c r="K91" i="1"/>
  <c r="J92" i="1"/>
  <c r="K92" i="1" s="1"/>
  <c r="J93" i="1"/>
  <c r="K93" i="1" s="1"/>
  <c r="J94" i="1"/>
  <c r="K94" i="1"/>
  <c r="J95" i="1"/>
  <c r="K95" i="1"/>
  <c r="J96" i="1"/>
  <c r="K96" i="1"/>
  <c r="J97" i="1"/>
  <c r="K97" i="1"/>
  <c r="J98" i="1"/>
  <c r="K98" i="1" s="1"/>
  <c r="J99" i="1"/>
  <c r="K99" i="1" s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 s="1"/>
  <c r="J109" i="1"/>
  <c r="K109" i="1" s="1"/>
  <c r="J110" i="1"/>
  <c r="K110" i="1" s="1"/>
  <c r="J111" i="1"/>
  <c r="K111" i="1"/>
  <c r="J112" i="1"/>
  <c r="K112" i="1"/>
  <c r="J113" i="1"/>
  <c r="K113" i="1" s="1"/>
  <c r="J114" i="1"/>
  <c r="K114" i="1"/>
  <c r="J115" i="1"/>
  <c r="K115" i="1" s="1"/>
  <c r="J116" i="1"/>
  <c r="K116" i="1" s="1"/>
  <c r="J117" i="1"/>
  <c r="K117" i="1"/>
  <c r="J118" i="1"/>
  <c r="K118" i="1" s="1"/>
  <c r="J119" i="1"/>
  <c r="K119" i="1"/>
  <c r="J120" i="1"/>
  <c r="K120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J7" i="1" l="1"/>
  <c r="J6" i="1" s="1"/>
  <c r="G7" i="1"/>
  <c r="K7" i="1" l="1"/>
  <c r="K6" i="1" s="1"/>
</calcChain>
</file>

<file path=xl/sharedStrings.xml><?xml version="1.0" encoding="utf-8"?>
<sst xmlns="http://schemas.openxmlformats.org/spreadsheetml/2006/main" count="452" uniqueCount="227">
  <si>
    <t>NO</t>
    <phoneticPr fontId="4" type="noConversion"/>
  </si>
  <si>
    <t>Bar Code</t>
    <phoneticPr fontId="2" type="noConversion"/>
  </si>
  <si>
    <t>Product Name(EN)</t>
    <phoneticPr fontId="5" type="noConversion"/>
  </si>
  <si>
    <t>PCS / 
OUTBOX</t>
    <phoneticPr fontId="5" type="noConversion"/>
  </si>
  <si>
    <t>ORDER 
BOXES</t>
    <phoneticPr fontId="5" type="noConversion"/>
  </si>
  <si>
    <t>TOTAL 
QUANTITIES</t>
    <phoneticPr fontId="5" type="noConversion"/>
  </si>
  <si>
    <t>Total Supply Price</t>
    <phoneticPr fontId="2" type="noConversion"/>
  </si>
  <si>
    <t>TOTAL</t>
    <phoneticPr fontId="2" type="noConversion"/>
  </si>
  <si>
    <t>Product Name(KR)</t>
    <phoneticPr fontId="5" type="noConversion"/>
  </si>
  <si>
    <t>라운드랩 독도 토너 100ml</t>
  </si>
  <si>
    <t>1025 DOKDO TONER_100ml</t>
  </si>
  <si>
    <t>라운드 랩 1025 독도 토너 200ml</t>
  </si>
  <si>
    <t>1025 DOKDO TONER_200ml</t>
  </si>
  <si>
    <t xml:space="preserve">라운드랩 독도 토너 500ml </t>
  </si>
  <si>
    <t>1025 DOKDO TONER_500ml</t>
  </si>
  <si>
    <t>라운드 랩 1025 독도 로션 200ml</t>
  </si>
  <si>
    <t>1025 DOKDO LOTION_200ml</t>
  </si>
  <si>
    <t>라운드 랩 1025 독도 크림 80ml</t>
  </si>
  <si>
    <t>1025 DOKDO CREAM_80ml</t>
  </si>
  <si>
    <t>라운드 랩 1025 독도 클렌져 150ml</t>
  </si>
  <si>
    <t xml:space="preserve">1025 DOKDO CLEANSER_150ml  </t>
  </si>
  <si>
    <t>라운드 랩 1025 독도 클렌징 오일 200ml</t>
  </si>
  <si>
    <t>1025 DOKDO CLEANSING OIL_200ml</t>
  </si>
  <si>
    <t>라운드 랩 1025 독도 수면 팩 100ml</t>
  </si>
  <si>
    <t>1025 DOKDO SLEEPING PACK_100ml</t>
  </si>
  <si>
    <t>라운드 랩 1025 독도 앰플 45g</t>
  </si>
  <si>
    <t>1025 DOKDO AMPULE_45g</t>
  </si>
  <si>
    <t>라운드 랩 독도 머드팩 100ml (튜브타입)</t>
  </si>
  <si>
    <t>1025 DOKDO MUD PACK_100ml (Tube Type)</t>
  </si>
  <si>
    <t>라운드 랩 독도 워터겔 마스크 시트 30ml 10매</t>
  </si>
  <si>
    <t>1025 DOKDO HYDRATING WATER GEL MASK_30ml (10ea)</t>
  </si>
  <si>
    <t>라운드 랩 독도 라이트 크림 80ml</t>
  </si>
  <si>
    <t>1025 DOKDO LIGHT CREAM_80ml</t>
  </si>
  <si>
    <t>라운드랩 독도 클렌징 밤 50ml</t>
  </si>
  <si>
    <t>1025 DOKDO CLEANSING BALM_50ml (NEW)</t>
  </si>
  <si>
    <t>라운드랩 1025 독도 클렌징 밀크 200ml</t>
  </si>
  <si>
    <t>1025 DOKDO CLEANSING MILK_200ml</t>
  </si>
  <si>
    <t>라운드랩 1025 독도 버블 폼 150ml</t>
  </si>
  <si>
    <t>1025 DOKDO BUBBLE FOAM_150ml</t>
  </si>
  <si>
    <t>라운드 랩 1025 독도 패드 70ea</t>
  </si>
  <si>
    <t>1025 DOKDO PAD_70pcs</t>
  </si>
  <si>
    <t>라운드 랩 독도 아이크림 30ml</t>
  </si>
  <si>
    <t>1025 DOKDO EYE CREAM_30ml</t>
  </si>
  <si>
    <t>라운드 랩 독도 필링 젤 120ml</t>
  </si>
  <si>
    <t>1025 DOKDO PEELING GEL_120ml</t>
  </si>
  <si>
    <t>라운드랩 독도 선크림 50ml</t>
  </si>
  <si>
    <t>1025 DOKDO SUNSCREEN_50ml</t>
  </si>
  <si>
    <t>라운드랩 1025 독도 클렌징 젤 150ml</t>
  </si>
  <si>
    <t>1025 DOKDO CLEANSING GEL_150ml</t>
  </si>
  <si>
    <t>라운드 랩 1025 독도 클렌징 워터 400ml</t>
  </si>
  <si>
    <t>1025 DOKDO CLEANSING WATER_400ml</t>
  </si>
  <si>
    <t>라운드랩 1025 독도 토너+로션 기획 세트 (토너 200ml + 로션 200ml)</t>
  </si>
  <si>
    <t>1025 DOKDO TONER LOTION SPECIAL SET (Toner_200ml + Lotion_200ml)</t>
  </si>
  <si>
    <t>라운드 랩 독도 트라이얼 키트(독도클렌저30+독도토너20+독도앰플10+독도크림20)</t>
  </si>
  <si>
    <t>1025 DOKDO TRIAL KIT (Cleanser 30ml + Toner 20ml + 
Ampule 10ml + Cream 20ml)</t>
  </si>
  <si>
    <t>라운드랩 독도 클렌징티슈 30매</t>
  </si>
  <si>
    <t>1025 DOKDO CLEANSING TISSUE_30ea</t>
  </si>
  <si>
    <t>라운드 랩 자작나무 수분 토너 300ml</t>
  </si>
  <si>
    <t>BIRCH JUICE MOISTURIZING TONER_300ml</t>
  </si>
  <si>
    <t>라운드 랩 자작나무 수분 크림 80ml</t>
  </si>
  <si>
    <t>BIRCH JUICE MOISTURIZING CREAM_80ml</t>
  </si>
  <si>
    <t>라운드 랩 자작나무 수분 클렌저 150ml</t>
  </si>
  <si>
    <t>BIRCH JUICE MOISTURIZING CLEANSER_150ml</t>
  </si>
  <si>
    <t>라운드 랩 자작나무 워시 오프 팩 80ml</t>
  </si>
  <si>
    <t>BIRCH JUICE MOISTURIZING WASHOFF PACK_80ml</t>
  </si>
  <si>
    <t>라운드 랩 자작나무 수분 세럼 50ml</t>
  </si>
  <si>
    <t>BIRCH JUICE MOISTURIZING SERUM_50ml</t>
  </si>
  <si>
    <t>라운드 랩 자작나무 수분 패드 80ea (2021 Renewal)</t>
  </si>
  <si>
    <t>BIRCH JUICE MOISTURIZING PAD_80pcs</t>
  </si>
  <si>
    <t>라운드랩 자작나무 수분 선크림 50ml</t>
  </si>
  <si>
    <t>BIRCH JUICE MOISTURIZING SUNSCREEN_50ml</t>
  </si>
  <si>
    <t>라운드 랩 자작나무 수분 마스크 시트 10매</t>
  </si>
  <si>
    <t>BIRCH JUICE MOISTURIZING MASK_25ml (10ea)</t>
  </si>
  <si>
    <t>라운드랩 자작나무 수딩 젤 150ml</t>
  </si>
  <si>
    <t>BIRCH JUICE MOISTURIZING SOOTHING GEL_150ml</t>
  </si>
  <si>
    <t>라운드랩 자작나무 수분 톤업 선크림 50ml (23AD)</t>
  </si>
  <si>
    <t>BIRCH JUICE MOISTURIZING TONE UP SUNSCREEN_50ml</t>
  </si>
  <si>
    <t>라운드랩 자작나무 무기자차 마일드업 선크림 50ml</t>
  </si>
  <si>
    <t>BIRCH JUICE MILD-UP SUNSCREEN_50ml</t>
  </si>
  <si>
    <t>라운드랩 자작나무 수분선스틱 19g (23AD)</t>
  </si>
  <si>
    <t xml:space="preserve">BIRCH JUICE MOISTURIZING SUN STICK_19g </t>
  </si>
  <si>
    <t>라운드랩 자작나무 선쿠션 15g</t>
  </si>
  <si>
    <t xml:space="preserve">BIRCH JUICE MOISTURIZING SUN CUSHION_15g </t>
  </si>
  <si>
    <t>라운드랩 자작나무 앰플 50ml</t>
  </si>
  <si>
    <t>BIRCH JUICE AMPOULE_50ml</t>
  </si>
  <si>
    <t>라운드 랩 자작나무 수분 클렌징 패드 60매입</t>
  </si>
  <si>
    <t>BIRCH JUICE CLEANSING PAD_60ea</t>
  </si>
  <si>
    <t>라운드랩 핸드 크림 30ml</t>
  </si>
  <si>
    <t>BIRCH JUICE HAND CREAM 30ml</t>
  </si>
  <si>
    <t>라운드랩 자작수분 트라이얼 키트(자작클렌저30+자작토너20+자작앰플10+자작크림20)</t>
  </si>
  <si>
    <t>BIRCH JUICE TRIAL KIT (Cleanser 30ml + Toner 20ml + 
Ampoule 10ml + Cream 20ml)</t>
  </si>
  <si>
    <t>라운드랩 자작나무 수분 더블 겔 마스크 10매</t>
  </si>
  <si>
    <t>ROUND LAB BIRCH JUICE MOISTURIZING DOUBLE GEL MASK 23ml(10ea)</t>
  </si>
  <si>
    <t>라운드랩 자작나무 수분 립밤 20g</t>
  </si>
  <si>
    <t>ROUND LAB BIRCH JUICE MOISTURIZING LIP BALM</t>
  </si>
  <si>
    <t>라운드랩 자작나무 수분 립밤 세트</t>
  </si>
  <si>
    <t>ROUND LAB BIRCH JUICE MOISTURIZING LIP BALM SET(+BRUSH)</t>
  </si>
  <si>
    <t>라운드랩 해풍 쑥 진정 토너 300ml</t>
  </si>
  <si>
    <t>MUGWORT CALMING TONER_300ml</t>
  </si>
  <si>
    <t>라운드랩 해풍 쑥 진정 크림 80ml</t>
  </si>
  <si>
    <t>MUGWORT CALMING CREAM_80ml</t>
  </si>
  <si>
    <t>라운드랩 해풍쑥 진정 클렌저 150ml</t>
  </si>
  <si>
    <t>MUGWORT CALMING CLEANSER_150ml</t>
  </si>
  <si>
    <t>라운드랩 해풍쑥 진정 세럼 50ml</t>
  </si>
  <si>
    <t>MUGWORT CALMING SERUM_50ml</t>
  </si>
  <si>
    <t>라운드랩 해풍쑥 진정 수딩젤 150ml</t>
  </si>
  <si>
    <t>MUGWORT CALMING SOOTHING GEL_150ml</t>
  </si>
  <si>
    <t>라운드랩 해풍쑥 진정 마스크 시트 10매</t>
  </si>
  <si>
    <t>MUGWORT CALMING MASK_25ml (10ea)</t>
  </si>
  <si>
    <t>라운드랩 약콩 세럼 50ml</t>
  </si>
  <si>
    <t>SOYBEAN SERUM_50ml</t>
  </si>
  <si>
    <t>라운드 랩 약콩 영양 마스크 시트 27ml 10매</t>
  </si>
  <si>
    <t>SOYBEAN NOURISHING MASK_27ml (10ea)</t>
  </si>
  <si>
    <t>라운드 랩 약콩 영양 토너 300ml</t>
  </si>
  <si>
    <t>SOYBEAN NOURISHING TONER_300ml</t>
  </si>
  <si>
    <t>라운드 랩 약콩 영양 크림 80ml</t>
  </si>
  <si>
    <t>SOYBEAN NOURISHING CREAM_80ml</t>
  </si>
  <si>
    <t>라운드랩 약콩 클렌저 150ml</t>
  </si>
  <si>
    <t>SOYBEAN CLEANSER_150ml</t>
  </si>
  <si>
    <t>라운드랩 약콩 클랜징 오일 200ml</t>
  </si>
  <si>
    <t>SOYBEAN CLEANSING OIL_200ml</t>
  </si>
  <si>
    <t>라운드 랩 약콩 판테놀 토너 250ml</t>
  </si>
  <si>
    <t>SOYBEAN PANTHENOL TONER_250ml</t>
  </si>
  <si>
    <t>라운드 랩 약콩 판테놀 앰플 50ml</t>
  </si>
  <si>
    <t>SOYBEAN PANTHENOL AMPOULE_50ml</t>
  </si>
  <si>
    <t>라운드 랩 약콩 판테놀 크림 80ml</t>
  </si>
  <si>
    <t>SOYBEAN PANTHENOL CREAM_80ml</t>
  </si>
  <si>
    <t>라운드 랩 약콩 판테놀 마스크 10매입</t>
  </si>
  <si>
    <t>SOYBEAN PANTHENOL MASK_25ml (10ea)</t>
  </si>
  <si>
    <t>라운드랩 약콩 판테놀 클렌저 150ml</t>
  </si>
  <si>
    <t>SOYBEAN PANTHENOL CLEANSER_150ml</t>
  </si>
  <si>
    <t>라운드랩 약콩 판테놀 클렌징 오일 200ml</t>
  </si>
  <si>
    <t>SOYBEAN PANTHENOL CLEANSING OIL_200ml</t>
  </si>
  <si>
    <t>라운드랩 소나무 진정 시카 크림 50ml</t>
  </si>
  <si>
    <t>PINE CALMING CICA CREAM_50ml</t>
  </si>
  <si>
    <t>라운드랩 소나무 진정 시카 앰플 30ml</t>
  </si>
  <si>
    <t>PINE CALMING CICA AMPOULE_30ml</t>
  </si>
  <si>
    <t>라운드랩 소나무 진정 시카 패드 50pcs</t>
  </si>
  <si>
    <t>PINE CALMING CICA PAD_50pcs</t>
  </si>
  <si>
    <t>라운드랩 소나무 진정 시카 마스크 27ml 10매</t>
  </si>
  <si>
    <t>PINE CALMING CICA MASK_27ml (10ea)</t>
  </si>
  <si>
    <t>라운드랩 소나무 진정 시카 토너 250ml</t>
  </si>
  <si>
    <t>PINE CALMING CICA TONER_250ml</t>
  </si>
  <si>
    <t>라운드랩 소나무 진정 시카 로션 250ml</t>
  </si>
  <si>
    <t>PINE CALMING CICA LOTION_250ml</t>
  </si>
  <si>
    <t>라운드랩 소나무 진정 시카 클렌저 150ml</t>
  </si>
  <si>
    <t>PINE CALMING CICA CLEANSER_150ml</t>
  </si>
  <si>
    <t>라운드 랩 소나무 진정 시카 바디 워시 400ml</t>
  </si>
  <si>
    <t>PINE CALMING CICA BODY WASH_400ml</t>
  </si>
  <si>
    <t>라운드 랩 소나무 시카 트라이얼 키트(소나무시카클렌저30+
소나무시카토너20+소나무시카앰플10+소나무시카크림20)</t>
  </si>
  <si>
    <t>PINE CALMING CICA TRIAL KIT (Cleanser 30ml + Toner 20ml +
 Ampoule 10ml + Cream 20ml)</t>
  </si>
  <si>
    <t>라운드랩 소나무 진정 시카 크림 플러스 60ml</t>
  </si>
  <si>
    <t>PINE CALMING CICA CREAM PLUS_60ml</t>
  </si>
  <si>
    <t>라운드랩 소나무 진정 시카 선크림 40ml (SPF50+ PA++++)</t>
  </si>
  <si>
    <t>ROUND LAB PINE CALMING CICA SUNSCREEN 40ml</t>
  </si>
  <si>
    <t>라운드 랩 비타 나이아신 잡티 세럼 30ml</t>
  </si>
  <si>
    <t>ROUND LAB VITA NIACINAMIDE DARK SPOT SERUM 30ml</t>
  </si>
  <si>
    <t>라운드 랩 비타 나이아신 잡티 크림 50ml</t>
  </si>
  <si>
    <t>ROUND LAB VITA NIACINAMIDE DARK SPOT CREAM 50ml</t>
  </si>
  <si>
    <t>라운드 랩 비타 나이아신 잡티 마스크 20ml*1ea</t>
  </si>
  <si>
    <t>ROUND LAB VITA NIACINAMIDE DARK SPOT SERUM MASK 20ml (10ea)</t>
  </si>
  <si>
    <t>라운드 랩 베이비 마일드 탑투토 워시 300ml</t>
  </si>
  <si>
    <t>ROUND LAB BABY MILD TOP TO TOE WASH 300ml</t>
  </si>
  <si>
    <t>라운드 랩 베이비 마일드 로션 300ml</t>
  </si>
  <si>
    <t>ROUND LAB BABY MILD LOTION 300ml</t>
  </si>
  <si>
    <t>라운드 랩 베이비 마일드  물티슈 20매</t>
  </si>
  <si>
    <t>ROUND LAB BABY MILD WET WIPES 20ea</t>
  </si>
  <si>
    <t>라운드 랩 베이비 마일드  물티슈 70매</t>
  </si>
  <si>
    <t>ROUND LAB BABY MILD WET WIPES 70ea</t>
  </si>
  <si>
    <t>라운드 랩 베이비 마일드 선크림 60ml</t>
  </si>
  <si>
    <t>ROUND LAB BABY MILD SUNSCREEN_60ml</t>
  </si>
  <si>
    <t>라운드 랩 베이비 마일드 수딩젤 150ml</t>
  </si>
  <si>
    <t>ROUND LAB BABY MILD SOOTHING GEL_150ml</t>
  </si>
  <si>
    <t>라운드랩 베이비 마일드 선스틱 21g (SPF 50+ PA++++)</t>
  </si>
  <si>
    <t>ROUND LAB BABY MILD SUN STICK 21g</t>
  </si>
  <si>
    <t>라운드랩 베이비 마일드 선쿠션 16g (SPF 50+ PA++++)</t>
  </si>
  <si>
    <t>ROUND LAB BABY MILD SUN CUSHION 16g</t>
  </si>
  <si>
    <t>라운드랩 베이비 마일드 크림 200ml</t>
  </si>
  <si>
    <t>ROUND LAB BABY MILD CREAM 200ml</t>
  </si>
  <si>
    <t>라운드랩 동백 딥 콜라겐 탄력 겔 마스크 (4매)</t>
  </si>
  <si>
    <t>ROUND LAB CAMELLIA DEEP COLLAGEN FIRMING GEL MASK_34g (4ea)</t>
  </si>
  <si>
    <t>라운드 랩 동백 딥 콜라겐 탄력 앰플 30ml</t>
  </si>
  <si>
    <t>ROUND LAB CAMELLIA DEEP COLLAGEN FIRMING AMPOULE_30ml</t>
  </si>
  <si>
    <t>라운드 랩 동백 딥 콜라겐 탄력 크림 50ml</t>
  </si>
  <si>
    <t>ROUND LAB CAMELLIA DEEP COLLAGEN FIRMING CREAM_50ml</t>
  </si>
  <si>
    <t>라운드 랩 동백 딥 콜라겐 탄력 선 세럼 50ml</t>
  </si>
  <si>
    <t>ROUND LAB CAMELLIA DEEP COLLAGEN FIRMING SUN SERUM_50ml</t>
  </si>
  <si>
    <t>라운드랩 동백 딥 콜라겐 젤리 팩 클렌저 150ml</t>
  </si>
  <si>
    <t>ROUND LAB CAMELLIA DEEP COLLAGEN JELLY MASK CLEANSER 150ml</t>
  </si>
  <si>
    <t>포 맨 자작나무 수분 토너 200ml</t>
  </si>
  <si>
    <t>FOR MEN BIRCH JUICE MOISTURIZING TONER_200ml</t>
  </si>
  <si>
    <t>포 맨 자작나무 수분 로션 200ml</t>
  </si>
  <si>
    <t>FOR MEN BIRCH JUICE MOISTURIZING LOTION_200ml</t>
  </si>
  <si>
    <t>포 맨 자작나무 수분 크림 75ml</t>
  </si>
  <si>
    <t>FOR MEN BIRCH JUICE MOISTURIZING CREAM_75ml</t>
  </si>
  <si>
    <t>포 맨 소나무 진정 시카 토너 200ml</t>
  </si>
  <si>
    <t>FOR MEN PINE CALMING CICA TONER_200ml</t>
  </si>
  <si>
    <t>포 맨 소나무 진정 시카 로션 200ml</t>
  </si>
  <si>
    <t>FOR MEN PINE CALMING CICA LOTION_200ml</t>
  </si>
  <si>
    <t>포 맨 소나무 진정 시카 크림 75ml</t>
  </si>
  <si>
    <t>FOR MEN PINE CALMING CICA CREAM_75ml</t>
  </si>
  <si>
    <t>라운드랩 스틱 파우치 키트</t>
  </si>
  <si>
    <t>ROUND LAB STICK POUCH KIT</t>
  </si>
  <si>
    <t>ROUND LAB BIRCH JUICE MOISTURIZING EYE BALM 10g</t>
  </si>
  <si>
    <t>ROUND LAB BIRCH JUICE MOISTURIZING INTENSIVE CREAM 50ml</t>
  </si>
  <si>
    <t>ROUND LAB BIRCH JUICE MOISTURIZING PEELING CLEANSING OIL 200ml</t>
  </si>
  <si>
    <t>SOYBEAN QLA BARRIER CREAM 80ml</t>
  </si>
  <si>
    <t>PINE CICA DEEP PORE CLAY MASK CLEANSER_150ml</t>
  </si>
  <si>
    <t>PINE CALMING CICA MILD UP SUNSCREEN 40ml</t>
  </si>
  <si>
    <t>PINE CALMING CICA AIRY SUN STICK 19g</t>
  </si>
  <si>
    <t>PINE CALMING CICA SCALP AMPOULE 15ml</t>
  </si>
  <si>
    <t>PINE CALMING CICA SHAMPOO 400ml</t>
  </si>
  <si>
    <t>PINE CALMING CICA SCALP TONIC 100ml</t>
  </si>
  <si>
    <t>PINE CALMING CICA NOSE PACK (5ea)</t>
  </si>
  <si>
    <t>PINE CICA DEEP PORE CLEANSING OIL 200ml</t>
  </si>
  <si>
    <t>[OTC] PINE CALMING CICA ACNE MICRO SPOT PATCH</t>
  </si>
  <si>
    <t>VITA NIACINAMIDE GLOW CAPSULE CREAM 50ml</t>
  </si>
  <si>
    <t>CAMELLIA DEEP COLLAGEN V LIFTING GEL MASK 10g(4ea)</t>
  </si>
  <si>
    <t>CAMELLIA DEEP COLLAGEN EYE CREAM 30ml</t>
  </si>
  <si>
    <t>CAMELLIA DEEP COLLAGEN MILKY PDRN TONER 150ml</t>
  </si>
  <si>
    <t>-</t>
  </si>
  <si>
    <r>
      <t xml:space="preserve">MOA : </t>
    </r>
    <r>
      <rPr>
        <b/>
        <sz val="14"/>
        <color theme="1"/>
        <rFont val="맑은 고딕"/>
        <family val="3"/>
        <charset val="129"/>
      </rPr>
      <t>\1</t>
    </r>
    <r>
      <rPr>
        <b/>
        <sz val="14"/>
        <color theme="1"/>
        <rFont val="맑은 고딕"/>
        <family val="3"/>
        <charset val="129"/>
        <scheme val="minor"/>
      </rPr>
      <t>00,000,000</t>
    </r>
    <phoneticPr fontId="2" type="noConversion"/>
  </si>
  <si>
    <t>PAPACOSMETIC ROUNDLAB PRICE LIST</t>
    <phoneticPr fontId="2" type="noConversion"/>
  </si>
  <si>
    <r>
      <t xml:space="preserve">MOA : </t>
    </r>
    <r>
      <rPr>
        <b/>
        <sz val="14"/>
        <color theme="1"/>
        <rFont val="맑은 고딕"/>
        <family val="3"/>
        <charset val="129"/>
      </rPr>
      <t>\</t>
    </r>
    <r>
      <rPr>
        <b/>
        <sz val="14"/>
        <color theme="1"/>
        <rFont val="맑은 고딕"/>
        <family val="3"/>
        <charset val="129"/>
        <scheme val="minor"/>
      </rPr>
      <t>200,000,000</t>
    </r>
    <phoneticPr fontId="2" type="noConversion"/>
  </si>
  <si>
    <t>MSRP
(KRW)</t>
    <phoneticPr fontId="5" type="noConversion"/>
  </si>
  <si>
    <t>Supply Price
(KRW)</t>
    <phoneticPr fontId="5" type="noConversion"/>
  </si>
  <si>
    <t>Supply Rate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</si>
</sst>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[$₩-412]* #,##0_-;\-[$₩-412]* #,##0_-;_-[$₩-412]* &quot;-&quot;??_-;_-@_-"/>
    <numFmt numFmtId="177" formatCode="#,##0_ "/>
    <numFmt numFmtId="178" formatCode="_-* #,##0_-;\-* #,##0_-;_-* &quot;-&quot;_-;_-@_-"/>
    <numFmt numFmtId="179" formatCode="&quot;₩&quot;#,##0_);[Red]\(&quot;₩&quot;#,##0\)"/>
    <numFmt numFmtId="180" formatCode="0_);[Red]\(0\)"/>
    <numFmt numFmtId="181" formatCode="_-[$₩-412]* #,##0.00_-;\-[$₩-412]* #,##0.00_-;_-[$₩-412]* &quot;-&quot;??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color rgb="FF00B0F0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3" borderId="1" xfId="1" applyFont="1" applyFill="1" applyBorder="1" applyAlignment="1">
      <alignment horizontal="center" vertical="center"/>
    </xf>
    <xf numFmtId="178" fontId="7" fillId="4" borderId="1" xfId="1" applyNumberFormat="1" applyFont="1" applyFill="1" applyBorder="1" applyAlignment="1">
      <alignment horizontal="center" vertical="center"/>
    </xf>
    <xf numFmtId="178" fontId="7" fillId="0" borderId="1" xfId="1" applyNumberFormat="1" applyFont="1" applyFill="1" applyBorder="1" applyAlignment="1">
      <alignment horizontal="center" vertical="center"/>
    </xf>
    <xf numFmtId="179" fontId="7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178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177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181" fontId="11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 shrinkToFit="1"/>
    </xf>
    <xf numFmtId="0" fontId="12" fillId="6" borderId="0" xfId="0" quotePrefix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</cellXfs>
  <cellStyles count="2">
    <cellStyle name="20% - Accent6" xfId="1" builtinId="50"/>
    <cellStyle name="Normal" xfId="0" builtinId="0"/>
  </cellStyles>
  <dxfs count="16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E3E2-90B0-403A-99C2-4817F58E66FE}">
  <dimension ref="A1:K530"/>
  <sheetViews>
    <sheetView tabSelected="1" zoomScale="85" zoomScaleNormal="85" workbookViewId="0">
      <selection activeCell="N6" sqref="N6"/>
    </sheetView>
  </sheetViews>
  <sheetFormatPr defaultRowHeight="16.5" x14ac:dyDescent="0.3"/>
  <cols>
    <col min="2" max="2" width="15.625" bestFit="1" customWidth="1"/>
    <col min="3" max="3" width="47.75" bestFit="1" customWidth="1"/>
    <col min="4" max="4" width="50.625" customWidth="1"/>
    <col min="5" max="5" width="9.25" bestFit="1" customWidth="1"/>
    <col min="6" max="6" width="13.375" customWidth="1"/>
    <col min="7" max="7" width="11.875" bestFit="1" customWidth="1"/>
    <col min="9" max="9" width="16.875" bestFit="1" customWidth="1"/>
    <col min="10" max="10" width="22.5" bestFit="1" customWidth="1"/>
    <col min="11" max="11" width="20.125" bestFit="1" customWidth="1"/>
    <col min="12" max="12" width="20.125" customWidth="1"/>
  </cols>
  <sheetData>
    <row r="1" spans="1:11" ht="42.75" customHeight="1" x14ac:dyDescent="0.3">
      <c r="A1" s="22" t="s">
        <v>222</v>
      </c>
      <c r="B1" s="23"/>
      <c r="C1" s="23"/>
      <c r="D1" s="20" t="s">
        <v>221</v>
      </c>
    </row>
    <row r="4" spans="1:11" x14ac:dyDescent="0.3">
      <c r="F4" s="1"/>
      <c r="G4" s="1"/>
    </row>
    <row r="5" spans="1:11" ht="30" customHeight="1" x14ac:dyDescent="0.3">
      <c r="A5" s="14" t="s">
        <v>0</v>
      </c>
      <c r="B5" s="14" t="s">
        <v>1</v>
      </c>
      <c r="C5" s="14" t="s">
        <v>8</v>
      </c>
      <c r="D5" s="14" t="s">
        <v>2</v>
      </c>
      <c r="E5" s="16" t="s">
        <v>224</v>
      </c>
      <c r="F5" s="16" t="s">
        <v>225</v>
      </c>
      <c r="G5" s="17" t="s">
        <v>226</v>
      </c>
      <c r="H5" s="15" t="s">
        <v>3</v>
      </c>
      <c r="I5" s="18" t="s">
        <v>4</v>
      </c>
      <c r="J5" s="18" t="s">
        <v>5</v>
      </c>
      <c r="K5" s="18" t="s">
        <v>6</v>
      </c>
    </row>
    <row r="6" spans="1:11" ht="30" customHeight="1" x14ac:dyDescent="0.3">
      <c r="A6" s="2"/>
      <c r="B6" s="2"/>
      <c r="C6" s="2"/>
      <c r="D6" s="2"/>
      <c r="E6" s="21" t="s">
        <v>7</v>
      </c>
      <c r="F6" s="21"/>
      <c r="G6" s="21"/>
      <c r="H6" s="2"/>
      <c r="I6" s="3">
        <f>SUM(I7:I120)</f>
        <v>0</v>
      </c>
      <c r="J6" s="4">
        <f>SUM(J7:J120)</f>
        <v>0</v>
      </c>
      <c r="K6" s="5">
        <f>SUM(K7:K120)</f>
        <v>0</v>
      </c>
    </row>
    <row r="7" spans="1:11" ht="30" customHeight="1" x14ac:dyDescent="0.3">
      <c r="A7" s="6">
        <v>1</v>
      </c>
      <c r="B7" s="7">
        <v>8809657115387</v>
      </c>
      <c r="C7" s="6" t="s">
        <v>9</v>
      </c>
      <c r="D7" s="8" t="s">
        <v>10</v>
      </c>
      <c r="E7" s="10">
        <v>11800</v>
      </c>
      <c r="F7" s="10">
        <v>5418</v>
      </c>
      <c r="G7" s="19">
        <f>F7/E7</f>
        <v>0.45915254237288133</v>
      </c>
      <c r="H7" s="9">
        <v>96</v>
      </c>
      <c r="I7" s="11"/>
      <c r="J7" s="12">
        <f>I7*H7</f>
        <v>0</v>
      </c>
      <c r="K7" s="13">
        <f>IF($F7&gt;0,$J7*$F7,"")</f>
        <v>0</v>
      </c>
    </row>
    <row r="8" spans="1:11" ht="30" customHeight="1" x14ac:dyDescent="0.3">
      <c r="A8" s="6">
        <v>2</v>
      </c>
      <c r="B8" s="7">
        <v>8809657114731</v>
      </c>
      <c r="C8" s="6" t="s">
        <v>11</v>
      </c>
      <c r="D8" s="8" t="s">
        <v>12</v>
      </c>
      <c r="E8" s="10">
        <v>15000</v>
      </c>
      <c r="F8" s="10">
        <v>7100</v>
      </c>
      <c r="G8" s="19">
        <f t="shared" ref="G8:G71" si="0">F8/E8</f>
        <v>0.47333333333333333</v>
      </c>
      <c r="H8" s="9">
        <v>30</v>
      </c>
      <c r="I8" s="11"/>
      <c r="J8" s="12">
        <f t="shared" ref="J8:J71" si="1">I8*H8</f>
        <v>0</v>
      </c>
      <c r="K8" s="13">
        <f t="shared" ref="K8:K71" si="2">IF($F8&gt;0,$J8*$F8,"")</f>
        <v>0</v>
      </c>
    </row>
    <row r="9" spans="1:11" ht="30" customHeight="1" x14ac:dyDescent="0.3">
      <c r="A9" s="6">
        <v>3</v>
      </c>
      <c r="B9" s="7">
        <v>8809657114748</v>
      </c>
      <c r="C9" s="6" t="s">
        <v>13</v>
      </c>
      <c r="D9" s="8" t="s">
        <v>14</v>
      </c>
      <c r="E9" s="10">
        <v>30000</v>
      </c>
      <c r="F9" s="10">
        <v>14100</v>
      </c>
      <c r="G9" s="19">
        <f t="shared" si="0"/>
        <v>0.47</v>
      </c>
      <c r="H9" s="9">
        <v>30</v>
      </c>
      <c r="I9" s="11"/>
      <c r="J9" s="12">
        <f t="shared" si="1"/>
        <v>0</v>
      </c>
      <c r="K9" s="13">
        <f t="shared" si="2"/>
        <v>0</v>
      </c>
    </row>
    <row r="10" spans="1:11" ht="30" customHeight="1" x14ac:dyDescent="0.3">
      <c r="A10" s="6">
        <v>4</v>
      </c>
      <c r="B10" s="7">
        <v>8809657114779</v>
      </c>
      <c r="C10" s="6" t="s">
        <v>15</v>
      </c>
      <c r="D10" s="8" t="s">
        <v>16</v>
      </c>
      <c r="E10" s="10">
        <v>20000</v>
      </c>
      <c r="F10" s="10">
        <v>9500</v>
      </c>
      <c r="G10" s="19">
        <f t="shared" si="0"/>
        <v>0.47499999999999998</v>
      </c>
      <c r="H10" s="9">
        <v>30</v>
      </c>
      <c r="I10" s="11"/>
      <c r="J10" s="12">
        <f t="shared" si="1"/>
        <v>0</v>
      </c>
      <c r="K10" s="13">
        <f t="shared" si="2"/>
        <v>0</v>
      </c>
    </row>
    <row r="11" spans="1:11" ht="30" customHeight="1" x14ac:dyDescent="0.3">
      <c r="A11" s="6">
        <v>5</v>
      </c>
      <c r="B11" s="7">
        <v>8809738600245</v>
      </c>
      <c r="C11" s="6" t="s">
        <v>17</v>
      </c>
      <c r="D11" s="8" t="s">
        <v>18</v>
      </c>
      <c r="E11" s="10">
        <v>32000</v>
      </c>
      <c r="F11" s="10">
        <v>12830</v>
      </c>
      <c r="G11" s="19">
        <f t="shared" si="0"/>
        <v>0.4009375</v>
      </c>
      <c r="H11" s="9">
        <v>80</v>
      </c>
      <c r="I11" s="11"/>
      <c r="J11" s="12">
        <f t="shared" si="1"/>
        <v>0</v>
      </c>
      <c r="K11" s="13">
        <f t="shared" si="2"/>
        <v>0</v>
      </c>
    </row>
    <row r="12" spans="1:11" ht="30" customHeight="1" x14ac:dyDescent="0.3">
      <c r="A12" s="6">
        <v>6</v>
      </c>
      <c r="B12" s="7">
        <v>8809738608364</v>
      </c>
      <c r="C12" s="6" t="s">
        <v>19</v>
      </c>
      <c r="D12" s="8" t="s">
        <v>20</v>
      </c>
      <c r="E12" s="10">
        <v>13000</v>
      </c>
      <c r="F12" s="10">
        <v>6220</v>
      </c>
      <c r="G12" s="19">
        <f t="shared" si="0"/>
        <v>0.47846153846153844</v>
      </c>
      <c r="H12" s="9">
        <v>30</v>
      </c>
      <c r="I12" s="11"/>
      <c r="J12" s="12">
        <f t="shared" si="1"/>
        <v>0</v>
      </c>
      <c r="K12" s="13">
        <f t="shared" si="2"/>
        <v>0</v>
      </c>
    </row>
    <row r="13" spans="1:11" ht="30" customHeight="1" x14ac:dyDescent="0.3">
      <c r="A13" s="6">
        <v>7</v>
      </c>
      <c r="B13" s="7">
        <v>8809738605677</v>
      </c>
      <c r="C13" s="6" t="s">
        <v>21</v>
      </c>
      <c r="D13" s="8" t="s">
        <v>22</v>
      </c>
      <c r="E13" s="10">
        <v>23000</v>
      </c>
      <c r="F13" s="10">
        <v>11001</v>
      </c>
      <c r="G13" s="19">
        <f t="shared" si="0"/>
        <v>0.47830434782608694</v>
      </c>
      <c r="H13" s="9">
        <v>30</v>
      </c>
      <c r="I13" s="11"/>
      <c r="J13" s="12">
        <f t="shared" si="1"/>
        <v>0</v>
      </c>
      <c r="K13" s="13">
        <f t="shared" si="2"/>
        <v>0</v>
      </c>
    </row>
    <row r="14" spans="1:11" ht="30" customHeight="1" x14ac:dyDescent="0.3">
      <c r="A14" s="6">
        <v>8</v>
      </c>
      <c r="B14" s="7">
        <v>8809657115639</v>
      </c>
      <c r="C14" s="6" t="s">
        <v>23</v>
      </c>
      <c r="D14" s="8" t="s">
        <v>24</v>
      </c>
      <c r="E14" s="10">
        <v>21000</v>
      </c>
      <c r="F14" s="10">
        <v>10010</v>
      </c>
      <c r="G14" s="19">
        <f t="shared" si="0"/>
        <v>0.47666666666666668</v>
      </c>
      <c r="H14" s="9">
        <v>50</v>
      </c>
      <c r="I14" s="11"/>
      <c r="J14" s="12">
        <f t="shared" si="1"/>
        <v>0</v>
      </c>
      <c r="K14" s="13">
        <f t="shared" si="2"/>
        <v>0</v>
      </c>
    </row>
    <row r="15" spans="1:11" ht="30" customHeight="1" x14ac:dyDescent="0.3">
      <c r="A15" s="6">
        <v>9</v>
      </c>
      <c r="B15" s="7">
        <v>8809657115479</v>
      </c>
      <c r="C15" s="6" t="s">
        <v>25</v>
      </c>
      <c r="D15" s="8" t="s">
        <v>26</v>
      </c>
      <c r="E15" s="10">
        <v>28000</v>
      </c>
      <c r="F15" s="10">
        <v>10630</v>
      </c>
      <c r="G15" s="19">
        <f t="shared" si="0"/>
        <v>0.37964285714285712</v>
      </c>
      <c r="H15" s="9">
        <v>100</v>
      </c>
      <c r="I15" s="11"/>
      <c r="J15" s="12">
        <f t="shared" si="1"/>
        <v>0</v>
      </c>
      <c r="K15" s="13">
        <f t="shared" si="2"/>
        <v>0</v>
      </c>
    </row>
    <row r="16" spans="1:11" ht="30" customHeight="1" x14ac:dyDescent="0.3">
      <c r="A16" s="6">
        <v>10</v>
      </c>
      <c r="B16" s="7">
        <v>8809738604755</v>
      </c>
      <c r="C16" s="6" t="s">
        <v>27</v>
      </c>
      <c r="D16" s="8" t="s">
        <v>28</v>
      </c>
      <c r="E16" s="10">
        <v>17000</v>
      </c>
      <c r="F16" s="10">
        <v>7720.0000000000009</v>
      </c>
      <c r="G16" s="19">
        <f t="shared" si="0"/>
        <v>0.45411764705882357</v>
      </c>
      <c r="H16" s="9">
        <v>30</v>
      </c>
      <c r="I16" s="11"/>
      <c r="J16" s="12">
        <f t="shared" si="1"/>
        <v>0</v>
      </c>
      <c r="K16" s="13">
        <f t="shared" si="2"/>
        <v>0</v>
      </c>
    </row>
    <row r="17" spans="1:11" ht="30" customHeight="1" x14ac:dyDescent="0.3">
      <c r="A17" s="6">
        <v>11</v>
      </c>
      <c r="B17" s="7">
        <v>8809743540710</v>
      </c>
      <c r="C17" s="6" t="s">
        <v>29</v>
      </c>
      <c r="D17" s="8" t="s">
        <v>30</v>
      </c>
      <c r="E17" s="10">
        <v>40000</v>
      </c>
      <c r="F17" s="10">
        <v>12000.000000000002</v>
      </c>
      <c r="G17" s="19">
        <f t="shared" si="0"/>
        <v>0.30000000000000004</v>
      </c>
      <c r="H17" s="9">
        <v>20</v>
      </c>
      <c r="I17" s="11"/>
      <c r="J17" s="12">
        <f t="shared" si="1"/>
        <v>0</v>
      </c>
      <c r="K17" s="13">
        <f t="shared" si="2"/>
        <v>0</v>
      </c>
    </row>
    <row r="18" spans="1:11" ht="30" customHeight="1" x14ac:dyDescent="0.3">
      <c r="A18" s="6">
        <v>12</v>
      </c>
      <c r="B18" s="7">
        <v>8809738591154</v>
      </c>
      <c r="C18" s="6" t="s">
        <v>31</v>
      </c>
      <c r="D18" s="8" t="s">
        <v>32</v>
      </c>
      <c r="E18" s="10">
        <v>32000</v>
      </c>
      <c r="F18" s="10">
        <v>13730</v>
      </c>
      <c r="G18" s="19">
        <f t="shared" si="0"/>
        <v>0.42906250000000001</v>
      </c>
      <c r="H18" s="9">
        <v>30</v>
      </c>
      <c r="I18" s="11"/>
      <c r="J18" s="12">
        <f t="shared" si="1"/>
        <v>0</v>
      </c>
      <c r="K18" s="13">
        <f t="shared" si="2"/>
        <v>0</v>
      </c>
    </row>
    <row r="19" spans="1:11" ht="30" customHeight="1" x14ac:dyDescent="0.3">
      <c r="A19" s="6">
        <v>13</v>
      </c>
      <c r="B19" s="7">
        <v>8809962542755</v>
      </c>
      <c r="C19" s="6" t="s">
        <v>33</v>
      </c>
      <c r="D19" s="8" t="s">
        <v>34</v>
      </c>
      <c r="E19" s="10">
        <v>25000</v>
      </c>
      <c r="F19" s="10">
        <v>11800</v>
      </c>
      <c r="G19" s="19">
        <f t="shared" si="0"/>
        <v>0.47199999999999998</v>
      </c>
      <c r="H19" s="9">
        <v>40</v>
      </c>
      <c r="I19" s="11"/>
      <c r="J19" s="12">
        <f t="shared" si="1"/>
        <v>0</v>
      </c>
      <c r="K19" s="13">
        <f t="shared" si="2"/>
        <v>0</v>
      </c>
    </row>
    <row r="20" spans="1:11" ht="30" customHeight="1" x14ac:dyDescent="0.3">
      <c r="A20" s="6">
        <v>14</v>
      </c>
      <c r="B20" s="7">
        <v>8809743542684</v>
      </c>
      <c r="C20" s="6" t="s">
        <v>35</v>
      </c>
      <c r="D20" s="8" t="s">
        <v>36</v>
      </c>
      <c r="E20" s="10">
        <v>24000</v>
      </c>
      <c r="F20" s="10">
        <v>11501</v>
      </c>
      <c r="G20" s="19">
        <f t="shared" si="0"/>
        <v>0.47920833333333335</v>
      </c>
      <c r="H20" s="9">
        <v>30</v>
      </c>
      <c r="I20" s="11"/>
      <c r="J20" s="12">
        <f t="shared" si="1"/>
        <v>0</v>
      </c>
      <c r="K20" s="13">
        <f t="shared" si="2"/>
        <v>0</v>
      </c>
    </row>
    <row r="21" spans="1:11" ht="30" customHeight="1" x14ac:dyDescent="0.3">
      <c r="A21" s="6">
        <v>15</v>
      </c>
      <c r="B21" s="7">
        <v>8809738599044</v>
      </c>
      <c r="C21" s="6" t="s">
        <v>37</v>
      </c>
      <c r="D21" s="8" t="s">
        <v>38</v>
      </c>
      <c r="E21" s="10">
        <v>15000</v>
      </c>
      <c r="F21" s="10">
        <v>7100</v>
      </c>
      <c r="G21" s="19">
        <f t="shared" si="0"/>
        <v>0.47333333333333333</v>
      </c>
      <c r="H21" s="9">
        <v>30</v>
      </c>
      <c r="I21" s="11"/>
      <c r="J21" s="12">
        <f t="shared" si="1"/>
        <v>0</v>
      </c>
      <c r="K21" s="13">
        <f t="shared" si="2"/>
        <v>0</v>
      </c>
    </row>
    <row r="22" spans="1:11" ht="30" customHeight="1" x14ac:dyDescent="0.3">
      <c r="A22" s="6">
        <v>16</v>
      </c>
      <c r="B22" s="7">
        <v>8809657129247</v>
      </c>
      <c r="C22" s="6" t="s">
        <v>39</v>
      </c>
      <c r="D22" s="8" t="s">
        <v>40</v>
      </c>
      <c r="E22" s="10">
        <v>24000</v>
      </c>
      <c r="F22" s="10">
        <v>11501</v>
      </c>
      <c r="G22" s="19">
        <f t="shared" si="0"/>
        <v>0.47920833333333335</v>
      </c>
      <c r="H22" s="9">
        <v>40</v>
      </c>
      <c r="I22" s="11"/>
      <c r="J22" s="12">
        <f t="shared" si="1"/>
        <v>0</v>
      </c>
      <c r="K22" s="13">
        <f t="shared" si="2"/>
        <v>0</v>
      </c>
    </row>
    <row r="23" spans="1:11" ht="30" customHeight="1" x14ac:dyDescent="0.3">
      <c r="A23" s="6">
        <v>17</v>
      </c>
      <c r="B23" s="7">
        <v>8809657114632</v>
      </c>
      <c r="C23" s="6" t="s">
        <v>41</v>
      </c>
      <c r="D23" s="8" t="s">
        <v>42</v>
      </c>
      <c r="E23" s="10">
        <v>35000</v>
      </c>
      <c r="F23" s="10">
        <v>11190</v>
      </c>
      <c r="G23" s="19">
        <f t="shared" si="0"/>
        <v>0.31971428571428573</v>
      </c>
      <c r="H23" s="9">
        <v>200</v>
      </c>
      <c r="I23" s="11"/>
      <c r="J23" s="12">
        <f t="shared" si="1"/>
        <v>0</v>
      </c>
      <c r="K23" s="13">
        <f t="shared" si="2"/>
        <v>0</v>
      </c>
    </row>
    <row r="24" spans="1:11" ht="30" customHeight="1" x14ac:dyDescent="0.3">
      <c r="A24" s="6">
        <v>18</v>
      </c>
      <c r="B24" s="7">
        <v>8809783321966</v>
      </c>
      <c r="C24" s="6" t="s">
        <v>43</v>
      </c>
      <c r="D24" s="8" t="s">
        <v>44</v>
      </c>
      <c r="E24" s="10">
        <v>15000</v>
      </c>
      <c r="F24" s="10">
        <v>7100</v>
      </c>
      <c r="G24" s="19">
        <f t="shared" si="0"/>
        <v>0.47333333333333333</v>
      </c>
      <c r="H24" s="9">
        <v>50</v>
      </c>
      <c r="I24" s="11"/>
      <c r="J24" s="12">
        <f t="shared" si="1"/>
        <v>0</v>
      </c>
      <c r="K24" s="13">
        <f t="shared" si="2"/>
        <v>0</v>
      </c>
    </row>
    <row r="25" spans="1:11" ht="30" customHeight="1" x14ac:dyDescent="0.3">
      <c r="A25" s="6">
        <v>19</v>
      </c>
      <c r="B25" s="7">
        <v>8809782557298</v>
      </c>
      <c r="C25" s="6" t="s">
        <v>45</v>
      </c>
      <c r="D25" s="8" t="s">
        <v>46</v>
      </c>
      <c r="E25" s="10">
        <v>25000</v>
      </c>
      <c r="F25" s="10">
        <v>11800</v>
      </c>
      <c r="G25" s="19">
        <f t="shared" si="0"/>
        <v>0.47199999999999998</v>
      </c>
      <c r="H25" s="9">
        <v>50</v>
      </c>
      <c r="I25" s="11"/>
      <c r="J25" s="12">
        <f t="shared" si="1"/>
        <v>0</v>
      </c>
      <c r="K25" s="13">
        <f t="shared" si="2"/>
        <v>0</v>
      </c>
    </row>
    <row r="26" spans="1:11" ht="30" customHeight="1" x14ac:dyDescent="0.3">
      <c r="A26" s="6">
        <v>20</v>
      </c>
      <c r="B26" s="7">
        <v>8809875901120</v>
      </c>
      <c r="C26" s="6" t="s">
        <v>47</v>
      </c>
      <c r="D26" s="8" t="s">
        <v>48</v>
      </c>
      <c r="E26" s="10">
        <v>18000</v>
      </c>
      <c r="F26" s="10">
        <v>7540.0000000000009</v>
      </c>
      <c r="G26" s="19">
        <f t="shared" si="0"/>
        <v>0.41888888888888892</v>
      </c>
      <c r="H26" s="9">
        <v>30</v>
      </c>
      <c r="I26" s="11"/>
      <c r="J26" s="12">
        <f t="shared" si="1"/>
        <v>0</v>
      </c>
      <c r="K26" s="13">
        <f t="shared" si="2"/>
        <v>0</v>
      </c>
    </row>
    <row r="27" spans="1:11" ht="30" customHeight="1" x14ac:dyDescent="0.3">
      <c r="A27" s="6">
        <v>21</v>
      </c>
      <c r="B27" s="7">
        <v>8809738607343</v>
      </c>
      <c r="C27" s="6" t="s">
        <v>49</v>
      </c>
      <c r="D27" s="8" t="s">
        <v>50</v>
      </c>
      <c r="E27" s="10">
        <v>18000</v>
      </c>
      <c r="F27" s="10">
        <v>6760.0000000000009</v>
      </c>
      <c r="G27" s="19">
        <f t="shared" si="0"/>
        <v>0.37555555555555559</v>
      </c>
      <c r="H27" s="9">
        <v>30</v>
      </c>
      <c r="I27" s="11"/>
      <c r="J27" s="12">
        <f t="shared" si="1"/>
        <v>0</v>
      </c>
      <c r="K27" s="13">
        <f t="shared" si="2"/>
        <v>0</v>
      </c>
    </row>
    <row r="28" spans="1:11" ht="30" customHeight="1" x14ac:dyDescent="0.3">
      <c r="A28" s="6">
        <v>22</v>
      </c>
      <c r="B28" s="7">
        <v>8809657114243</v>
      </c>
      <c r="C28" s="6" t="s">
        <v>51</v>
      </c>
      <c r="D28" s="8" t="s">
        <v>52</v>
      </c>
      <c r="E28" s="10">
        <v>35000</v>
      </c>
      <c r="F28" s="10">
        <v>15390</v>
      </c>
      <c r="G28" s="19">
        <f t="shared" si="0"/>
        <v>0.43971428571428572</v>
      </c>
      <c r="H28" s="9">
        <v>30</v>
      </c>
      <c r="I28" s="11"/>
      <c r="J28" s="12">
        <f t="shared" si="1"/>
        <v>0</v>
      </c>
      <c r="K28" s="13">
        <f t="shared" si="2"/>
        <v>0</v>
      </c>
    </row>
    <row r="29" spans="1:11" ht="30" customHeight="1" x14ac:dyDescent="0.3">
      <c r="A29" s="6">
        <v>23</v>
      </c>
      <c r="B29" s="7">
        <v>8809962540270</v>
      </c>
      <c r="C29" s="6" t="s">
        <v>53</v>
      </c>
      <c r="D29" s="8" t="s">
        <v>54</v>
      </c>
      <c r="E29" s="10">
        <v>25000</v>
      </c>
      <c r="F29" s="10">
        <v>8560.0000000000018</v>
      </c>
      <c r="G29" s="19">
        <f t="shared" si="0"/>
        <v>0.34240000000000009</v>
      </c>
      <c r="H29" s="9">
        <v>20</v>
      </c>
      <c r="I29" s="11"/>
      <c r="J29" s="12">
        <f t="shared" si="1"/>
        <v>0</v>
      </c>
      <c r="K29" s="13">
        <f t="shared" si="2"/>
        <v>0</v>
      </c>
    </row>
    <row r="30" spans="1:11" ht="30" customHeight="1" x14ac:dyDescent="0.3">
      <c r="A30" s="6">
        <v>24</v>
      </c>
      <c r="B30" s="7">
        <v>8809962541253</v>
      </c>
      <c r="C30" s="6" t="s">
        <v>55</v>
      </c>
      <c r="D30" s="8" t="s">
        <v>56</v>
      </c>
      <c r="E30" s="10">
        <v>5000</v>
      </c>
      <c r="F30" s="10">
        <v>2600</v>
      </c>
      <c r="G30" s="19">
        <f t="shared" si="0"/>
        <v>0.52</v>
      </c>
      <c r="H30" s="9">
        <v>60</v>
      </c>
      <c r="I30" s="11"/>
      <c r="J30" s="12">
        <f t="shared" si="1"/>
        <v>0</v>
      </c>
      <c r="K30" s="13">
        <f t="shared" si="2"/>
        <v>0</v>
      </c>
    </row>
    <row r="31" spans="1:11" ht="30" customHeight="1" x14ac:dyDescent="0.3">
      <c r="A31" s="6">
        <v>25</v>
      </c>
      <c r="B31" s="7">
        <v>8809738600214</v>
      </c>
      <c r="C31" s="6" t="s">
        <v>57</v>
      </c>
      <c r="D31" s="8" t="s">
        <v>58</v>
      </c>
      <c r="E31" s="10">
        <v>24000</v>
      </c>
      <c r="F31" s="10">
        <v>9540</v>
      </c>
      <c r="G31" s="19">
        <f t="shared" si="0"/>
        <v>0.39750000000000002</v>
      </c>
      <c r="H31" s="9">
        <v>40</v>
      </c>
      <c r="I31" s="11"/>
      <c r="J31" s="12">
        <f t="shared" si="1"/>
        <v>0</v>
      </c>
      <c r="K31" s="13">
        <f t="shared" si="2"/>
        <v>0</v>
      </c>
    </row>
    <row r="32" spans="1:11" ht="30" customHeight="1" x14ac:dyDescent="0.3">
      <c r="A32" s="6">
        <v>26</v>
      </c>
      <c r="B32" s="7">
        <v>8809738600221</v>
      </c>
      <c r="C32" s="6" t="s">
        <v>59</v>
      </c>
      <c r="D32" s="8" t="s">
        <v>60</v>
      </c>
      <c r="E32" s="10">
        <v>32000</v>
      </c>
      <c r="F32" s="10">
        <v>12670</v>
      </c>
      <c r="G32" s="19">
        <f t="shared" si="0"/>
        <v>0.3959375</v>
      </c>
      <c r="H32" s="9">
        <v>80</v>
      </c>
      <c r="I32" s="11"/>
      <c r="J32" s="12">
        <f t="shared" si="1"/>
        <v>0</v>
      </c>
      <c r="K32" s="13">
        <f t="shared" si="2"/>
        <v>0</v>
      </c>
    </row>
    <row r="33" spans="1:11" ht="30" customHeight="1" x14ac:dyDescent="0.3">
      <c r="A33" s="6">
        <v>27</v>
      </c>
      <c r="B33" s="7">
        <v>8809738600238</v>
      </c>
      <c r="C33" s="6" t="s">
        <v>61</v>
      </c>
      <c r="D33" s="8" t="s">
        <v>62</v>
      </c>
      <c r="E33" s="10">
        <v>15000</v>
      </c>
      <c r="F33" s="10">
        <v>6350</v>
      </c>
      <c r="G33" s="19">
        <f t="shared" si="0"/>
        <v>0.42333333333333334</v>
      </c>
      <c r="H33" s="9">
        <v>30</v>
      </c>
      <c r="I33" s="11"/>
      <c r="J33" s="12">
        <f t="shared" si="1"/>
        <v>0</v>
      </c>
      <c r="K33" s="13">
        <f t="shared" si="2"/>
        <v>0</v>
      </c>
    </row>
    <row r="34" spans="1:11" ht="30" customHeight="1" x14ac:dyDescent="0.3">
      <c r="A34" s="6">
        <v>28</v>
      </c>
      <c r="B34" s="7">
        <v>8809738604762</v>
      </c>
      <c r="C34" s="6" t="s">
        <v>63</v>
      </c>
      <c r="D34" s="8" t="s">
        <v>64</v>
      </c>
      <c r="E34" s="10">
        <v>23000</v>
      </c>
      <c r="F34" s="10">
        <v>9250</v>
      </c>
      <c r="G34" s="19">
        <f t="shared" si="0"/>
        <v>0.40217391304347827</v>
      </c>
      <c r="H34" s="9">
        <v>30</v>
      </c>
      <c r="I34" s="11"/>
      <c r="J34" s="12">
        <f t="shared" si="1"/>
        <v>0</v>
      </c>
      <c r="K34" s="13">
        <f t="shared" si="2"/>
        <v>0</v>
      </c>
    </row>
    <row r="35" spans="1:11" ht="30" customHeight="1" x14ac:dyDescent="0.3">
      <c r="A35" s="6">
        <v>29</v>
      </c>
      <c r="B35" s="7">
        <v>8809782553009</v>
      </c>
      <c r="C35" s="6" t="s">
        <v>65</v>
      </c>
      <c r="D35" s="8" t="s">
        <v>66</v>
      </c>
      <c r="E35" s="10">
        <v>28000</v>
      </c>
      <c r="F35" s="10">
        <v>10990</v>
      </c>
      <c r="G35" s="19">
        <f t="shared" si="0"/>
        <v>0.39250000000000002</v>
      </c>
      <c r="H35" s="9">
        <v>70</v>
      </c>
      <c r="I35" s="11"/>
      <c r="J35" s="12">
        <f t="shared" si="1"/>
        <v>0</v>
      </c>
      <c r="K35" s="13">
        <f t="shared" si="2"/>
        <v>0</v>
      </c>
    </row>
    <row r="36" spans="1:11" ht="30" customHeight="1" x14ac:dyDescent="0.3">
      <c r="A36" s="6">
        <v>30</v>
      </c>
      <c r="B36" s="7">
        <v>8809614958712</v>
      </c>
      <c r="C36" s="6" t="s">
        <v>67</v>
      </c>
      <c r="D36" s="8" t="s">
        <v>68</v>
      </c>
      <c r="E36" s="10">
        <v>25000</v>
      </c>
      <c r="F36" s="10">
        <v>10700</v>
      </c>
      <c r="G36" s="19">
        <f t="shared" si="0"/>
        <v>0.42799999999999999</v>
      </c>
      <c r="H36" s="9">
        <v>40</v>
      </c>
      <c r="I36" s="11"/>
      <c r="J36" s="12">
        <f t="shared" si="1"/>
        <v>0</v>
      </c>
      <c r="K36" s="13">
        <f t="shared" si="2"/>
        <v>0</v>
      </c>
    </row>
    <row r="37" spans="1:11" ht="30" customHeight="1" x14ac:dyDescent="0.3">
      <c r="A37" s="6">
        <v>31</v>
      </c>
      <c r="B37" s="7">
        <v>8809782551814</v>
      </c>
      <c r="C37" s="6" t="s">
        <v>69</v>
      </c>
      <c r="D37" s="8" t="s">
        <v>70</v>
      </c>
      <c r="E37" s="10">
        <v>25000</v>
      </c>
      <c r="F37" s="10">
        <v>9950</v>
      </c>
      <c r="G37" s="19">
        <f t="shared" si="0"/>
        <v>0.39800000000000002</v>
      </c>
      <c r="H37" s="9">
        <v>60</v>
      </c>
      <c r="I37" s="11"/>
      <c r="J37" s="12">
        <f t="shared" si="1"/>
        <v>0</v>
      </c>
      <c r="K37" s="13">
        <f t="shared" si="2"/>
        <v>0</v>
      </c>
    </row>
    <row r="38" spans="1:11" ht="30" customHeight="1" x14ac:dyDescent="0.3">
      <c r="A38" s="6">
        <v>32</v>
      </c>
      <c r="B38" s="7">
        <v>8809624723157</v>
      </c>
      <c r="C38" s="6" t="s">
        <v>71</v>
      </c>
      <c r="D38" s="8" t="s">
        <v>72</v>
      </c>
      <c r="E38" s="10">
        <v>30000</v>
      </c>
      <c r="F38" s="10">
        <v>10100</v>
      </c>
      <c r="G38" s="19">
        <f t="shared" si="0"/>
        <v>0.33666666666666667</v>
      </c>
      <c r="H38" s="9">
        <v>40</v>
      </c>
      <c r="I38" s="11"/>
      <c r="J38" s="12">
        <f t="shared" si="1"/>
        <v>0</v>
      </c>
      <c r="K38" s="13">
        <f t="shared" si="2"/>
        <v>0</v>
      </c>
    </row>
    <row r="39" spans="1:11" ht="30" customHeight="1" x14ac:dyDescent="0.3">
      <c r="A39" s="6">
        <v>33</v>
      </c>
      <c r="B39" s="7">
        <v>8809638307701</v>
      </c>
      <c r="C39" s="6" t="s">
        <v>73</v>
      </c>
      <c r="D39" s="8" t="s">
        <v>74</v>
      </c>
      <c r="E39" s="10">
        <v>12000</v>
      </c>
      <c r="F39" s="10">
        <v>5360.0000000000009</v>
      </c>
      <c r="G39" s="19">
        <f t="shared" si="0"/>
        <v>0.44666666666666677</v>
      </c>
      <c r="H39" s="9">
        <v>40</v>
      </c>
      <c r="I39" s="11"/>
      <c r="J39" s="12">
        <f t="shared" si="1"/>
        <v>0</v>
      </c>
      <c r="K39" s="13">
        <f t="shared" si="2"/>
        <v>0</v>
      </c>
    </row>
    <row r="40" spans="1:11" ht="30" customHeight="1" x14ac:dyDescent="0.3">
      <c r="A40" s="6">
        <v>34</v>
      </c>
      <c r="B40" s="7">
        <v>8809864769977</v>
      </c>
      <c r="C40" s="6" t="s">
        <v>75</v>
      </c>
      <c r="D40" s="8" t="s">
        <v>76</v>
      </c>
      <c r="E40" s="10">
        <v>25000</v>
      </c>
      <c r="F40" s="10">
        <v>9950</v>
      </c>
      <c r="G40" s="19">
        <f t="shared" si="0"/>
        <v>0.39800000000000002</v>
      </c>
      <c r="H40" s="9">
        <v>60</v>
      </c>
      <c r="I40" s="11"/>
      <c r="J40" s="12">
        <f t="shared" si="1"/>
        <v>0</v>
      </c>
      <c r="K40" s="13">
        <f t="shared" si="2"/>
        <v>0</v>
      </c>
    </row>
    <row r="41" spans="1:11" ht="30" customHeight="1" x14ac:dyDescent="0.3">
      <c r="A41" s="6">
        <v>35</v>
      </c>
      <c r="B41" s="7">
        <v>8809782558523</v>
      </c>
      <c r="C41" s="6" t="s">
        <v>77</v>
      </c>
      <c r="D41" s="8" t="s">
        <v>78</v>
      </c>
      <c r="E41" s="10">
        <v>25000</v>
      </c>
      <c r="F41" s="10">
        <v>9950</v>
      </c>
      <c r="G41" s="19">
        <f t="shared" si="0"/>
        <v>0.39800000000000002</v>
      </c>
      <c r="H41" s="9">
        <v>60</v>
      </c>
      <c r="I41" s="11"/>
      <c r="J41" s="12">
        <f t="shared" si="1"/>
        <v>0</v>
      </c>
      <c r="K41" s="13">
        <f t="shared" si="2"/>
        <v>0</v>
      </c>
    </row>
    <row r="42" spans="1:11" ht="30" customHeight="1" x14ac:dyDescent="0.3">
      <c r="A42" s="6">
        <v>36</v>
      </c>
      <c r="B42" s="7">
        <v>8809875904459</v>
      </c>
      <c r="C42" s="6" t="s">
        <v>79</v>
      </c>
      <c r="D42" s="8" t="s">
        <v>80</v>
      </c>
      <c r="E42" s="10">
        <v>24000</v>
      </c>
      <c r="F42" s="10">
        <v>9150</v>
      </c>
      <c r="G42" s="19">
        <f t="shared" si="0"/>
        <v>0.38124999999999998</v>
      </c>
      <c r="H42" s="9">
        <v>60</v>
      </c>
      <c r="I42" s="11"/>
      <c r="J42" s="12">
        <f t="shared" si="1"/>
        <v>0</v>
      </c>
      <c r="K42" s="13">
        <f t="shared" si="2"/>
        <v>0</v>
      </c>
    </row>
    <row r="43" spans="1:11" ht="30" customHeight="1" x14ac:dyDescent="0.3">
      <c r="A43" s="6">
        <v>37</v>
      </c>
      <c r="B43" s="7">
        <v>8809782556628</v>
      </c>
      <c r="C43" s="6" t="s">
        <v>81</v>
      </c>
      <c r="D43" s="8" t="s">
        <v>82</v>
      </c>
      <c r="E43" s="10">
        <v>24000</v>
      </c>
      <c r="F43" s="10">
        <v>9650</v>
      </c>
      <c r="G43" s="19">
        <f t="shared" si="0"/>
        <v>0.40208333333333335</v>
      </c>
      <c r="H43" s="9">
        <v>100</v>
      </c>
      <c r="I43" s="11"/>
      <c r="J43" s="12">
        <f t="shared" si="1"/>
        <v>0</v>
      </c>
      <c r="K43" s="13">
        <f t="shared" si="2"/>
        <v>0</v>
      </c>
    </row>
    <row r="44" spans="1:11" ht="30" customHeight="1" x14ac:dyDescent="0.3">
      <c r="A44" s="6">
        <v>38</v>
      </c>
      <c r="B44" s="7">
        <v>8809864759480</v>
      </c>
      <c r="C44" s="6" t="s">
        <v>83</v>
      </c>
      <c r="D44" s="8" t="s">
        <v>84</v>
      </c>
      <c r="E44" s="10">
        <v>28000</v>
      </c>
      <c r="F44" s="10">
        <v>9830</v>
      </c>
      <c r="G44" s="19">
        <f t="shared" si="0"/>
        <v>0.35107142857142859</v>
      </c>
      <c r="H44" s="9">
        <v>60</v>
      </c>
      <c r="I44" s="11"/>
      <c r="J44" s="12">
        <f t="shared" si="1"/>
        <v>0</v>
      </c>
      <c r="K44" s="13">
        <f t="shared" si="2"/>
        <v>0</v>
      </c>
    </row>
    <row r="45" spans="1:11" ht="30" customHeight="1" x14ac:dyDescent="0.3">
      <c r="A45" s="6">
        <v>39</v>
      </c>
      <c r="B45" s="7">
        <v>8809614958057</v>
      </c>
      <c r="C45" s="6" t="s">
        <v>85</v>
      </c>
      <c r="D45" s="8" t="s">
        <v>86</v>
      </c>
      <c r="E45" s="10">
        <v>22000</v>
      </c>
      <c r="F45" s="10">
        <v>9020</v>
      </c>
      <c r="G45" s="19">
        <f t="shared" si="0"/>
        <v>0.41</v>
      </c>
      <c r="H45" s="9">
        <v>40</v>
      </c>
      <c r="I45" s="11"/>
      <c r="J45" s="12">
        <f t="shared" si="1"/>
        <v>0</v>
      </c>
      <c r="K45" s="13">
        <f t="shared" si="2"/>
        <v>0</v>
      </c>
    </row>
    <row r="46" spans="1:11" ht="30" customHeight="1" x14ac:dyDescent="0.3">
      <c r="A46" s="6">
        <v>40</v>
      </c>
      <c r="B46" s="7">
        <v>8809962540713</v>
      </c>
      <c r="C46" s="6" t="s">
        <v>87</v>
      </c>
      <c r="D46" s="8" t="s">
        <v>88</v>
      </c>
      <c r="E46" s="10" t="s">
        <v>220</v>
      </c>
      <c r="F46" s="10">
        <v>3180</v>
      </c>
      <c r="G46" s="19" t="e">
        <f t="shared" si="0"/>
        <v>#VALUE!</v>
      </c>
      <c r="H46" s="9">
        <v>80</v>
      </c>
      <c r="I46" s="11"/>
      <c r="J46" s="12">
        <f t="shared" si="1"/>
        <v>0</v>
      </c>
      <c r="K46" s="13">
        <f t="shared" si="2"/>
        <v>0</v>
      </c>
    </row>
    <row r="47" spans="1:11" ht="30" customHeight="1" x14ac:dyDescent="0.3">
      <c r="A47" s="6">
        <v>41</v>
      </c>
      <c r="B47" s="7">
        <v>8809962540287</v>
      </c>
      <c r="C47" s="6" t="s">
        <v>89</v>
      </c>
      <c r="D47" s="8" t="s">
        <v>90</v>
      </c>
      <c r="E47" s="10">
        <v>25000</v>
      </c>
      <c r="F47" s="10">
        <v>8560.0000000000018</v>
      </c>
      <c r="G47" s="19">
        <f t="shared" si="0"/>
        <v>0.34240000000000009</v>
      </c>
      <c r="H47" s="9">
        <v>20</v>
      </c>
      <c r="I47" s="11"/>
      <c r="J47" s="12">
        <f t="shared" si="1"/>
        <v>0</v>
      </c>
      <c r="K47" s="13">
        <f t="shared" si="2"/>
        <v>0</v>
      </c>
    </row>
    <row r="48" spans="1:11" ht="30" customHeight="1" x14ac:dyDescent="0.3">
      <c r="A48" s="6">
        <v>42</v>
      </c>
      <c r="B48" s="7">
        <v>8809962542397</v>
      </c>
      <c r="C48" s="6" t="s">
        <v>91</v>
      </c>
      <c r="D48" s="8" t="s">
        <v>92</v>
      </c>
      <c r="E48" s="10">
        <v>30000</v>
      </c>
      <c r="F48" s="10">
        <v>10100</v>
      </c>
      <c r="G48" s="19">
        <f t="shared" si="0"/>
        <v>0.33666666666666667</v>
      </c>
      <c r="H48" s="9">
        <v>30</v>
      </c>
      <c r="I48" s="11"/>
      <c r="J48" s="12">
        <f t="shared" si="1"/>
        <v>0</v>
      </c>
      <c r="K48" s="13">
        <f t="shared" si="2"/>
        <v>0</v>
      </c>
    </row>
    <row r="49" spans="1:11" ht="30" customHeight="1" x14ac:dyDescent="0.3">
      <c r="A49" s="6">
        <v>43</v>
      </c>
      <c r="B49" s="7">
        <v>8809962542489</v>
      </c>
      <c r="C49" s="6" t="s">
        <v>93</v>
      </c>
      <c r="D49" s="8" t="s">
        <v>94</v>
      </c>
      <c r="E49" s="10">
        <v>19000</v>
      </c>
      <c r="F49" s="10">
        <v>8890</v>
      </c>
      <c r="G49" s="19">
        <f t="shared" si="0"/>
        <v>0.46789473684210525</v>
      </c>
      <c r="H49" s="9">
        <v>100</v>
      </c>
      <c r="I49" s="11"/>
      <c r="J49" s="12">
        <f t="shared" si="1"/>
        <v>0</v>
      </c>
      <c r="K49" s="13">
        <f t="shared" si="2"/>
        <v>0</v>
      </c>
    </row>
    <row r="50" spans="1:11" ht="30" customHeight="1" x14ac:dyDescent="0.3">
      <c r="A50" s="6">
        <v>44</v>
      </c>
      <c r="B50" s="7">
        <v>8809962542496</v>
      </c>
      <c r="C50" s="6" t="s">
        <v>95</v>
      </c>
      <c r="D50" s="8" t="s">
        <v>96</v>
      </c>
      <c r="E50" s="10">
        <v>23000</v>
      </c>
      <c r="F50" s="10">
        <v>10130</v>
      </c>
      <c r="G50" s="19">
        <f t="shared" si="0"/>
        <v>0.44043478260869567</v>
      </c>
      <c r="H50" s="9">
        <v>50</v>
      </c>
      <c r="I50" s="11"/>
      <c r="J50" s="12">
        <f t="shared" si="1"/>
        <v>0</v>
      </c>
      <c r="K50" s="13">
        <f t="shared" si="2"/>
        <v>0</v>
      </c>
    </row>
    <row r="51" spans="1:11" ht="30" customHeight="1" x14ac:dyDescent="0.3">
      <c r="A51" s="6">
        <v>45</v>
      </c>
      <c r="B51" s="7">
        <v>8809738605714</v>
      </c>
      <c r="C51" s="6" t="s">
        <v>97</v>
      </c>
      <c r="D51" s="8" t="s">
        <v>98</v>
      </c>
      <c r="E51" s="10">
        <v>24000</v>
      </c>
      <c r="F51" s="10">
        <v>9540</v>
      </c>
      <c r="G51" s="19">
        <f t="shared" si="0"/>
        <v>0.39750000000000002</v>
      </c>
      <c r="H51" s="9">
        <v>40</v>
      </c>
      <c r="I51" s="11"/>
      <c r="J51" s="12">
        <f t="shared" si="1"/>
        <v>0</v>
      </c>
      <c r="K51" s="13">
        <f t="shared" si="2"/>
        <v>0</v>
      </c>
    </row>
    <row r="52" spans="1:11" ht="30" customHeight="1" x14ac:dyDescent="0.3">
      <c r="A52" s="6">
        <v>46</v>
      </c>
      <c r="B52" s="7">
        <v>8809738605721</v>
      </c>
      <c r="C52" s="6" t="s">
        <v>99</v>
      </c>
      <c r="D52" s="8" t="s">
        <v>100</v>
      </c>
      <c r="E52" s="10">
        <v>32000</v>
      </c>
      <c r="F52" s="10">
        <v>12670</v>
      </c>
      <c r="G52" s="19">
        <f t="shared" si="0"/>
        <v>0.3959375</v>
      </c>
      <c r="H52" s="9">
        <v>80</v>
      </c>
      <c r="I52" s="11"/>
      <c r="J52" s="12">
        <f t="shared" si="1"/>
        <v>0</v>
      </c>
      <c r="K52" s="13">
        <f t="shared" si="2"/>
        <v>0</v>
      </c>
    </row>
    <row r="53" spans="1:11" ht="30" customHeight="1" x14ac:dyDescent="0.3">
      <c r="A53" s="6">
        <v>47</v>
      </c>
      <c r="B53" s="7">
        <v>8809738593080</v>
      </c>
      <c r="C53" s="6" t="s">
        <v>101</v>
      </c>
      <c r="D53" s="8" t="s">
        <v>102</v>
      </c>
      <c r="E53" s="10">
        <v>15000</v>
      </c>
      <c r="F53" s="10">
        <v>6350</v>
      </c>
      <c r="G53" s="19">
        <f t="shared" si="0"/>
        <v>0.42333333333333334</v>
      </c>
      <c r="H53" s="9">
        <v>30</v>
      </c>
      <c r="I53" s="11"/>
      <c r="J53" s="12">
        <f t="shared" si="1"/>
        <v>0</v>
      </c>
      <c r="K53" s="13">
        <f t="shared" si="2"/>
        <v>0</v>
      </c>
    </row>
    <row r="54" spans="1:11" ht="30" customHeight="1" x14ac:dyDescent="0.3">
      <c r="A54" s="6">
        <v>48</v>
      </c>
      <c r="B54" s="7">
        <v>8809738593103</v>
      </c>
      <c r="C54" s="6" t="s">
        <v>103</v>
      </c>
      <c r="D54" s="8" t="s">
        <v>104</v>
      </c>
      <c r="E54" s="10">
        <v>28000</v>
      </c>
      <c r="F54" s="10">
        <v>10990</v>
      </c>
      <c r="G54" s="19">
        <f t="shared" si="0"/>
        <v>0.39250000000000002</v>
      </c>
      <c r="H54" s="9">
        <v>70</v>
      </c>
      <c r="I54" s="11"/>
      <c r="J54" s="12">
        <f t="shared" si="1"/>
        <v>0</v>
      </c>
      <c r="K54" s="13">
        <f t="shared" si="2"/>
        <v>0</v>
      </c>
    </row>
    <row r="55" spans="1:11" ht="30" customHeight="1" x14ac:dyDescent="0.3">
      <c r="A55" s="6">
        <v>49</v>
      </c>
      <c r="B55" s="7">
        <v>8809743544176</v>
      </c>
      <c r="C55" s="6" t="s">
        <v>105</v>
      </c>
      <c r="D55" s="8" t="s">
        <v>106</v>
      </c>
      <c r="E55" s="10">
        <v>10500</v>
      </c>
      <c r="F55" s="10">
        <v>5334.9999999999991</v>
      </c>
      <c r="G55" s="19">
        <f t="shared" si="0"/>
        <v>0.50809523809523804</v>
      </c>
      <c r="H55" s="9">
        <v>40</v>
      </c>
      <c r="I55" s="11"/>
      <c r="J55" s="12">
        <f t="shared" si="1"/>
        <v>0</v>
      </c>
      <c r="K55" s="13">
        <f t="shared" si="2"/>
        <v>0</v>
      </c>
    </row>
    <row r="56" spans="1:11" ht="30" customHeight="1" x14ac:dyDescent="0.3">
      <c r="A56" s="6">
        <v>50</v>
      </c>
      <c r="B56" s="7">
        <v>8809624723140</v>
      </c>
      <c r="C56" s="6" t="s">
        <v>107</v>
      </c>
      <c r="D56" s="8" t="s">
        <v>108</v>
      </c>
      <c r="E56" s="10">
        <v>30000</v>
      </c>
      <c r="F56" s="10">
        <v>10100</v>
      </c>
      <c r="G56" s="19">
        <f t="shared" si="0"/>
        <v>0.33666666666666667</v>
      </c>
      <c r="H56" s="9">
        <v>40</v>
      </c>
      <c r="I56" s="11"/>
      <c r="J56" s="12">
        <f t="shared" si="1"/>
        <v>0</v>
      </c>
      <c r="K56" s="13">
        <f t="shared" si="2"/>
        <v>0</v>
      </c>
    </row>
    <row r="57" spans="1:11" ht="30" customHeight="1" x14ac:dyDescent="0.3">
      <c r="A57" s="6">
        <v>51</v>
      </c>
      <c r="B57" s="7">
        <v>8809738593240</v>
      </c>
      <c r="C57" s="6" t="s">
        <v>109</v>
      </c>
      <c r="D57" s="8" t="s">
        <v>110</v>
      </c>
      <c r="E57" s="10">
        <v>28000</v>
      </c>
      <c r="F57" s="10">
        <v>10990</v>
      </c>
      <c r="G57" s="19">
        <f t="shared" si="0"/>
        <v>0.39250000000000002</v>
      </c>
      <c r="H57" s="9">
        <v>70</v>
      </c>
      <c r="I57" s="11"/>
      <c r="J57" s="12">
        <f t="shared" si="1"/>
        <v>0</v>
      </c>
      <c r="K57" s="13">
        <f t="shared" si="2"/>
        <v>0</v>
      </c>
    </row>
    <row r="58" spans="1:11" ht="30" customHeight="1" x14ac:dyDescent="0.3">
      <c r="A58" s="6">
        <v>52</v>
      </c>
      <c r="B58" s="7">
        <v>8809624723133</v>
      </c>
      <c r="C58" s="6" t="s">
        <v>111</v>
      </c>
      <c r="D58" s="8" t="s">
        <v>112</v>
      </c>
      <c r="E58" s="10">
        <v>30000</v>
      </c>
      <c r="F58" s="10">
        <v>10100</v>
      </c>
      <c r="G58" s="19">
        <f t="shared" si="0"/>
        <v>0.33666666666666667</v>
      </c>
      <c r="H58" s="9">
        <v>40</v>
      </c>
      <c r="I58" s="11"/>
      <c r="J58" s="12">
        <f t="shared" si="1"/>
        <v>0</v>
      </c>
      <c r="K58" s="13">
        <f t="shared" si="2"/>
        <v>0</v>
      </c>
    </row>
    <row r="59" spans="1:11" ht="30" customHeight="1" x14ac:dyDescent="0.3">
      <c r="A59" s="6">
        <v>53</v>
      </c>
      <c r="B59" s="7">
        <v>8809624726370</v>
      </c>
      <c r="C59" s="6" t="s">
        <v>113</v>
      </c>
      <c r="D59" s="8" t="s">
        <v>114</v>
      </c>
      <c r="E59" s="10">
        <v>24000</v>
      </c>
      <c r="F59" s="10">
        <v>9540</v>
      </c>
      <c r="G59" s="19">
        <f t="shared" si="0"/>
        <v>0.39750000000000002</v>
      </c>
      <c r="H59" s="9">
        <v>40</v>
      </c>
      <c r="I59" s="11"/>
      <c r="J59" s="12">
        <f t="shared" si="1"/>
        <v>0</v>
      </c>
      <c r="K59" s="13">
        <f t="shared" si="2"/>
        <v>0</v>
      </c>
    </row>
    <row r="60" spans="1:11" ht="30" customHeight="1" x14ac:dyDescent="0.3">
      <c r="A60" s="6">
        <v>54</v>
      </c>
      <c r="B60" s="7">
        <v>8809624726417</v>
      </c>
      <c r="C60" s="6" t="s">
        <v>115</v>
      </c>
      <c r="D60" s="8" t="s">
        <v>116</v>
      </c>
      <c r="E60" s="10">
        <v>32000</v>
      </c>
      <c r="F60" s="10">
        <v>12670</v>
      </c>
      <c r="G60" s="19">
        <f t="shared" si="0"/>
        <v>0.3959375</v>
      </c>
      <c r="H60" s="9">
        <v>80</v>
      </c>
      <c r="I60" s="11"/>
      <c r="J60" s="12">
        <f t="shared" si="1"/>
        <v>0</v>
      </c>
      <c r="K60" s="13">
        <f t="shared" si="2"/>
        <v>0</v>
      </c>
    </row>
    <row r="61" spans="1:11" ht="30" customHeight="1" x14ac:dyDescent="0.3">
      <c r="A61" s="6">
        <v>55</v>
      </c>
      <c r="B61" s="7">
        <v>8809783322369</v>
      </c>
      <c r="C61" s="6" t="s">
        <v>117</v>
      </c>
      <c r="D61" s="8" t="s">
        <v>118</v>
      </c>
      <c r="E61" s="10">
        <v>15000</v>
      </c>
      <c r="F61" s="10">
        <v>6350</v>
      </c>
      <c r="G61" s="19">
        <f t="shared" si="0"/>
        <v>0.42333333333333334</v>
      </c>
      <c r="H61" s="9">
        <v>50</v>
      </c>
      <c r="I61" s="11"/>
      <c r="J61" s="12">
        <f t="shared" si="1"/>
        <v>0</v>
      </c>
      <c r="K61" s="13">
        <f t="shared" si="2"/>
        <v>0</v>
      </c>
    </row>
    <row r="62" spans="1:11" ht="30" customHeight="1" x14ac:dyDescent="0.3">
      <c r="A62" s="6">
        <v>56</v>
      </c>
      <c r="B62" s="7">
        <v>8809783322130</v>
      </c>
      <c r="C62" s="6" t="s">
        <v>119</v>
      </c>
      <c r="D62" s="8" t="s">
        <v>120</v>
      </c>
      <c r="E62" s="10">
        <v>23000</v>
      </c>
      <c r="F62" s="10">
        <v>9680</v>
      </c>
      <c r="G62" s="19">
        <f t="shared" si="0"/>
        <v>0.42086956521739133</v>
      </c>
      <c r="H62" s="9">
        <v>70</v>
      </c>
      <c r="I62" s="11"/>
      <c r="J62" s="12">
        <f t="shared" si="1"/>
        <v>0</v>
      </c>
      <c r="K62" s="13">
        <f t="shared" si="2"/>
        <v>0</v>
      </c>
    </row>
    <row r="63" spans="1:11" ht="30" customHeight="1" x14ac:dyDescent="0.3">
      <c r="A63" s="6">
        <v>57</v>
      </c>
      <c r="B63" s="7">
        <v>8809962541024</v>
      </c>
      <c r="C63" s="6" t="s">
        <v>121</v>
      </c>
      <c r="D63" s="8" t="s">
        <v>122</v>
      </c>
      <c r="E63" s="10">
        <v>25000</v>
      </c>
      <c r="F63" s="10">
        <v>9420</v>
      </c>
      <c r="G63" s="19">
        <f t="shared" si="0"/>
        <v>0.37680000000000002</v>
      </c>
      <c r="H63" s="9">
        <v>30</v>
      </c>
      <c r="I63" s="11"/>
      <c r="J63" s="12">
        <f t="shared" si="1"/>
        <v>0</v>
      </c>
      <c r="K63" s="13">
        <f t="shared" si="2"/>
        <v>0</v>
      </c>
    </row>
    <row r="64" spans="1:11" ht="30" customHeight="1" x14ac:dyDescent="0.3">
      <c r="A64" s="6">
        <v>58</v>
      </c>
      <c r="B64" s="7">
        <v>8809875908075</v>
      </c>
      <c r="C64" s="6" t="s">
        <v>123</v>
      </c>
      <c r="D64" s="8" t="s">
        <v>124</v>
      </c>
      <c r="E64" s="10">
        <v>30000</v>
      </c>
      <c r="F64" s="10">
        <v>10770.000000000002</v>
      </c>
      <c r="G64" s="19">
        <f t="shared" si="0"/>
        <v>0.35900000000000004</v>
      </c>
      <c r="H64" s="9">
        <v>60</v>
      </c>
      <c r="I64" s="11"/>
      <c r="J64" s="12">
        <f t="shared" si="1"/>
        <v>0</v>
      </c>
      <c r="K64" s="13">
        <f t="shared" si="2"/>
        <v>0</v>
      </c>
    </row>
    <row r="65" spans="1:11" ht="30" customHeight="1" x14ac:dyDescent="0.3">
      <c r="A65" s="6">
        <v>59</v>
      </c>
      <c r="B65" s="7">
        <v>8809875907337</v>
      </c>
      <c r="C65" s="6" t="s">
        <v>125</v>
      </c>
      <c r="D65" s="8" t="s">
        <v>126</v>
      </c>
      <c r="E65" s="10">
        <v>34000</v>
      </c>
      <c r="F65" s="10">
        <v>12550</v>
      </c>
      <c r="G65" s="19">
        <f t="shared" si="0"/>
        <v>0.36911764705882355</v>
      </c>
      <c r="H65" s="9">
        <v>60</v>
      </c>
      <c r="I65" s="11"/>
      <c r="J65" s="12">
        <f t="shared" si="1"/>
        <v>0</v>
      </c>
      <c r="K65" s="13">
        <f t="shared" si="2"/>
        <v>0</v>
      </c>
    </row>
    <row r="66" spans="1:11" ht="30" customHeight="1" x14ac:dyDescent="0.3">
      <c r="A66" s="6">
        <v>60</v>
      </c>
      <c r="B66" s="7">
        <v>8809849803634</v>
      </c>
      <c r="C66" s="6" t="s">
        <v>127</v>
      </c>
      <c r="D66" s="8" t="s">
        <v>128</v>
      </c>
      <c r="E66" s="10">
        <v>30000</v>
      </c>
      <c r="F66" s="10">
        <v>10100</v>
      </c>
      <c r="G66" s="19">
        <f t="shared" si="0"/>
        <v>0.33666666666666667</v>
      </c>
      <c r="H66" s="9">
        <v>40</v>
      </c>
      <c r="I66" s="11"/>
      <c r="J66" s="12">
        <f t="shared" si="1"/>
        <v>0</v>
      </c>
      <c r="K66" s="13">
        <f t="shared" si="2"/>
        <v>0</v>
      </c>
    </row>
    <row r="67" spans="1:11" ht="30" customHeight="1" x14ac:dyDescent="0.3">
      <c r="A67" s="6">
        <v>61</v>
      </c>
      <c r="B67" s="7">
        <v>8809962541963</v>
      </c>
      <c r="C67" s="6" t="s">
        <v>129</v>
      </c>
      <c r="D67" s="8" t="s">
        <v>130</v>
      </c>
      <c r="E67" s="10">
        <v>17000</v>
      </c>
      <c r="F67" s="10">
        <v>6520</v>
      </c>
      <c r="G67" s="19">
        <f t="shared" si="0"/>
        <v>0.3835294117647059</v>
      </c>
      <c r="H67" s="9">
        <v>30</v>
      </c>
      <c r="I67" s="11"/>
      <c r="J67" s="12">
        <f t="shared" si="1"/>
        <v>0</v>
      </c>
      <c r="K67" s="13">
        <f t="shared" si="2"/>
        <v>0</v>
      </c>
    </row>
    <row r="68" spans="1:11" ht="30" customHeight="1" x14ac:dyDescent="0.3">
      <c r="A68" s="6">
        <v>62</v>
      </c>
      <c r="B68" s="7">
        <v>8809962541970</v>
      </c>
      <c r="C68" s="6" t="s">
        <v>131</v>
      </c>
      <c r="D68" s="8" t="s">
        <v>132</v>
      </c>
      <c r="E68" s="10">
        <v>25000</v>
      </c>
      <c r="F68" s="10">
        <v>11700</v>
      </c>
      <c r="G68" s="19">
        <f t="shared" si="0"/>
        <v>0.46800000000000003</v>
      </c>
      <c r="H68" s="9">
        <v>40</v>
      </c>
      <c r="I68" s="11"/>
      <c r="J68" s="12">
        <f t="shared" si="1"/>
        <v>0</v>
      </c>
      <c r="K68" s="13">
        <f t="shared" si="2"/>
        <v>0</v>
      </c>
    </row>
    <row r="69" spans="1:11" ht="30" customHeight="1" x14ac:dyDescent="0.3">
      <c r="A69" s="6">
        <v>63</v>
      </c>
      <c r="B69" s="7">
        <v>8809783325674</v>
      </c>
      <c r="C69" s="6" t="s">
        <v>133</v>
      </c>
      <c r="D69" s="8" t="s">
        <v>134</v>
      </c>
      <c r="E69" s="10">
        <v>28000</v>
      </c>
      <c r="F69" s="10">
        <v>11280</v>
      </c>
      <c r="G69" s="19">
        <f t="shared" si="0"/>
        <v>0.40285714285714286</v>
      </c>
      <c r="H69" s="9">
        <v>60</v>
      </c>
      <c r="I69" s="11"/>
      <c r="J69" s="12">
        <f t="shared" si="1"/>
        <v>0</v>
      </c>
      <c r="K69" s="13">
        <f t="shared" si="2"/>
        <v>0</v>
      </c>
    </row>
    <row r="70" spans="1:11" ht="30" customHeight="1" x14ac:dyDescent="0.3">
      <c r="A70" s="6">
        <v>64</v>
      </c>
      <c r="B70" s="7">
        <v>8809783325667</v>
      </c>
      <c r="C70" s="6" t="s">
        <v>135</v>
      </c>
      <c r="D70" s="8" t="s">
        <v>136</v>
      </c>
      <c r="E70" s="10">
        <v>24000</v>
      </c>
      <c r="F70" s="10">
        <v>9770</v>
      </c>
      <c r="G70" s="19">
        <f t="shared" si="0"/>
        <v>0.40708333333333335</v>
      </c>
      <c r="H70" s="9">
        <v>60</v>
      </c>
      <c r="I70" s="11"/>
      <c r="J70" s="12">
        <f t="shared" si="1"/>
        <v>0</v>
      </c>
      <c r="K70" s="13">
        <f t="shared" si="2"/>
        <v>0</v>
      </c>
    </row>
    <row r="71" spans="1:11" ht="30" customHeight="1" x14ac:dyDescent="0.3">
      <c r="A71" s="6">
        <v>65</v>
      </c>
      <c r="B71" s="7">
        <v>8809750462708</v>
      </c>
      <c r="C71" s="6" t="s">
        <v>137</v>
      </c>
      <c r="D71" s="8" t="s">
        <v>138</v>
      </c>
      <c r="E71" s="10">
        <v>25000</v>
      </c>
      <c r="F71" s="10">
        <v>10300</v>
      </c>
      <c r="G71" s="19">
        <f t="shared" si="0"/>
        <v>0.41199999999999998</v>
      </c>
      <c r="H71" s="9">
        <v>30</v>
      </c>
      <c r="I71" s="11"/>
      <c r="J71" s="12">
        <f t="shared" si="1"/>
        <v>0</v>
      </c>
      <c r="K71" s="13">
        <f t="shared" si="2"/>
        <v>0</v>
      </c>
    </row>
    <row r="72" spans="1:11" ht="30" customHeight="1" x14ac:dyDescent="0.3">
      <c r="A72" s="6">
        <v>66</v>
      </c>
      <c r="B72" s="7">
        <v>8809783325728</v>
      </c>
      <c r="C72" s="6" t="s">
        <v>139</v>
      </c>
      <c r="D72" s="8" t="s">
        <v>140</v>
      </c>
      <c r="E72" s="10">
        <v>30000</v>
      </c>
      <c r="F72" s="10">
        <v>10100</v>
      </c>
      <c r="G72" s="19">
        <f t="shared" ref="G72:G120" si="3">F72/E72</f>
        <v>0.33666666666666667</v>
      </c>
      <c r="H72" s="9">
        <v>40</v>
      </c>
      <c r="I72" s="11"/>
      <c r="J72" s="12">
        <f t="shared" ref="J72:J120" si="4">I72*H72</f>
        <v>0</v>
      </c>
      <c r="K72" s="13">
        <f t="shared" ref="K72:K120" si="5">IF($F72&gt;0,$J72*$F72,"")</f>
        <v>0</v>
      </c>
    </row>
    <row r="73" spans="1:11" ht="30" customHeight="1" x14ac:dyDescent="0.3">
      <c r="A73" s="6">
        <v>67</v>
      </c>
      <c r="B73" s="7">
        <v>8809783326718</v>
      </c>
      <c r="C73" s="6" t="s">
        <v>141</v>
      </c>
      <c r="D73" s="8" t="s">
        <v>142</v>
      </c>
      <c r="E73" s="10">
        <v>23000</v>
      </c>
      <c r="F73" s="10">
        <v>9480</v>
      </c>
      <c r="G73" s="19">
        <f t="shared" si="3"/>
        <v>0.41217391304347828</v>
      </c>
      <c r="H73" s="9">
        <v>30</v>
      </c>
      <c r="I73" s="11"/>
      <c r="J73" s="12">
        <f t="shared" si="4"/>
        <v>0</v>
      </c>
      <c r="K73" s="13">
        <f t="shared" si="5"/>
        <v>0</v>
      </c>
    </row>
    <row r="74" spans="1:11" ht="30" customHeight="1" x14ac:dyDescent="0.3">
      <c r="A74" s="6">
        <v>68</v>
      </c>
      <c r="B74" s="7">
        <v>8809783326725</v>
      </c>
      <c r="C74" s="6" t="s">
        <v>143</v>
      </c>
      <c r="D74" s="8" t="s">
        <v>144</v>
      </c>
      <c r="E74" s="10">
        <v>25000</v>
      </c>
      <c r="F74" s="10">
        <v>10000</v>
      </c>
      <c r="G74" s="19">
        <f t="shared" si="3"/>
        <v>0.4</v>
      </c>
      <c r="H74" s="9">
        <v>30</v>
      </c>
      <c r="I74" s="11"/>
      <c r="J74" s="12">
        <f t="shared" si="4"/>
        <v>0</v>
      </c>
      <c r="K74" s="13">
        <f t="shared" si="5"/>
        <v>0</v>
      </c>
    </row>
    <row r="75" spans="1:11" ht="30" customHeight="1" x14ac:dyDescent="0.3">
      <c r="A75" s="6">
        <v>69</v>
      </c>
      <c r="B75" s="7">
        <v>8809864754126</v>
      </c>
      <c r="C75" s="6" t="s">
        <v>145</v>
      </c>
      <c r="D75" s="8" t="s">
        <v>146</v>
      </c>
      <c r="E75" s="10">
        <v>17000</v>
      </c>
      <c r="F75" s="10">
        <v>6520</v>
      </c>
      <c r="G75" s="19">
        <f t="shared" si="3"/>
        <v>0.3835294117647059</v>
      </c>
      <c r="H75" s="9">
        <v>30</v>
      </c>
      <c r="I75" s="11"/>
      <c r="J75" s="12">
        <f t="shared" si="4"/>
        <v>0</v>
      </c>
      <c r="K75" s="13">
        <f t="shared" si="5"/>
        <v>0</v>
      </c>
    </row>
    <row r="76" spans="1:11" ht="30" customHeight="1" x14ac:dyDescent="0.3">
      <c r="A76" s="6">
        <v>70</v>
      </c>
      <c r="B76" s="7">
        <v>8809849802408</v>
      </c>
      <c r="C76" s="6" t="s">
        <v>147</v>
      </c>
      <c r="D76" s="8" t="s">
        <v>148</v>
      </c>
      <c r="E76" s="10">
        <v>21000</v>
      </c>
      <c r="F76" s="10">
        <v>7710</v>
      </c>
      <c r="G76" s="19">
        <f t="shared" si="3"/>
        <v>0.36714285714285716</v>
      </c>
      <c r="H76" s="9">
        <v>40</v>
      </c>
      <c r="I76" s="11"/>
      <c r="J76" s="12">
        <f t="shared" si="4"/>
        <v>0</v>
      </c>
      <c r="K76" s="13">
        <f t="shared" si="5"/>
        <v>0</v>
      </c>
    </row>
    <row r="77" spans="1:11" ht="30" customHeight="1" x14ac:dyDescent="0.3">
      <c r="A77" s="6">
        <v>71</v>
      </c>
      <c r="B77" s="7">
        <v>8809962540294</v>
      </c>
      <c r="C77" s="6" t="s">
        <v>149</v>
      </c>
      <c r="D77" s="8" t="s">
        <v>150</v>
      </c>
      <c r="E77" s="10">
        <v>25000</v>
      </c>
      <c r="F77" s="10">
        <v>8560.0000000000018</v>
      </c>
      <c r="G77" s="19">
        <f t="shared" si="3"/>
        <v>0.34240000000000009</v>
      </c>
      <c r="H77" s="9">
        <v>20</v>
      </c>
      <c r="I77" s="11"/>
      <c r="J77" s="12">
        <f t="shared" si="4"/>
        <v>0</v>
      </c>
      <c r="K77" s="13">
        <f t="shared" si="5"/>
        <v>0</v>
      </c>
    </row>
    <row r="78" spans="1:11" ht="30" customHeight="1" x14ac:dyDescent="0.3">
      <c r="A78" s="6">
        <v>72</v>
      </c>
      <c r="B78" s="7">
        <v>8809962542137</v>
      </c>
      <c r="C78" s="6" t="s">
        <v>151</v>
      </c>
      <c r="D78" s="8" t="s">
        <v>152</v>
      </c>
      <c r="E78" s="10">
        <v>34000</v>
      </c>
      <c r="F78" s="10">
        <v>11890</v>
      </c>
      <c r="G78" s="19">
        <f t="shared" si="3"/>
        <v>0.3497058823529412</v>
      </c>
      <c r="H78" s="9">
        <v>60</v>
      </c>
      <c r="I78" s="11"/>
      <c r="J78" s="12">
        <f t="shared" si="4"/>
        <v>0</v>
      </c>
      <c r="K78" s="13">
        <f t="shared" si="5"/>
        <v>0</v>
      </c>
    </row>
    <row r="79" spans="1:11" ht="30" customHeight="1" x14ac:dyDescent="0.3">
      <c r="A79" s="6">
        <v>73</v>
      </c>
      <c r="B79" s="7">
        <v>8809962542403</v>
      </c>
      <c r="C79" s="6" t="s">
        <v>153</v>
      </c>
      <c r="D79" s="8" t="s">
        <v>154</v>
      </c>
      <c r="E79" s="10">
        <v>24000</v>
      </c>
      <c r="F79" s="10">
        <v>9650</v>
      </c>
      <c r="G79" s="19">
        <f t="shared" si="3"/>
        <v>0.40208333333333335</v>
      </c>
      <c r="H79" s="9">
        <v>50</v>
      </c>
      <c r="I79" s="11"/>
      <c r="J79" s="12">
        <f t="shared" si="4"/>
        <v>0</v>
      </c>
      <c r="K79" s="13">
        <f t="shared" si="5"/>
        <v>0</v>
      </c>
    </row>
    <row r="80" spans="1:11" ht="30" customHeight="1" x14ac:dyDescent="0.3">
      <c r="A80" s="6">
        <v>74</v>
      </c>
      <c r="B80" s="7">
        <v>8809962540652</v>
      </c>
      <c r="C80" s="6" t="s">
        <v>155</v>
      </c>
      <c r="D80" s="8" t="s">
        <v>156</v>
      </c>
      <c r="E80" s="10">
        <v>28000</v>
      </c>
      <c r="F80" s="10">
        <v>9620</v>
      </c>
      <c r="G80" s="19">
        <f t="shared" si="3"/>
        <v>0.34357142857142858</v>
      </c>
      <c r="H80" s="9">
        <v>60</v>
      </c>
      <c r="I80" s="11"/>
      <c r="J80" s="12">
        <f t="shared" si="4"/>
        <v>0</v>
      </c>
      <c r="K80" s="13">
        <f t="shared" si="5"/>
        <v>0</v>
      </c>
    </row>
    <row r="81" spans="1:11" ht="30" customHeight="1" x14ac:dyDescent="0.3">
      <c r="A81" s="6">
        <v>75</v>
      </c>
      <c r="B81" s="7">
        <v>8809962540690</v>
      </c>
      <c r="C81" s="6" t="s">
        <v>157</v>
      </c>
      <c r="D81" s="8" t="s">
        <v>158</v>
      </c>
      <c r="E81" s="10">
        <v>30000</v>
      </c>
      <c r="F81" s="10">
        <v>10240.000000000002</v>
      </c>
      <c r="G81" s="19">
        <f t="shared" si="3"/>
        <v>0.34133333333333338</v>
      </c>
      <c r="H81" s="9">
        <v>60</v>
      </c>
      <c r="I81" s="11"/>
      <c r="J81" s="12">
        <f t="shared" si="4"/>
        <v>0</v>
      </c>
      <c r="K81" s="13">
        <f t="shared" si="5"/>
        <v>0</v>
      </c>
    </row>
    <row r="82" spans="1:11" ht="30" customHeight="1" x14ac:dyDescent="0.3">
      <c r="A82" s="6">
        <v>76</v>
      </c>
      <c r="B82" s="7">
        <v>8809962540775</v>
      </c>
      <c r="C82" s="6" t="s">
        <v>159</v>
      </c>
      <c r="D82" s="8" t="s">
        <v>160</v>
      </c>
      <c r="E82" s="10">
        <v>40000</v>
      </c>
      <c r="F82" s="10">
        <v>11000</v>
      </c>
      <c r="G82" s="19">
        <f t="shared" si="3"/>
        <v>0.27500000000000002</v>
      </c>
      <c r="H82" s="9">
        <v>40</v>
      </c>
      <c r="I82" s="11"/>
      <c r="J82" s="12">
        <f t="shared" si="4"/>
        <v>0</v>
      </c>
      <c r="K82" s="13">
        <f t="shared" si="5"/>
        <v>0</v>
      </c>
    </row>
    <row r="83" spans="1:11" ht="30" customHeight="1" x14ac:dyDescent="0.3">
      <c r="A83" s="6">
        <v>77</v>
      </c>
      <c r="B83" s="7">
        <v>8809962540584</v>
      </c>
      <c r="C83" s="6" t="s">
        <v>161</v>
      </c>
      <c r="D83" s="8" t="s">
        <v>162</v>
      </c>
      <c r="E83" s="10">
        <v>25000</v>
      </c>
      <c r="F83" s="10">
        <v>8570</v>
      </c>
      <c r="G83" s="19">
        <f t="shared" si="3"/>
        <v>0.34279999999999999</v>
      </c>
      <c r="H83" s="9">
        <v>30</v>
      </c>
      <c r="I83" s="11"/>
      <c r="J83" s="12">
        <f t="shared" si="4"/>
        <v>0</v>
      </c>
      <c r="K83" s="13">
        <f t="shared" si="5"/>
        <v>0</v>
      </c>
    </row>
    <row r="84" spans="1:11" ht="30" customHeight="1" x14ac:dyDescent="0.3">
      <c r="A84" s="6">
        <v>78</v>
      </c>
      <c r="B84" s="7">
        <v>8809962540591</v>
      </c>
      <c r="C84" s="6" t="s">
        <v>163</v>
      </c>
      <c r="D84" s="8" t="s">
        <v>164</v>
      </c>
      <c r="E84" s="10">
        <v>35000</v>
      </c>
      <c r="F84" s="10">
        <v>11420</v>
      </c>
      <c r="G84" s="19">
        <f t="shared" si="3"/>
        <v>0.32628571428571429</v>
      </c>
      <c r="H84" s="9">
        <v>30</v>
      </c>
      <c r="I84" s="11"/>
      <c r="J84" s="12">
        <f t="shared" si="4"/>
        <v>0</v>
      </c>
      <c r="K84" s="13">
        <f t="shared" si="5"/>
        <v>0</v>
      </c>
    </row>
    <row r="85" spans="1:11" ht="30" customHeight="1" x14ac:dyDescent="0.3">
      <c r="A85" s="6">
        <v>79</v>
      </c>
      <c r="B85" s="7">
        <v>8809962540539</v>
      </c>
      <c r="C85" s="6" t="s">
        <v>165</v>
      </c>
      <c r="D85" s="8" t="s">
        <v>166</v>
      </c>
      <c r="E85" s="10">
        <v>1500</v>
      </c>
      <c r="F85" s="10">
        <v>1115</v>
      </c>
      <c r="G85" s="19">
        <f t="shared" si="3"/>
        <v>0.74333333333333329</v>
      </c>
      <c r="H85" s="9">
        <v>12</v>
      </c>
      <c r="I85" s="11"/>
      <c r="J85" s="12">
        <f t="shared" si="4"/>
        <v>0</v>
      </c>
      <c r="K85" s="13">
        <f t="shared" si="5"/>
        <v>0</v>
      </c>
    </row>
    <row r="86" spans="1:11" ht="30" customHeight="1" x14ac:dyDescent="0.3">
      <c r="A86" s="6">
        <v>80</v>
      </c>
      <c r="B86" s="7">
        <v>8809962540546</v>
      </c>
      <c r="C86" s="6" t="s">
        <v>167</v>
      </c>
      <c r="D86" s="8" t="s">
        <v>168</v>
      </c>
      <c r="E86" s="10">
        <v>3200</v>
      </c>
      <c r="F86" s="10">
        <v>2412</v>
      </c>
      <c r="G86" s="19">
        <f t="shared" si="3"/>
        <v>0.75375000000000003</v>
      </c>
      <c r="H86" s="9">
        <v>10</v>
      </c>
      <c r="I86" s="11"/>
      <c r="J86" s="12">
        <f t="shared" si="4"/>
        <v>0</v>
      </c>
      <c r="K86" s="13">
        <f t="shared" si="5"/>
        <v>0</v>
      </c>
    </row>
    <row r="87" spans="1:11" ht="30" customHeight="1" x14ac:dyDescent="0.3">
      <c r="A87" s="6">
        <v>81</v>
      </c>
      <c r="B87" s="7">
        <v>8809962540805</v>
      </c>
      <c r="C87" s="6" t="s">
        <v>169</v>
      </c>
      <c r="D87" s="8" t="s">
        <v>170</v>
      </c>
      <c r="E87" s="10">
        <v>26000</v>
      </c>
      <c r="F87" s="10">
        <v>10010</v>
      </c>
      <c r="G87" s="19">
        <f t="shared" si="3"/>
        <v>0.38500000000000001</v>
      </c>
      <c r="H87" s="9">
        <v>40</v>
      </c>
      <c r="I87" s="11"/>
      <c r="J87" s="12">
        <f t="shared" si="4"/>
        <v>0</v>
      </c>
      <c r="K87" s="13">
        <f t="shared" si="5"/>
        <v>0</v>
      </c>
    </row>
    <row r="88" spans="1:11" ht="30" customHeight="1" x14ac:dyDescent="0.3">
      <c r="A88" s="6">
        <v>82</v>
      </c>
      <c r="B88" s="7">
        <v>8809962540812</v>
      </c>
      <c r="C88" s="6" t="s">
        <v>171</v>
      </c>
      <c r="D88" s="8" t="s">
        <v>172</v>
      </c>
      <c r="E88" s="10">
        <v>18000</v>
      </c>
      <c r="F88" s="10">
        <v>5820.0000000000009</v>
      </c>
      <c r="G88" s="19">
        <f t="shared" si="3"/>
        <v>0.32333333333333336</v>
      </c>
      <c r="H88" s="9">
        <v>40</v>
      </c>
      <c r="I88" s="11"/>
      <c r="J88" s="12">
        <f t="shared" si="4"/>
        <v>0</v>
      </c>
      <c r="K88" s="13">
        <f t="shared" si="5"/>
        <v>0</v>
      </c>
    </row>
    <row r="89" spans="1:11" ht="30" customHeight="1" x14ac:dyDescent="0.3">
      <c r="A89" s="6">
        <v>83</v>
      </c>
      <c r="B89" s="7">
        <v>8809962541048</v>
      </c>
      <c r="C89" s="6" t="s">
        <v>173</v>
      </c>
      <c r="D89" s="8" t="s">
        <v>174</v>
      </c>
      <c r="E89" s="10">
        <v>26000</v>
      </c>
      <c r="F89" s="10">
        <v>8700</v>
      </c>
      <c r="G89" s="19">
        <f t="shared" si="3"/>
        <v>0.33461538461538459</v>
      </c>
      <c r="H89" s="9">
        <v>50</v>
      </c>
      <c r="I89" s="11"/>
      <c r="J89" s="12">
        <f t="shared" si="4"/>
        <v>0</v>
      </c>
      <c r="K89" s="13">
        <f t="shared" si="5"/>
        <v>0</v>
      </c>
    </row>
    <row r="90" spans="1:11" ht="30" customHeight="1" x14ac:dyDescent="0.3">
      <c r="A90" s="6">
        <v>84</v>
      </c>
      <c r="B90" s="7">
        <v>8809962541031</v>
      </c>
      <c r="C90" s="6" t="s">
        <v>175</v>
      </c>
      <c r="D90" s="8" t="s">
        <v>176</v>
      </c>
      <c r="E90" s="10">
        <v>28000</v>
      </c>
      <c r="F90" s="10">
        <v>9170</v>
      </c>
      <c r="G90" s="19">
        <f t="shared" si="3"/>
        <v>0.32750000000000001</v>
      </c>
      <c r="H90" s="9">
        <v>100</v>
      </c>
      <c r="I90" s="11"/>
      <c r="J90" s="12">
        <f t="shared" si="4"/>
        <v>0</v>
      </c>
      <c r="K90" s="13">
        <f t="shared" si="5"/>
        <v>0</v>
      </c>
    </row>
    <row r="91" spans="1:11" ht="30" customHeight="1" x14ac:dyDescent="0.3">
      <c r="A91" s="6">
        <v>85</v>
      </c>
      <c r="B91" s="7">
        <v>8809962541284</v>
      </c>
      <c r="C91" s="6" t="s">
        <v>177</v>
      </c>
      <c r="D91" s="8" t="s">
        <v>178</v>
      </c>
      <c r="E91" s="10">
        <v>32000</v>
      </c>
      <c r="F91" s="10">
        <v>11190.000000000002</v>
      </c>
      <c r="G91" s="19">
        <f t="shared" si="3"/>
        <v>0.34968750000000004</v>
      </c>
      <c r="H91" s="9">
        <v>40</v>
      </c>
      <c r="I91" s="11"/>
      <c r="J91" s="12">
        <f t="shared" si="4"/>
        <v>0</v>
      </c>
      <c r="K91" s="13">
        <f t="shared" si="5"/>
        <v>0</v>
      </c>
    </row>
    <row r="92" spans="1:11" ht="30" customHeight="1" x14ac:dyDescent="0.3">
      <c r="A92" s="6">
        <v>86</v>
      </c>
      <c r="B92" s="7">
        <v>8809962541383</v>
      </c>
      <c r="C92" s="6" t="s">
        <v>179</v>
      </c>
      <c r="D92" s="8" t="s">
        <v>180</v>
      </c>
      <c r="E92" s="10">
        <v>24000</v>
      </c>
      <c r="F92" s="10">
        <v>9070</v>
      </c>
      <c r="G92" s="19">
        <f t="shared" si="3"/>
        <v>0.37791666666666668</v>
      </c>
      <c r="H92" s="9">
        <v>30</v>
      </c>
      <c r="I92" s="11"/>
      <c r="J92" s="12">
        <f t="shared" si="4"/>
        <v>0</v>
      </c>
      <c r="K92" s="13">
        <f t="shared" si="5"/>
        <v>0</v>
      </c>
    </row>
    <row r="93" spans="1:11" ht="30" customHeight="1" x14ac:dyDescent="0.3">
      <c r="A93" s="6">
        <v>87</v>
      </c>
      <c r="B93" s="7">
        <v>8809962541857</v>
      </c>
      <c r="C93" s="6" t="s">
        <v>181</v>
      </c>
      <c r="D93" s="8" t="s">
        <v>182</v>
      </c>
      <c r="E93" s="10">
        <v>35000</v>
      </c>
      <c r="F93" s="10">
        <v>12150</v>
      </c>
      <c r="G93" s="19">
        <f t="shared" si="3"/>
        <v>0.34714285714285714</v>
      </c>
      <c r="H93" s="9">
        <v>60</v>
      </c>
      <c r="I93" s="11"/>
      <c r="J93" s="12">
        <f t="shared" si="4"/>
        <v>0</v>
      </c>
      <c r="K93" s="13">
        <f t="shared" si="5"/>
        <v>0</v>
      </c>
    </row>
    <row r="94" spans="1:11" ht="30" customHeight="1" x14ac:dyDescent="0.3">
      <c r="A94" s="6">
        <v>88</v>
      </c>
      <c r="B94" s="7">
        <v>8809962541840</v>
      </c>
      <c r="C94" s="6" t="s">
        <v>183</v>
      </c>
      <c r="D94" s="8" t="s">
        <v>184</v>
      </c>
      <c r="E94" s="10">
        <v>38000</v>
      </c>
      <c r="F94" s="10">
        <v>12080</v>
      </c>
      <c r="G94" s="19">
        <f t="shared" si="3"/>
        <v>0.31789473684210529</v>
      </c>
      <c r="H94" s="9">
        <v>80</v>
      </c>
      <c r="I94" s="11"/>
      <c r="J94" s="12">
        <f t="shared" si="4"/>
        <v>0</v>
      </c>
      <c r="K94" s="13">
        <f t="shared" si="5"/>
        <v>0</v>
      </c>
    </row>
    <row r="95" spans="1:11" ht="30" customHeight="1" x14ac:dyDescent="0.3">
      <c r="A95" s="6">
        <v>89</v>
      </c>
      <c r="B95" s="7">
        <v>8809962542212</v>
      </c>
      <c r="C95" s="6" t="s">
        <v>185</v>
      </c>
      <c r="D95" s="8" t="s">
        <v>186</v>
      </c>
      <c r="E95" s="10">
        <v>28000</v>
      </c>
      <c r="F95" s="10">
        <v>10610</v>
      </c>
      <c r="G95" s="19">
        <f t="shared" si="3"/>
        <v>0.37892857142857145</v>
      </c>
      <c r="H95" s="9">
        <v>50</v>
      </c>
      <c r="I95" s="11"/>
      <c r="J95" s="12">
        <f t="shared" si="4"/>
        <v>0</v>
      </c>
      <c r="K95" s="13">
        <f t="shared" si="5"/>
        <v>0</v>
      </c>
    </row>
    <row r="96" spans="1:11" ht="30" customHeight="1" x14ac:dyDescent="0.3">
      <c r="A96" s="6">
        <v>90</v>
      </c>
      <c r="B96" s="7">
        <v>8809962542861</v>
      </c>
      <c r="C96" s="6" t="s">
        <v>187</v>
      </c>
      <c r="D96" s="8" t="s">
        <v>188</v>
      </c>
      <c r="E96" s="10">
        <v>24000</v>
      </c>
      <c r="F96" s="10">
        <v>8630</v>
      </c>
      <c r="G96" s="19">
        <f t="shared" si="3"/>
        <v>0.35958333333333331</v>
      </c>
      <c r="H96" s="9">
        <v>50</v>
      </c>
      <c r="I96" s="11"/>
      <c r="J96" s="12">
        <f t="shared" si="4"/>
        <v>0</v>
      </c>
      <c r="K96" s="13">
        <f t="shared" si="5"/>
        <v>0</v>
      </c>
    </row>
    <row r="97" spans="1:11" ht="30" customHeight="1" x14ac:dyDescent="0.3">
      <c r="A97" s="6">
        <v>91</v>
      </c>
      <c r="B97" s="7">
        <v>8809962541222</v>
      </c>
      <c r="C97" s="6" t="s">
        <v>189</v>
      </c>
      <c r="D97" s="8" t="s">
        <v>190</v>
      </c>
      <c r="E97" s="10">
        <v>24000</v>
      </c>
      <c r="F97" s="10">
        <v>8900</v>
      </c>
      <c r="G97" s="19">
        <f t="shared" si="3"/>
        <v>0.37083333333333335</v>
      </c>
      <c r="H97" s="9">
        <v>50</v>
      </c>
      <c r="I97" s="11"/>
      <c r="J97" s="12">
        <f t="shared" si="4"/>
        <v>0</v>
      </c>
      <c r="K97" s="13">
        <f t="shared" si="5"/>
        <v>0</v>
      </c>
    </row>
    <row r="98" spans="1:11" ht="30" customHeight="1" x14ac:dyDescent="0.3">
      <c r="A98" s="6">
        <v>92</v>
      </c>
      <c r="B98" s="7">
        <v>8809962541239</v>
      </c>
      <c r="C98" s="6" t="s">
        <v>191</v>
      </c>
      <c r="D98" s="8" t="s">
        <v>192</v>
      </c>
      <c r="E98" s="10">
        <v>24000</v>
      </c>
      <c r="F98" s="10">
        <v>8900</v>
      </c>
      <c r="G98" s="19">
        <f t="shared" si="3"/>
        <v>0.37083333333333335</v>
      </c>
      <c r="H98" s="9">
        <v>50</v>
      </c>
      <c r="I98" s="11"/>
      <c r="J98" s="12">
        <f t="shared" si="4"/>
        <v>0</v>
      </c>
      <c r="K98" s="13">
        <f t="shared" si="5"/>
        <v>0</v>
      </c>
    </row>
    <row r="99" spans="1:11" ht="30" customHeight="1" x14ac:dyDescent="0.3">
      <c r="A99" s="6">
        <v>93</v>
      </c>
      <c r="B99" s="7">
        <v>8809962541246</v>
      </c>
      <c r="C99" s="6" t="s">
        <v>193</v>
      </c>
      <c r="D99" s="8" t="s">
        <v>194</v>
      </c>
      <c r="E99" s="10">
        <v>26000</v>
      </c>
      <c r="F99" s="10">
        <v>9310</v>
      </c>
      <c r="G99" s="19">
        <f t="shared" si="3"/>
        <v>0.35807692307692307</v>
      </c>
      <c r="H99" s="9">
        <v>50</v>
      </c>
      <c r="I99" s="11"/>
      <c r="J99" s="12">
        <f t="shared" si="4"/>
        <v>0</v>
      </c>
      <c r="K99" s="13">
        <f t="shared" si="5"/>
        <v>0</v>
      </c>
    </row>
    <row r="100" spans="1:11" ht="30" customHeight="1" x14ac:dyDescent="0.3">
      <c r="A100" s="6">
        <v>94</v>
      </c>
      <c r="B100" s="7">
        <v>8809962541635</v>
      </c>
      <c r="C100" s="6" t="s">
        <v>195</v>
      </c>
      <c r="D100" s="8" t="s">
        <v>196</v>
      </c>
      <c r="E100" s="10">
        <v>25000</v>
      </c>
      <c r="F100" s="10">
        <v>8910</v>
      </c>
      <c r="G100" s="19">
        <f t="shared" si="3"/>
        <v>0.35639999999999999</v>
      </c>
      <c r="H100" s="9">
        <v>50</v>
      </c>
      <c r="I100" s="11"/>
      <c r="J100" s="12">
        <f t="shared" si="4"/>
        <v>0</v>
      </c>
      <c r="K100" s="13">
        <f t="shared" si="5"/>
        <v>0</v>
      </c>
    </row>
    <row r="101" spans="1:11" ht="30" customHeight="1" x14ac:dyDescent="0.3">
      <c r="A101" s="6">
        <v>95</v>
      </c>
      <c r="B101" s="7">
        <v>8809962541628</v>
      </c>
      <c r="C101" s="6" t="s">
        <v>197</v>
      </c>
      <c r="D101" s="8" t="s">
        <v>198</v>
      </c>
      <c r="E101" s="10">
        <v>25000</v>
      </c>
      <c r="F101" s="10">
        <v>8950.0000000000018</v>
      </c>
      <c r="G101" s="19">
        <f t="shared" si="3"/>
        <v>0.3580000000000001</v>
      </c>
      <c r="H101" s="9">
        <v>50</v>
      </c>
      <c r="I101" s="11"/>
      <c r="J101" s="12">
        <f t="shared" si="4"/>
        <v>0</v>
      </c>
      <c r="K101" s="13">
        <f t="shared" si="5"/>
        <v>0</v>
      </c>
    </row>
    <row r="102" spans="1:11" ht="30" customHeight="1" x14ac:dyDescent="0.3">
      <c r="A102" s="6">
        <v>96</v>
      </c>
      <c r="B102" s="7">
        <v>8809962541642</v>
      </c>
      <c r="C102" s="6" t="s">
        <v>199</v>
      </c>
      <c r="D102" s="8" t="s">
        <v>200</v>
      </c>
      <c r="E102" s="10">
        <v>27000</v>
      </c>
      <c r="F102" s="10">
        <v>9320</v>
      </c>
      <c r="G102" s="19">
        <f t="shared" si="3"/>
        <v>0.34518518518518521</v>
      </c>
      <c r="H102" s="9">
        <v>50</v>
      </c>
      <c r="I102" s="11"/>
      <c r="J102" s="12">
        <f t="shared" si="4"/>
        <v>0</v>
      </c>
      <c r="K102" s="13">
        <f t="shared" si="5"/>
        <v>0</v>
      </c>
    </row>
    <row r="103" spans="1:11" ht="30" customHeight="1" x14ac:dyDescent="0.3">
      <c r="A103" s="6">
        <v>97</v>
      </c>
      <c r="B103" s="7">
        <v>8809962540553</v>
      </c>
      <c r="C103" s="6" t="s">
        <v>201</v>
      </c>
      <c r="D103" s="8" t="s">
        <v>202</v>
      </c>
      <c r="E103" s="10">
        <v>0</v>
      </c>
      <c r="F103" s="10">
        <v>5883</v>
      </c>
      <c r="G103" s="19" t="e">
        <f t="shared" si="3"/>
        <v>#DIV/0!</v>
      </c>
      <c r="H103" s="9">
        <v>100</v>
      </c>
      <c r="I103" s="11"/>
      <c r="J103" s="12">
        <f t="shared" si="4"/>
        <v>0</v>
      </c>
      <c r="K103" s="13">
        <f t="shared" si="5"/>
        <v>0</v>
      </c>
    </row>
    <row r="104" spans="1:11" ht="30" customHeight="1" x14ac:dyDescent="0.3">
      <c r="A104" s="6">
        <v>98</v>
      </c>
      <c r="B104" s="7">
        <v>8809962542441</v>
      </c>
      <c r="C104" s="6"/>
      <c r="D104" s="8" t="s">
        <v>203</v>
      </c>
      <c r="E104" s="10">
        <v>0</v>
      </c>
      <c r="F104" s="10">
        <v>9805</v>
      </c>
      <c r="G104" s="19" t="e">
        <f t="shared" si="3"/>
        <v>#DIV/0!</v>
      </c>
      <c r="H104" s="9">
        <v>80</v>
      </c>
      <c r="I104" s="11"/>
      <c r="J104" s="12">
        <f t="shared" si="4"/>
        <v>0</v>
      </c>
      <c r="K104" s="13">
        <f t="shared" si="5"/>
        <v>0</v>
      </c>
    </row>
    <row r="105" spans="1:11" ht="30" customHeight="1" x14ac:dyDescent="0.3">
      <c r="A105" s="6">
        <v>99</v>
      </c>
      <c r="B105" s="7">
        <v>8809962543127</v>
      </c>
      <c r="C105" s="6"/>
      <c r="D105" s="8" t="s">
        <v>204</v>
      </c>
      <c r="E105" s="10">
        <v>0</v>
      </c>
      <c r="F105" s="10">
        <v>13559.52</v>
      </c>
      <c r="G105" s="19" t="e">
        <f t="shared" si="3"/>
        <v>#DIV/0!</v>
      </c>
      <c r="H105" s="9">
        <v>60</v>
      </c>
      <c r="I105" s="11"/>
      <c r="J105" s="12">
        <f t="shared" si="4"/>
        <v>0</v>
      </c>
      <c r="K105" s="13">
        <f t="shared" si="5"/>
        <v>0</v>
      </c>
    </row>
    <row r="106" spans="1:11" ht="30" customHeight="1" x14ac:dyDescent="0.3">
      <c r="A106" s="6">
        <v>100</v>
      </c>
      <c r="B106" s="7">
        <v>8809962542885</v>
      </c>
      <c r="C106" s="6"/>
      <c r="D106" s="8" t="s">
        <v>205</v>
      </c>
      <c r="E106" s="10">
        <v>0</v>
      </c>
      <c r="F106" s="10">
        <v>12842.960000000001</v>
      </c>
      <c r="G106" s="19" t="e">
        <f t="shared" si="3"/>
        <v>#DIV/0!</v>
      </c>
      <c r="H106" s="9">
        <v>40</v>
      </c>
      <c r="I106" s="11"/>
      <c r="J106" s="12">
        <f t="shared" si="4"/>
        <v>0</v>
      </c>
      <c r="K106" s="13">
        <f t="shared" si="5"/>
        <v>0</v>
      </c>
    </row>
    <row r="107" spans="1:11" ht="30" customHeight="1" x14ac:dyDescent="0.3">
      <c r="A107" s="6">
        <v>101</v>
      </c>
      <c r="B107" s="7">
        <v>8809962543622</v>
      </c>
      <c r="C107" s="6"/>
      <c r="D107" s="8" t="s">
        <v>206</v>
      </c>
      <c r="E107" s="10">
        <v>36000</v>
      </c>
      <c r="F107" s="10">
        <v>12918</v>
      </c>
      <c r="G107" s="19">
        <f t="shared" si="3"/>
        <v>0.35883333333333334</v>
      </c>
      <c r="H107" s="9">
        <v>40</v>
      </c>
      <c r="I107" s="11"/>
      <c r="J107" s="12">
        <f t="shared" si="4"/>
        <v>0</v>
      </c>
      <c r="K107" s="13">
        <f t="shared" si="5"/>
        <v>0</v>
      </c>
    </row>
    <row r="108" spans="1:11" ht="30" customHeight="1" x14ac:dyDescent="0.3">
      <c r="A108" s="6">
        <v>102</v>
      </c>
      <c r="B108" s="7">
        <v>8809962542793</v>
      </c>
      <c r="C108" s="6"/>
      <c r="D108" s="8" t="s">
        <v>207</v>
      </c>
      <c r="E108" s="10">
        <v>24000</v>
      </c>
      <c r="F108" s="10">
        <v>8680</v>
      </c>
      <c r="G108" s="19">
        <f t="shared" si="3"/>
        <v>0.36166666666666669</v>
      </c>
      <c r="H108" s="9">
        <v>50</v>
      </c>
      <c r="I108" s="11"/>
      <c r="J108" s="12">
        <f t="shared" si="4"/>
        <v>0</v>
      </c>
      <c r="K108" s="13">
        <f t="shared" si="5"/>
        <v>0</v>
      </c>
    </row>
    <row r="109" spans="1:11" ht="30" customHeight="1" x14ac:dyDescent="0.3">
      <c r="A109" s="6">
        <v>103</v>
      </c>
      <c r="B109" s="7">
        <v>8809962543103</v>
      </c>
      <c r="C109" s="6"/>
      <c r="D109" s="8" t="s">
        <v>208</v>
      </c>
      <c r="E109" s="10">
        <v>24000</v>
      </c>
      <c r="F109" s="10">
        <v>9780</v>
      </c>
      <c r="G109" s="19">
        <f t="shared" si="3"/>
        <v>0.40749999999999997</v>
      </c>
      <c r="H109" s="9">
        <v>50</v>
      </c>
      <c r="I109" s="11"/>
      <c r="J109" s="12">
        <f t="shared" si="4"/>
        <v>0</v>
      </c>
      <c r="K109" s="13">
        <f t="shared" si="5"/>
        <v>0</v>
      </c>
    </row>
    <row r="110" spans="1:11" ht="30" customHeight="1" x14ac:dyDescent="0.3">
      <c r="A110" s="6">
        <v>104</v>
      </c>
      <c r="B110" s="7">
        <v>8809962543097</v>
      </c>
      <c r="C110" s="6"/>
      <c r="D110" s="8" t="s">
        <v>209</v>
      </c>
      <c r="E110" s="10">
        <v>24000</v>
      </c>
      <c r="F110" s="10">
        <v>9280.0000000000018</v>
      </c>
      <c r="G110" s="19">
        <f t="shared" si="3"/>
        <v>0.38666666666666677</v>
      </c>
      <c r="H110" s="9">
        <v>50</v>
      </c>
      <c r="I110" s="11"/>
      <c r="J110" s="12">
        <f t="shared" si="4"/>
        <v>0</v>
      </c>
      <c r="K110" s="13">
        <f t="shared" si="5"/>
        <v>0</v>
      </c>
    </row>
    <row r="111" spans="1:11" ht="30" customHeight="1" x14ac:dyDescent="0.3">
      <c r="A111" s="6">
        <v>105</v>
      </c>
      <c r="B111" s="7">
        <v>8809962541475</v>
      </c>
      <c r="C111" s="6"/>
      <c r="D111" s="8" t="s">
        <v>210</v>
      </c>
      <c r="E111" s="10">
        <v>23000</v>
      </c>
      <c r="F111" s="10">
        <v>9185</v>
      </c>
      <c r="G111" s="19">
        <f t="shared" si="3"/>
        <v>0.39934782608695651</v>
      </c>
      <c r="H111" s="9">
        <v>80</v>
      </c>
      <c r="I111" s="11"/>
      <c r="J111" s="12">
        <f t="shared" si="4"/>
        <v>0</v>
      </c>
      <c r="K111" s="13">
        <f t="shared" si="5"/>
        <v>0</v>
      </c>
    </row>
    <row r="112" spans="1:11" ht="30" customHeight="1" x14ac:dyDescent="0.3">
      <c r="A112" s="6">
        <v>106</v>
      </c>
      <c r="B112" s="7">
        <v>8809962541345</v>
      </c>
      <c r="C112" s="6"/>
      <c r="D112" s="8" t="s">
        <v>211</v>
      </c>
      <c r="E112" s="10">
        <v>24000</v>
      </c>
      <c r="F112" s="10">
        <v>9280.0000000000018</v>
      </c>
      <c r="G112" s="19">
        <f t="shared" si="3"/>
        <v>0.38666666666666677</v>
      </c>
      <c r="H112" s="9">
        <v>30</v>
      </c>
      <c r="I112" s="11"/>
      <c r="J112" s="12">
        <f t="shared" si="4"/>
        <v>0</v>
      </c>
      <c r="K112" s="13">
        <f t="shared" si="5"/>
        <v>0</v>
      </c>
    </row>
    <row r="113" spans="1:11" ht="30" customHeight="1" x14ac:dyDescent="0.3">
      <c r="A113" s="6">
        <v>107</v>
      </c>
      <c r="B113" s="7">
        <v>8809962541352</v>
      </c>
      <c r="C113" s="6"/>
      <c r="D113" s="8" t="s">
        <v>212</v>
      </c>
      <c r="E113" s="10">
        <v>21000</v>
      </c>
      <c r="F113" s="10">
        <v>6795</v>
      </c>
      <c r="G113" s="19">
        <f t="shared" si="3"/>
        <v>0.32357142857142857</v>
      </c>
      <c r="H113" s="9">
        <v>40</v>
      </c>
      <c r="I113" s="11"/>
      <c r="J113" s="12">
        <f t="shared" si="4"/>
        <v>0</v>
      </c>
      <c r="K113" s="13">
        <f t="shared" si="5"/>
        <v>0</v>
      </c>
    </row>
    <row r="114" spans="1:11" ht="30" customHeight="1" x14ac:dyDescent="0.3">
      <c r="A114" s="6">
        <v>108</v>
      </c>
      <c r="B114" s="7">
        <v>8809849803979</v>
      </c>
      <c r="C114" s="6"/>
      <c r="D114" s="8" t="s">
        <v>213</v>
      </c>
      <c r="E114" s="10">
        <v>16500</v>
      </c>
      <c r="F114" s="10">
        <v>5568</v>
      </c>
      <c r="G114" s="19">
        <f t="shared" si="3"/>
        <v>0.33745454545454545</v>
      </c>
      <c r="H114" s="9">
        <v>40</v>
      </c>
      <c r="I114" s="11"/>
      <c r="J114" s="12">
        <f t="shared" si="4"/>
        <v>0</v>
      </c>
      <c r="K114" s="13">
        <f t="shared" si="5"/>
        <v>0</v>
      </c>
    </row>
    <row r="115" spans="1:11" ht="30" customHeight="1" x14ac:dyDescent="0.3">
      <c r="A115" s="6">
        <v>109</v>
      </c>
      <c r="B115" s="7">
        <v>8809962542892</v>
      </c>
      <c r="C115" s="6"/>
      <c r="D115" s="8" t="s">
        <v>214</v>
      </c>
      <c r="E115" s="10">
        <v>27000</v>
      </c>
      <c r="F115" s="10">
        <v>12165.000000000002</v>
      </c>
      <c r="G115" s="19">
        <f t="shared" si="3"/>
        <v>0.4505555555555556</v>
      </c>
      <c r="H115" s="9">
        <v>40</v>
      </c>
      <c r="I115" s="11"/>
      <c r="J115" s="12">
        <f t="shared" si="4"/>
        <v>0</v>
      </c>
      <c r="K115" s="13">
        <f t="shared" si="5"/>
        <v>0</v>
      </c>
    </row>
    <row r="116" spans="1:11" ht="30" customHeight="1" x14ac:dyDescent="0.3">
      <c r="A116" s="6">
        <v>110</v>
      </c>
      <c r="B116" s="7">
        <v>8809962543356</v>
      </c>
      <c r="C116" s="6"/>
      <c r="D116" s="8" t="s">
        <v>215</v>
      </c>
      <c r="E116" s="10">
        <v>0</v>
      </c>
      <c r="F116" s="10">
        <v>6754.3200000000006</v>
      </c>
      <c r="G116" s="19" t="e">
        <f t="shared" si="3"/>
        <v>#DIV/0!</v>
      </c>
      <c r="H116" s="9">
        <v>100</v>
      </c>
      <c r="I116" s="11"/>
      <c r="J116" s="12">
        <f t="shared" si="4"/>
        <v>0</v>
      </c>
      <c r="K116" s="13">
        <f t="shared" si="5"/>
        <v>0</v>
      </c>
    </row>
    <row r="117" spans="1:11" ht="30" customHeight="1" x14ac:dyDescent="0.3">
      <c r="A117" s="6">
        <v>111</v>
      </c>
      <c r="B117" s="7">
        <v>8809962542946</v>
      </c>
      <c r="C117" s="6"/>
      <c r="D117" s="8" t="s">
        <v>216</v>
      </c>
      <c r="E117" s="10">
        <v>38000</v>
      </c>
      <c r="F117" s="10">
        <v>12418.400000000001</v>
      </c>
      <c r="G117" s="19">
        <f t="shared" si="3"/>
        <v>0.32680000000000003</v>
      </c>
      <c r="H117" s="9">
        <v>80</v>
      </c>
      <c r="I117" s="11"/>
      <c r="J117" s="12">
        <f t="shared" si="4"/>
        <v>0</v>
      </c>
      <c r="K117" s="13">
        <f t="shared" si="5"/>
        <v>0</v>
      </c>
    </row>
    <row r="118" spans="1:11" ht="30" customHeight="1" x14ac:dyDescent="0.3">
      <c r="A118" s="6">
        <v>112</v>
      </c>
      <c r="B118" s="7">
        <v>8809962542366</v>
      </c>
      <c r="C118" s="6"/>
      <c r="D118" s="8" t="s">
        <v>217</v>
      </c>
      <c r="E118" s="10">
        <v>28000</v>
      </c>
      <c r="F118" s="10">
        <v>10464</v>
      </c>
      <c r="G118" s="19">
        <f t="shared" si="3"/>
        <v>0.37371428571428572</v>
      </c>
      <c r="H118" s="9">
        <v>30</v>
      </c>
      <c r="I118" s="11"/>
      <c r="J118" s="12">
        <f t="shared" si="4"/>
        <v>0</v>
      </c>
      <c r="K118" s="13">
        <f t="shared" si="5"/>
        <v>0</v>
      </c>
    </row>
    <row r="119" spans="1:11" ht="30" customHeight="1" x14ac:dyDescent="0.3">
      <c r="A119" s="6">
        <v>113</v>
      </c>
      <c r="B119" s="7">
        <v>8809962544162</v>
      </c>
      <c r="C119" s="6"/>
      <c r="D119" s="8" t="s">
        <v>218</v>
      </c>
      <c r="E119" s="10">
        <v>0</v>
      </c>
      <c r="F119" s="10">
        <v>10494</v>
      </c>
      <c r="G119" s="19" t="e">
        <f t="shared" si="3"/>
        <v>#DIV/0!</v>
      </c>
      <c r="H119" s="9">
        <v>100</v>
      </c>
      <c r="I119" s="11"/>
      <c r="J119" s="12">
        <f t="shared" si="4"/>
        <v>0</v>
      </c>
      <c r="K119" s="13">
        <f t="shared" si="5"/>
        <v>0</v>
      </c>
    </row>
    <row r="120" spans="1:11" ht="30" customHeight="1" x14ac:dyDescent="0.3">
      <c r="A120" s="6">
        <v>114</v>
      </c>
      <c r="B120" s="7">
        <v>8809962543547</v>
      </c>
      <c r="C120" s="6"/>
      <c r="D120" s="8" t="s">
        <v>219</v>
      </c>
      <c r="E120" s="10">
        <v>28000</v>
      </c>
      <c r="F120" s="10">
        <v>10464</v>
      </c>
      <c r="G120" s="19">
        <f t="shared" si="3"/>
        <v>0.37371428571428572</v>
      </c>
      <c r="H120" s="9">
        <v>50</v>
      </c>
      <c r="I120" s="11"/>
      <c r="J120" s="12">
        <f t="shared" si="4"/>
        <v>0</v>
      </c>
      <c r="K120" s="13">
        <f t="shared" si="5"/>
        <v>0</v>
      </c>
    </row>
    <row r="121" spans="1:11" ht="30" customHeight="1" x14ac:dyDescent="0.3"/>
    <row r="122" spans="1:11" ht="30" customHeight="1" x14ac:dyDescent="0.3"/>
    <row r="123" spans="1:11" ht="30" customHeight="1" x14ac:dyDescent="0.3"/>
    <row r="124" spans="1:11" ht="30" customHeight="1" x14ac:dyDescent="0.3"/>
    <row r="125" spans="1:11" ht="30" customHeight="1" x14ac:dyDescent="0.3"/>
    <row r="126" spans="1:11" ht="30" customHeight="1" x14ac:dyDescent="0.3"/>
    <row r="127" spans="1:11" ht="30" customHeight="1" x14ac:dyDescent="0.3"/>
    <row r="128" spans="1:11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  <row r="207" ht="30" customHeight="1" x14ac:dyDescent="0.3"/>
    <row r="208" ht="30" customHeight="1" x14ac:dyDescent="0.3"/>
    <row r="209" ht="30" customHeight="1" x14ac:dyDescent="0.3"/>
    <row r="210" ht="30" customHeight="1" x14ac:dyDescent="0.3"/>
    <row r="211" ht="30" customHeight="1" x14ac:dyDescent="0.3"/>
    <row r="212" ht="30" customHeight="1" x14ac:dyDescent="0.3"/>
    <row r="213" ht="30" customHeight="1" x14ac:dyDescent="0.3"/>
    <row r="214" ht="30" customHeight="1" x14ac:dyDescent="0.3"/>
    <row r="215" ht="30" customHeight="1" x14ac:dyDescent="0.3"/>
    <row r="216" ht="30" customHeight="1" x14ac:dyDescent="0.3"/>
    <row r="217" ht="30" customHeight="1" x14ac:dyDescent="0.3"/>
    <row r="218" ht="30" customHeight="1" x14ac:dyDescent="0.3"/>
    <row r="219" ht="30" customHeight="1" x14ac:dyDescent="0.3"/>
    <row r="220" ht="30" customHeight="1" x14ac:dyDescent="0.3"/>
    <row r="221" ht="30" customHeight="1" x14ac:dyDescent="0.3"/>
    <row r="222" ht="30" customHeight="1" x14ac:dyDescent="0.3"/>
    <row r="223" ht="30" customHeight="1" x14ac:dyDescent="0.3"/>
    <row r="224" ht="30" customHeight="1" x14ac:dyDescent="0.3"/>
    <row r="225" ht="30" customHeight="1" x14ac:dyDescent="0.3"/>
    <row r="226" ht="30" customHeight="1" x14ac:dyDescent="0.3"/>
    <row r="227" ht="30" customHeight="1" x14ac:dyDescent="0.3"/>
    <row r="228" ht="30" customHeight="1" x14ac:dyDescent="0.3"/>
    <row r="229" ht="30" customHeight="1" x14ac:dyDescent="0.3"/>
    <row r="230" ht="30" customHeight="1" x14ac:dyDescent="0.3"/>
    <row r="231" ht="30" customHeight="1" x14ac:dyDescent="0.3"/>
    <row r="232" ht="30" customHeight="1" x14ac:dyDescent="0.3"/>
    <row r="233" ht="30" customHeight="1" x14ac:dyDescent="0.3"/>
    <row r="234" ht="30" customHeight="1" x14ac:dyDescent="0.3"/>
    <row r="235" ht="30" customHeight="1" x14ac:dyDescent="0.3"/>
    <row r="236" ht="30" customHeight="1" x14ac:dyDescent="0.3"/>
    <row r="237" ht="30" customHeight="1" x14ac:dyDescent="0.3"/>
    <row r="238" ht="30" customHeight="1" x14ac:dyDescent="0.3"/>
    <row r="239" ht="30" customHeight="1" x14ac:dyDescent="0.3"/>
    <row r="240" ht="30" customHeight="1" x14ac:dyDescent="0.3"/>
    <row r="241" ht="30" customHeight="1" x14ac:dyDescent="0.3"/>
    <row r="242" ht="30" customHeight="1" x14ac:dyDescent="0.3"/>
    <row r="243" ht="30" customHeight="1" x14ac:dyDescent="0.3"/>
    <row r="244" ht="30" customHeight="1" x14ac:dyDescent="0.3"/>
    <row r="245" ht="30" customHeight="1" x14ac:dyDescent="0.3"/>
    <row r="246" ht="30" customHeight="1" x14ac:dyDescent="0.3"/>
    <row r="247" ht="30" customHeight="1" x14ac:dyDescent="0.3"/>
    <row r="248" ht="30" customHeight="1" x14ac:dyDescent="0.3"/>
    <row r="249" ht="30" customHeight="1" x14ac:dyDescent="0.3"/>
    <row r="250" ht="30" customHeight="1" x14ac:dyDescent="0.3"/>
    <row r="251" ht="30" customHeight="1" x14ac:dyDescent="0.3"/>
    <row r="252" ht="30" customHeight="1" x14ac:dyDescent="0.3"/>
    <row r="253" ht="30" customHeight="1" x14ac:dyDescent="0.3"/>
    <row r="254" ht="30" customHeight="1" x14ac:dyDescent="0.3"/>
    <row r="255" ht="30" customHeight="1" x14ac:dyDescent="0.3"/>
    <row r="256" ht="30" customHeight="1" x14ac:dyDescent="0.3"/>
    <row r="257" ht="30" customHeight="1" x14ac:dyDescent="0.3"/>
    <row r="258" ht="30" customHeight="1" x14ac:dyDescent="0.3"/>
    <row r="259" ht="30" customHeight="1" x14ac:dyDescent="0.3"/>
    <row r="260" ht="30" customHeight="1" x14ac:dyDescent="0.3"/>
    <row r="261" ht="30" customHeight="1" x14ac:dyDescent="0.3"/>
    <row r="262" ht="30" customHeight="1" x14ac:dyDescent="0.3"/>
    <row r="263" ht="30" customHeight="1" x14ac:dyDescent="0.3"/>
    <row r="264" ht="30" customHeight="1" x14ac:dyDescent="0.3"/>
    <row r="265" ht="30" customHeight="1" x14ac:dyDescent="0.3"/>
    <row r="266" ht="30" customHeight="1" x14ac:dyDescent="0.3"/>
    <row r="267" ht="30" customHeight="1" x14ac:dyDescent="0.3"/>
    <row r="268" ht="30" customHeight="1" x14ac:dyDescent="0.3"/>
    <row r="269" ht="30" customHeight="1" x14ac:dyDescent="0.3"/>
    <row r="270" ht="30" customHeight="1" x14ac:dyDescent="0.3"/>
    <row r="271" ht="30" customHeight="1" x14ac:dyDescent="0.3"/>
    <row r="272" ht="30" customHeight="1" x14ac:dyDescent="0.3"/>
    <row r="273" ht="30" customHeight="1" x14ac:dyDescent="0.3"/>
    <row r="274" ht="30" customHeight="1" x14ac:dyDescent="0.3"/>
    <row r="275" ht="30" customHeight="1" x14ac:dyDescent="0.3"/>
    <row r="276" ht="30" customHeight="1" x14ac:dyDescent="0.3"/>
    <row r="277" ht="30" customHeight="1" x14ac:dyDescent="0.3"/>
    <row r="278" ht="30" customHeight="1" x14ac:dyDescent="0.3"/>
    <row r="279" ht="30" customHeight="1" x14ac:dyDescent="0.3"/>
    <row r="280" ht="30" customHeight="1" x14ac:dyDescent="0.3"/>
    <row r="281" ht="30" customHeight="1" x14ac:dyDescent="0.3"/>
    <row r="282" ht="30" customHeight="1" x14ac:dyDescent="0.3"/>
    <row r="283" ht="30" customHeight="1" x14ac:dyDescent="0.3"/>
    <row r="284" ht="30" customHeight="1" x14ac:dyDescent="0.3"/>
    <row r="285" ht="30" customHeight="1" x14ac:dyDescent="0.3"/>
    <row r="286" ht="30" customHeight="1" x14ac:dyDescent="0.3"/>
    <row r="287" ht="30" customHeight="1" x14ac:dyDescent="0.3"/>
    <row r="288" ht="30" customHeight="1" x14ac:dyDescent="0.3"/>
    <row r="289" ht="30" customHeight="1" x14ac:dyDescent="0.3"/>
    <row r="290" ht="30" customHeight="1" x14ac:dyDescent="0.3"/>
    <row r="291" ht="30" customHeight="1" x14ac:dyDescent="0.3"/>
    <row r="292" ht="30" customHeight="1" x14ac:dyDescent="0.3"/>
    <row r="293" ht="30" customHeight="1" x14ac:dyDescent="0.3"/>
    <row r="294" ht="30" customHeight="1" x14ac:dyDescent="0.3"/>
    <row r="295" ht="30" customHeight="1" x14ac:dyDescent="0.3"/>
    <row r="296" ht="30" customHeight="1" x14ac:dyDescent="0.3"/>
    <row r="297" ht="30" customHeight="1" x14ac:dyDescent="0.3"/>
    <row r="298" ht="30" customHeight="1" x14ac:dyDescent="0.3"/>
    <row r="299" ht="30" customHeight="1" x14ac:dyDescent="0.3"/>
    <row r="300" ht="30" customHeight="1" x14ac:dyDescent="0.3"/>
    <row r="301" ht="30" customHeight="1" x14ac:dyDescent="0.3"/>
    <row r="302" ht="30" customHeight="1" x14ac:dyDescent="0.3"/>
    <row r="303" ht="30" customHeight="1" x14ac:dyDescent="0.3"/>
    <row r="304" ht="30" customHeight="1" x14ac:dyDescent="0.3"/>
    <row r="305" ht="30" customHeight="1" x14ac:dyDescent="0.3"/>
    <row r="306" ht="30" customHeight="1" x14ac:dyDescent="0.3"/>
    <row r="307" ht="30" customHeight="1" x14ac:dyDescent="0.3"/>
    <row r="308" ht="30" customHeight="1" x14ac:dyDescent="0.3"/>
    <row r="309" ht="30" customHeight="1" x14ac:dyDescent="0.3"/>
    <row r="310" ht="30" customHeight="1" x14ac:dyDescent="0.3"/>
    <row r="311" ht="30" customHeight="1" x14ac:dyDescent="0.3"/>
    <row r="312" ht="30" customHeight="1" x14ac:dyDescent="0.3"/>
    <row r="313" ht="30" customHeight="1" x14ac:dyDescent="0.3"/>
    <row r="314" ht="30" customHeight="1" x14ac:dyDescent="0.3"/>
    <row r="315" ht="30" customHeight="1" x14ac:dyDescent="0.3"/>
    <row r="316" ht="30" customHeight="1" x14ac:dyDescent="0.3"/>
    <row r="317" ht="30" customHeight="1" x14ac:dyDescent="0.3"/>
    <row r="318" ht="30" customHeight="1" x14ac:dyDescent="0.3"/>
    <row r="319" ht="30" customHeight="1" x14ac:dyDescent="0.3"/>
    <row r="320" ht="30" customHeight="1" x14ac:dyDescent="0.3"/>
    <row r="321" ht="30" customHeight="1" x14ac:dyDescent="0.3"/>
    <row r="322" ht="30" customHeight="1" x14ac:dyDescent="0.3"/>
    <row r="323" ht="30" customHeight="1" x14ac:dyDescent="0.3"/>
    <row r="324" ht="30" customHeight="1" x14ac:dyDescent="0.3"/>
    <row r="325" ht="30" customHeight="1" x14ac:dyDescent="0.3"/>
    <row r="326" ht="30" customHeight="1" x14ac:dyDescent="0.3"/>
    <row r="327" ht="30" customHeight="1" x14ac:dyDescent="0.3"/>
    <row r="328" ht="30" customHeight="1" x14ac:dyDescent="0.3"/>
    <row r="329" ht="30" customHeight="1" x14ac:dyDescent="0.3"/>
    <row r="330" ht="30" customHeight="1" x14ac:dyDescent="0.3"/>
    <row r="331" ht="30" customHeight="1" x14ac:dyDescent="0.3"/>
    <row r="332" ht="30" customHeight="1" x14ac:dyDescent="0.3"/>
    <row r="333" ht="30" customHeight="1" x14ac:dyDescent="0.3"/>
    <row r="334" ht="30" customHeight="1" x14ac:dyDescent="0.3"/>
    <row r="335" ht="30" customHeight="1" x14ac:dyDescent="0.3"/>
    <row r="336" ht="30" customHeight="1" x14ac:dyDescent="0.3"/>
    <row r="337" ht="30" customHeight="1" x14ac:dyDescent="0.3"/>
    <row r="338" ht="30" customHeight="1" x14ac:dyDescent="0.3"/>
    <row r="339" ht="30" customHeight="1" x14ac:dyDescent="0.3"/>
    <row r="340" ht="30" customHeight="1" x14ac:dyDescent="0.3"/>
    <row r="341" ht="30" customHeight="1" x14ac:dyDescent="0.3"/>
    <row r="342" ht="30" customHeight="1" x14ac:dyDescent="0.3"/>
    <row r="343" ht="30" customHeight="1" x14ac:dyDescent="0.3"/>
    <row r="344" ht="30" customHeight="1" x14ac:dyDescent="0.3"/>
    <row r="345" ht="30" customHeight="1" x14ac:dyDescent="0.3"/>
    <row r="346" ht="30" customHeight="1" x14ac:dyDescent="0.3"/>
    <row r="347" ht="30" customHeight="1" x14ac:dyDescent="0.3"/>
    <row r="348" ht="30" customHeight="1" x14ac:dyDescent="0.3"/>
    <row r="349" ht="30" customHeight="1" x14ac:dyDescent="0.3"/>
    <row r="350" ht="30" customHeight="1" x14ac:dyDescent="0.3"/>
    <row r="351" ht="30" customHeight="1" x14ac:dyDescent="0.3"/>
    <row r="352" ht="30" customHeight="1" x14ac:dyDescent="0.3"/>
    <row r="353" ht="30" customHeight="1" x14ac:dyDescent="0.3"/>
    <row r="354" ht="30" customHeight="1" x14ac:dyDescent="0.3"/>
    <row r="355" ht="30" customHeight="1" x14ac:dyDescent="0.3"/>
    <row r="356" ht="30" customHeight="1" x14ac:dyDescent="0.3"/>
    <row r="357" ht="30" customHeight="1" x14ac:dyDescent="0.3"/>
    <row r="358" ht="30" customHeight="1" x14ac:dyDescent="0.3"/>
    <row r="359" ht="30" customHeight="1" x14ac:dyDescent="0.3"/>
    <row r="360" ht="30" customHeight="1" x14ac:dyDescent="0.3"/>
    <row r="361" ht="30" customHeight="1" x14ac:dyDescent="0.3"/>
    <row r="362" ht="30" customHeight="1" x14ac:dyDescent="0.3"/>
    <row r="363" ht="30" customHeight="1" x14ac:dyDescent="0.3"/>
    <row r="364" ht="30" customHeight="1" x14ac:dyDescent="0.3"/>
    <row r="365" ht="30" customHeight="1" x14ac:dyDescent="0.3"/>
    <row r="366" ht="30" customHeight="1" x14ac:dyDescent="0.3"/>
    <row r="367" ht="30" customHeight="1" x14ac:dyDescent="0.3"/>
    <row r="368" ht="30" customHeight="1" x14ac:dyDescent="0.3"/>
    <row r="369" ht="30" customHeight="1" x14ac:dyDescent="0.3"/>
    <row r="370" ht="30" customHeight="1" x14ac:dyDescent="0.3"/>
    <row r="371" ht="30" customHeight="1" x14ac:dyDescent="0.3"/>
    <row r="372" ht="30" customHeight="1" x14ac:dyDescent="0.3"/>
    <row r="373" ht="30" customHeight="1" x14ac:dyDescent="0.3"/>
    <row r="374" ht="30" customHeight="1" x14ac:dyDescent="0.3"/>
    <row r="375" ht="30" customHeight="1" x14ac:dyDescent="0.3"/>
    <row r="376" ht="30" customHeight="1" x14ac:dyDescent="0.3"/>
    <row r="377" ht="30" customHeight="1" x14ac:dyDescent="0.3"/>
    <row r="378" ht="30" customHeight="1" x14ac:dyDescent="0.3"/>
    <row r="379" ht="30" customHeight="1" x14ac:dyDescent="0.3"/>
    <row r="380" ht="30" customHeight="1" x14ac:dyDescent="0.3"/>
    <row r="381" ht="30" customHeight="1" x14ac:dyDescent="0.3"/>
    <row r="382" ht="30" customHeight="1" x14ac:dyDescent="0.3"/>
    <row r="383" ht="30" customHeight="1" x14ac:dyDescent="0.3"/>
    <row r="384" ht="30" customHeight="1" x14ac:dyDescent="0.3"/>
    <row r="385" ht="30" customHeight="1" x14ac:dyDescent="0.3"/>
    <row r="386" ht="30" customHeight="1" x14ac:dyDescent="0.3"/>
    <row r="387" ht="30" customHeight="1" x14ac:dyDescent="0.3"/>
    <row r="388" ht="30" customHeight="1" x14ac:dyDescent="0.3"/>
    <row r="389" ht="30" customHeight="1" x14ac:dyDescent="0.3"/>
    <row r="390" ht="30" customHeight="1" x14ac:dyDescent="0.3"/>
    <row r="391" ht="30" customHeight="1" x14ac:dyDescent="0.3"/>
    <row r="392" ht="30" customHeight="1" x14ac:dyDescent="0.3"/>
    <row r="393" ht="30" customHeight="1" x14ac:dyDescent="0.3"/>
    <row r="394" ht="30" customHeight="1" x14ac:dyDescent="0.3"/>
    <row r="395" ht="30" customHeight="1" x14ac:dyDescent="0.3"/>
    <row r="396" ht="30" customHeight="1" x14ac:dyDescent="0.3"/>
    <row r="397" ht="30" customHeight="1" x14ac:dyDescent="0.3"/>
    <row r="398" ht="30" customHeight="1" x14ac:dyDescent="0.3"/>
    <row r="399" ht="30" customHeight="1" x14ac:dyDescent="0.3"/>
    <row r="400" ht="30" customHeight="1" x14ac:dyDescent="0.3"/>
    <row r="401" ht="30" customHeight="1" x14ac:dyDescent="0.3"/>
    <row r="402" ht="30" customHeight="1" x14ac:dyDescent="0.3"/>
    <row r="403" ht="30" customHeight="1" x14ac:dyDescent="0.3"/>
    <row r="404" ht="30" customHeight="1" x14ac:dyDescent="0.3"/>
    <row r="405" ht="30" customHeight="1" x14ac:dyDescent="0.3"/>
    <row r="406" ht="30" customHeight="1" x14ac:dyDescent="0.3"/>
    <row r="407" ht="30" customHeight="1" x14ac:dyDescent="0.3"/>
    <row r="408" ht="30" customHeight="1" x14ac:dyDescent="0.3"/>
    <row r="409" ht="30" customHeight="1" x14ac:dyDescent="0.3"/>
    <row r="410" ht="30" customHeight="1" x14ac:dyDescent="0.3"/>
    <row r="411" ht="30" customHeight="1" x14ac:dyDescent="0.3"/>
    <row r="412" ht="30" customHeight="1" x14ac:dyDescent="0.3"/>
    <row r="413" ht="30" customHeight="1" x14ac:dyDescent="0.3"/>
    <row r="414" ht="30" customHeight="1" x14ac:dyDescent="0.3"/>
    <row r="415" ht="30" customHeight="1" x14ac:dyDescent="0.3"/>
    <row r="416" ht="30" customHeight="1" x14ac:dyDescent="0.3"/>
    <row r="417" ht="30" customHeight="1" x14ac:dyDescent="0.3"/>
    <row r="418" ht="30" customHeight="1" x14ac:dyDescent="0.3"/>
    <row r="419" ht="30" customHeight="1" x14ac:dyDescent="0.3"/>
    <row r="420" ht="30" customHeight="1" x14ac:dyDescent="0.3"/>
    <row r="421" ht="30" customHeight="1" x14ac:dyDescent="0.3"/>
    <row r="422" ht="30" customHeight="1" x14ac:dyDescent="0.3"/>
    <row r="423" ht="30" customHeight="1" x14ac:dyDescent="0.3"/>
    <row r="424" ht="30" customHeight="1" x14ac:dyDescent="0.3"/>
    <row r="425" ht="30" customHeight="1" x14ac:dyDescent="0.3"/>
    <row r="426" ht="30" customHeight="1" x14ac:dyDescent="0.3"/>
    <row r="427" ht="30" customHeight="1" x14ac:dyDescent="0.3"/>
    <row r="428" ht="30" customHeight="1" x14ac:dyDescent="0.3"/>
    <row r="429" ht="30" customHeight="1" x14ac:dyDescent="0.3"/>
    <row r="430" ht="30" customHeight="1" x14ac:dyDescent="0.3"/>
    <row r="431" ht="30" customHeight="1" x14ac:dyDescent="0.3"/>
    <row r="432" ht="30" customHeight="1" x14ac:dyDescent="0.3"/>
    <row r="433" ht="30" customHeight="1" x14ac:dyDescent="0.3"/>
    <row r="434" ht="30" customHeight="1" x14ac:dyDescent="0.3"/>
    <row r="435" ht="30" customHeight="1" x14ac:dyDescent="0.3"/>
    <row r="436" ht="30" customHeight="1" x14ac:dyDescent="0.3"/>
    <row r="437" ht="30" customHeight="1" x14ac:dyDescent="0.3"/>
    <row r="438" ht="30" customHeight="1" x14ac:dyDescent="0.3"/>
    <row r="439" ht="30" customHeight="1" x14ac:dyDescent="0.3"/>
    <row r="440" ht="30" customHeight="1" x14ac:dyDescent="0.3"/>
    <row r="441" ht="30" customHeight="1" x14ac:dyDescent="0.3"/>
    <row r="442" ht="30" customHeight="1" x14ac:dyDescent="0.3"/>
    <row r="443" ht="30" customHeight="1" x14ac:dyDescent="0.3"/>
    <row r="444" ht="30" customHeight="1" x14ac:dyDescent="0.3"/>
    <row r="445" ht="30" customHeight="1" x14ac:dyDescent="0.3"/>
    <row r="446" ht="30" customHeight="1" x14ac:dyDescent="0.3"/>
    <row r="447" ht="30" customHeight="1" x14ac:dyDescent="0.3"/>
    <row r="448" ht="30" customHeight="1" x14ac:dyDescent="0.3"/>
    <row r="449" ht="30" customHeight="1" x14ac:dyDescent="0.3"/>
    <row r="450" ht="30" customHeight="1" x14ac:dyDescent="0.3"/>
    <row r="451" ht="30" customHeight="1" x14ac:dyDescent="0.3"/>
    <row r="452" ht="30" customHeight="1" x14ac:dyDescent="0.3"/>
    <row r="453" ht="30" customHeight="1" x14ac:dyDescent="0.3"/>
    <row r="454" ht="30" customHeight="1" x14ac:dyDescent="0.3"/>
    <row r="455" ht="30" customHeight="1" x14ac:dyDescent="0.3"/>
    <row r="456" ht="30" customHeight="1" x14ac:dyDescent="0.3"/>
    <row r="457" ht="30" customHeight="1" x14ac:dyDescent="0.3"/>
    <row r="458" ht="30" customHeight="1" x14ac:dyDescent="0.3"/>
    <row r="459" ht="30" customHeight="1" x14ac:dyDescent="0.3"/>
    <row r="460" ht="30" customHeight="1" x14ac:dyDescent="0.3"/>
    <row r="461" ht="30" customHeight="1" x14ac:dyDescent="0.3"/>
    <row r="462" ht="30" customHeight="1" x14ac:dyDescent="0.3"/>
    <row r="463" ht="30" customHeight="1" x14ac:dyDescent="0.3"/>
    <row r="464" ht="30" customHeight="1" x14ac:dyDescent="0.3"/>
    <row r="465" ht="30" customHeight="1" x14ac:dyDescent="0.3"/>
    <row r="466" ht="30" customHeight="1" x14ac:dyDescent="0.3"/>
    <row r="467" ht="30" customHeight="1" x14ac:dyDescent="0.3"/>
    <row r="468" ht="30" customHeight="1" x14ac:dyDescent="0.3"/>
    <row r="469" ht="30" customHeight="1" x14ac:dyDescent="0.3"/>
    <row r="470" ht="30" customHeight="1" x14ac:dyDescent="0.3"/>
    <row r="471" ht="30" customHeight="1" x14ac:dyDescent="0.3"/>
    <row r="472" ht="30" customHeight="1" x14ac:dyDescent="0.3"/>
    <row r="473" ht="30" customHeight="1" x14ac:dyDescent="0.3"/>
    <row r="474" ht="30" customHeight="1" x14ac:dyDescent="0.3"/>
    <row r="475" ht="30" customHeight="1" x14ac:dyDescent="0.3"/>
    <row r="476" ht="30" customHeight="1" x14ac:dyDescent="0.3"/>
    <row r="477" ht="30" customHeight="1" x14ac:dyDescent="0.3"/>
    <row r="478" ht="30" customHeight="1" x14ac:dyDescent="0.3"/>
    <row r="479" ht="30" customHeight="1" x14ac:dyDescent="0.3"/>
    <row r="480" ht="30" customHeight="1" x14ac:dyDescent="0.3"/>
    <row r="481" ht="30" customHeight="1" x14ac:dyDescent="0.3"/>
    <row r="482" ht="30" customHeight="1" x14ac:dyDescent="0.3"/>
    <row r="483" ht="30" customHeight="1" x14ac:dyDescent="0.3"/>
    <row r="484" ht="30" customHeight="1" x14ac:dyDescent="0.3"/>
    <row r="485" ht="30" customHeight="1" x14ac:dyDescent="0.3"/>
    <row r="486" ht="30" customHeight="1" x14ac:dyDescent="0.3"/>
    <row r="487" ht="30" customHeight="1" x14ac:dyDescent="0.3"/>
    <row r="488" ht="30" customHeight="1" x14ac:dyDescent="0.3"/>
    <row r="489" ht="30" customHeight="1" x14ac:dyDescent="0.3"/>
    <row r="490" ht="30" customHeight="1" x14ac:dyDescent="0.3"/>
    <row r="491" ht="30" customHeight="1" x14ac:dyDescent="0.3"/>
    <row r="492" ht="30" customHeight="1" x14ac:dyDescent="0.3"/>
    <row r="493" ht="30" customHeight="1" x14ac:dyDescent="0.3"/>
    <row r="494" ht="30" customHeight="1" x14ac:dyDescent="0.3"/>
    <row r="495" ht="30" customHeight="1" x14ac:dyDescent="0.3"/>
    <row r="496" ht="30" customHeight="1" x14ac:dyDescent="0.3"/>
    <row r="497" ht="30" customHeight="1" x14ac:dyDescent="0.3"/>
    <row r="498" ht="30" customHeight="1" x14ac:dyDescent="0.3"/>
    <row r="499" ht="30" customHeight="1" x14ac:dyDescent="0.3"/>
    <row r="500" ht="30" customHeight="1" x14ac:dyDescent="0.3"/>
    <row r="501" ht="30" customHeight="1" x14ac:dyDescent="0.3"/>
    <row r="502" ht="30" customHeight="1" x14ac:dyDescent="0.3"/>
    <row r="503" ht="30" customHeight="1" x14ac:dyDescent="0.3"/>
    <row r="504" ht="30" customHeight="1" x14ac:dyDescent="0.3"/>
    <row r="505" ht="30" customHeight="1" x14ac:dyDescent="0.3"/>
    <row r="506" ht="30" customHeight="1" x14ac:dyDescent="0.3"/>
    <row r="507" ht="30" customHeight="1" x14ac:dyDescent="0.3"/>
    <row r="508" ht="30" customHeight="1" x14ac:dyDescent="0.3"/>
    <row r="509" ht="30" customHeight="1" x14ac:dyDescent="0.3"/>
    <row r="510" ht="30" customHeight="1" x14ac:dyDescent="0.3"/>
    <row r="511" ht="30" customHeight="1" x14ac:dyDescent="0.3"/>
    <row r="512" ht="30" customHeight="1" x14ac:dyDescent="0.3"/>
    <row r="513" ht="30" customHeight="1" x14ac:dyDescent="0.3"/>
    <row r="514" ht="30" customHeight="1" x14ac:dyDescent="0.3"/>
    <row r="515" ht="30" customHeight="1" x14ac:dyDescent="0.3"/>
    <row r="516" ht="30" customHeight="1" x14ac:dyDescent="0.3"/>
    <row r="517" ht="30" customHeight="1" x14ac:dyDescent="0.3"/>
    <row r="518" ht="30" customHeight="1" x14ac:dyDescent="0.3"/>
    <row r="519" ht="30" customHeight="1" x14ac:dyDescent="0.3"/>
    <row r="520" ht="30" customHeight="1" x14ac:dyDescent="0.3"/>
    <row r="521" ht="30" customHeight="1" x14ac:dyDescent="0.3"/>
    <row r="522" ht="30" customHeight="1" x14ac:dyDescent="0.3"/>
    <row r="523" ht="30" customHeight="1" x14ac:dyDescent="0.3"/>
    <row r="524" ht="30" customHeight="1" x14ac:dyDescent="0.3"/>
    <row r="525" ht="30" customHeight="1" x14ac:dyDescent="0.3"/>
    <row r="526" ht="30" customHeight="1" x14ac:dyDescent="0.3"/>
    <row r="527" ht="30" customHeight="1" x14ac:dyDescent="0.3"/>
    <row r="528" ht="30" customHeight="1" x14ac:dyDescent="0.3"/>
    <row r="529" ht="30" customHeight="1" x14ac:dyDescent="0.3"/>
    <row r="530" ht="30" customHeight="1" x14ac:dyDescent="0.3"/>
  </sheetData>
  <mergeCells count="2">
    <mergeCell ref="E6:G6"/>
    <mergeCell ref="A1:C1"/>
  </mergeCells>
  <phoneticPr fontId="2" type="noConversion"/>
  <conditionalFormatting sqref="J7:J120">
    <cfRule type="expression" dxfId="15" priority="15">
      <formula>#REF!="품절"</formula>
    </cfRule>
    <cfRule type="expression" dxfId="14" priority="16">
      <formula>#REF!="단종"</formula>
    </cfRule>
  </conditionalFormatting>
  <conditionalFormatting sqref="I5:L5 A5:D6 K7:L7 H5:H6 K7:K120">
    <cfRule type="expression" dxfId="13" priority="17">
      <formula>#REF!="품절"</formula>
    </cfRule>
    <cfRule type="expression" dxfId="12" priority="18">
      <formula>#REF!="단종"</formula>
    </cfRule>
  </conditionalFormatting>
  <conditionalFormatting sqref="E5:G5">
    <cfRule type="expression" dxfId="11" priority="1">
      <formula>#REF!="품절"</formula>
    </cfRule>
    <cfRule type="expression" dxfId="10" priority="2">
      <formula>#REF!="단종"</formula>
    </cfRule>
  </conditionalFormatting>
  <conditionalFormatting sqref="E6:L6">
    <cfRule type="expression" dxfId="9" priority="21">
      <formula>#REF!="품절"</formula>
    </cfRule>
    <cfRule type="expression" dxfId="8" priority="22">
      <formula>#REF!="단종"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614D0-B691-4F89-928C-E0BA0A94A671}">
  <dimension ref="A1:K120"/>
  <sheetViews>
    <sheetView zoomScale="85" zoomScaleNormal="85" workbookViewId="0">
      <selection activeCell="N20" sqref="N20"/>
    </sheetView>
  </sheetViews>
  <sheetFormatPr defaultRowHeight="16.5" x14ac:dyDescent="0.3"/>
  <cols>
    <col min="2" max="2" width="15.625" bestFit="1" customWidth="1"/>
    <col min="3" max="3" width="55.375" customWidth="1"/>
    <col min="4" max="4" width="57.5" customWidth="1"/>
    <col min="6" max="6" width="13.75" customWidth="1"/>
    <col min="9" max="9" width="16.875" bestFit="1" customWidth="1"/>
    <col min="10" max="10" width="22.5" bestFit="1" customWidth="1"/>
    <col min="11" max="11" width="20.125" bestFit="1" customWidth="1"/>
  </cols>
  <sheetData>
    <row r="1" spans="1:11" ht="30" customHeight="1" x14ac:dyDescent="0.3">
      <c r="A1" s="22" t="s">
        <v>222</v>
      </c>
      <c r="B1" s="23"/>
      <c r="C1" s="23"/>
      <c r="D1" s="20" t="s">
        <v>223</v>
      </c>
    </row>
    <row r="5" spans="1:11" ht="30" customHeight="1" x14ac:dyDescent="0.3">
      <c r="A5" s="14" t="s">
        <v>0</v>
      </c>
      <c r="B5" s="14" t="s">
        <v>1</v>
      </c>
      <c r="C5" s="14" t="s">
        <v>8</v>
      </c>
      <c r="D5" s="14" t="s">
        <v>2</v>
      </c>
      <c r="E5" s="16" t="s">
        <v>224</v>
      </c>
      <c r="F5" s="16" t="s">
        <v>225</v>
      </c>
      <c r="G5" s="17" t="s">
        <v>226</v>
      </c>
      <c r="H5" s="15" t="s">
        <v>3</v>
      </c>
      <c r="I5" s="18" t="s">
        <v>4</v>
      </c>
      <c r="J5" s="18" t="s">
        <v>5</v>
      </c>
      <c r="K5" s="18" t="s">
        <v>6</v>
      </c>
    </row>
    <row r="6" spans="1:11" ht="30" customHeight="1" x14ac:dyDescent="0.3">
      <c r="A6" s="2"/>
      <c r="B6" s="2"/>
      <c r="C6" s="2"/>
      <c r="D6" s="2"/>
      <c r="E6" s="21" t="s">
        <v>7</v>
      </c>
      <c r="F6" s="21"/>
      <c r="G6" s="21"/>
      <c r="H6" s="2"/>
      <c r="I6" s="3">
        <f>SUM(I7:I120)</f>
        <v>0</v>
      </c>
      <c r="J6" s="4">
        <f>SUM(J7:J120)</f>
        <v>0</v>
      </c>
      <c r="K6" s="5">
        <f>SUM(K7:K120)</f>
        <v>0</v>
      </c>
    </row>
    <row r="7" spans="1:11" ht="30" customHeight="1" x14ac:dyDescent="0.3">
      <c r="A7" s="6">
        <v>1</v>
      </c>
      <c r="B7" s="7">
        <v>8809657115387</v>
      </c>
      <c r="C7" s="6" t="s">
        <v>9</v>
      </c>
      <c r="D7" s="8" t="s">
        <v>10</v>
      </c>
      <c r="E7" s="10">
        <v>11800</v>
      </c>
      <c r="F7" s="10">
        <v>5300</v>
      </c>
      <c r="G7" s="19">
        <f>F7/E7</f>
        <v>0.44915254237288138</v>
      </c>
      <c r="H7" s="9">
        <v>96</v>
      </c>
      <c r="I7" s="11"/>
      <c r="J7" s="12">
        <f>I7*H7</f>
        <v>0</v>
      </c>
      <c r="K7" s="13">
        <f>IF($F7&gt;0,$J7*$F7,"")</f>
        <v>0</v>
      </c>
    </row>
    <row r="8" spans="1:11" ht="30" customHeight="1" x14ac:dyDescent="0.3">
      <c r="A8" s="6">
        <v>2</v>
      </c>
      <c r="B8" s="7">
        <v>8809657114731</v>
      </c>
      <c r="C8" s="6" t="s">
        <v>11</v>
      </c>
      <c r="D8" s="8" t="s">
        <v>12</v>
      </c>
      <c r="E8" s="10">
        <v>15000</v>
      </c>
      <c r="F8" s="10">
        <v>6950</v>
      </c>
      <c r="G8" s="19">
        <f t="shared" ref="G8:G71" si="0">F8/E8</f>
        <v>0.46333333333333332</v>
      </c>
      <c r="H8" s="9">
        <v>30</v>
      </c>
      <c r="I8" s="11"/>
      <c r="J8" s="12">
        <f t="shared" ref="J8:J71" si="1">I8*H8</f>
        <v>0</v>
      </c>
      <c r="K8" s="13">
        <f t="shared" ref="K8:K71" si="2">IF($F8&gt;0,$J8*$F8,"")</f>
        <v>0</v>
      </c>
    </row>
    <row r="9" spans="1:11" ht="30" customHeight="1" x14ac:dyDescent="0.3">
      <c r="A9" s="6">
        <v>3</v>
      </c>
      <c r="B9" s="7">
        <v>8809657114748</v>
      </c>
      <c r="C9" s="6" t="s">
        <v>13</v>
      </c>
      <c r="D9" s="8" t="s">
        <v>14</v>
      </c>
      <c r="E9" s="10">
        <v>30000</v>
      </c>
      <c r="F9" s="10">
        <v>13800</v>
      </c>
      <c r="G9" s="19">
        <f t="shared" si="0"/>
        <v>0.46</v>
      </c>
      <c r="H9" s="9">
        <v>30</v>
      </c>
      <c r="I9" s="11"/>
      <c r="J9" s="12">
        <f t="shared" si="1"/>
        <v>0</v>
      </c>
      <c r="K9" s="13">
        <f t="shared" si="2"/>
        <v>0</v>
      </c>
    </row>
    <row r="10" spans="1:11" ht="30" customHeight="1" x14ac:dyDescent="0.3">
      <c r="A10" s="6">
        <v>4</v>
      </c>
      <c r="B10" s="7">
        <v>8809657114779</v>
      </c>
      <c r="C10" s="6" t="s">
        <v>15</v>
      </c>
      <c r="D10" s="8" t="s">
        <v>16</v>
      </c>
      <c r="E10" s="10">
        <v>20000</v>
      </c>
      <c r="F10" s="10">
        <v>9300</v>
      </c>
      <c r="G10" s="19">
        <f t="shared" si="0"/>
        <v>0.46500000000000002</v>
      </c>
      <c r="H10" s="9">
        <v>30</v>
      </c>
      <c r="I10" s="11"/>
      <c r="J10" s="12">
        <f t="shared" si="1"/>
        <v>0</v>
      </c>
      <c r="K10" s="13">
        <f t="shared" si="2"/>
        <v>0</v>
      </c>
    </row>
    <row r="11" spans="1:11" ht="30" customHeight="1" x14ac:dyDescent="0.3">
      <c r="A11" s="6">
        <v>5</v>
      </c>
      <c r="B11" s="7">
        <v>8809738600245</v>
      </c>
      <c r="C11" s="6" t="s">
        <v>17</v>
      </c>
      <c r="D11" s="8" t="s">
        <v>18</v>
      </c>
      <c r="E11" s="10">
        <v>32000</v>
      </c>
      <c r="F11" s="10">
        <v>12510</v>
      </c>
      <c r="G11" s="19">
        <f t="shared" si="0"/>
        <v>0.39093749999999999</v>
      </c>
      <c r="H11" s="9">
        <v>80</v>
      </c>
      <c r="I11" s="11"/>
      <c r="J11" s="12">
        <f t="shared" si="1"/>
        <v>0</v>
      </c>
      <c r="K11" s="13">
        <f t="shared" si="2"/>
        <v>0</v>
      </c>
    </row>
    <row r="12" spans="1:11" ht="30" customHeight="1" x14ac:dyDescent="0.3">
      <c r="A12" s="6">
        <v>6</v>
      </c>
      <c r="B12" s="7">
        <v>8809738608364</v>
      </c>
      <c r="C12" s="6" t="s">
        <v>19</v>
      </c>
      <c r="D12" s="8" t="s">
        <v>20</v>
      </c>
      <c r="E12" s="10">
        <v>13000</v>
      </c>
      <c r="F12" s="10">
        <v>6090</v>
      </c>
      <c r="G12" s="19">
        <f t="shared" si="0"/>
        <v>0.46846153846153848</v>
      </c>
      <c r="H12" s="9">
        <v>30</v>
      </c>
      <c r="I12" s="11"/>
      <c r="J12" s="12">
        <f t="shared" si="1"/>
        <v>0</v>
      </c>
      <c r="K12" s="13">
        <f t="shared" si="2"/>
        <v>0</v>
      </c>
    </row>
    <row r="13" spans="1:11" ht="30" customHeight="1" x14ac:dyDescent="0.3">
      <c r="A13" s="6">
        <v>7</v>
      </c>
      <c r="B13" s="7">
        <v>8809738605677</v>
      </c>
      <c r="C13" s="6" t="s">
        <v>21</v>
      </c>
      <c r="D13" s="8" t="s">
        <v>22</v>
      </c>
      <c r="E13" s="10">
        <v>23000</v>
      </c>
      <c r="F13" s="10">
        <v>10771</v>
      </c>
      <c r="G13" s="19">
        <f t="shared" si="0"/>
        <v>0.46830434782608693</v>
      </c>
      <c r="H13" s="9">
        <v>30</v>
      </c>
      <c r="I13" s="11"/>
      <c r="J13" s="12">
        <f t="shared" si="1"/>
        <v>0</v>
      </c>
      <c r="K13" s="13">
        <f t="shared" si="2"/>
        <v>0</v>
      </c>
    </row>
    <row r="14" spans="1:11" ht="30" customHeight="1" x14ac:dyDescent="0.3">
      <c r="A14" s="6">
        <v>8</v>
      </c>
      <c r="B14" s="7">
        <v>8809657115639</v>
      </c>
      <c r="C14" s="6" t="s">
        <v>23</v>
      </c>
      <c r="D14" s="8" t="s">
        <v>24</v>
      </c>
      <c r="E14" s="10">
        <v>21000</v>
      </c>
      <c r="F14" s="10">
        <v>9800</v>
      </c>
      <c r="G14" s="19">
        <f t="shared" si="0"/>
        <v>0.46666666666666667</v>
      </c>
      <c r="H14" s="9">
        <v>50</v>
      </c>
      <c r="I14" s="11"/>
      <c r="J14" s="12">
        <f t="shared" si="1"/>
        <v>0</v>
      </c>
      <c r="K14" s="13">
        <f t="shared" si="2"/>
        <v>0</v>
      </c>
    </row>
    <row r="15" spans="1:11" ht="30" customHeight="1" x14ac:dyDescent="0.3">
      <c r="A15" s="6">
        <v>9</v>
      </c>
      <c r="B15" s="7">
        <v>8809657115479</v>
      </c>
      <c r="C15" s="6" t="s">
        <v>25</v>
      </c>
      <c r="D15" s="8" t="s">
        <v>26</v>
      </c>
      <c r="E15" s="10">
        <v>28000</v>
      </c>
      <c r="F15" s="10">
        <v>10350</v>
      </c>
      <c r="G15" s="19">
        <f t="shared" si="0"/>
        <v>0.36964285714285716</v>
      </c>
      <c r="H15" s="9">
        <v>100</v>
      </c>
      <c r="I15" s="11"/>
      <c r="J15" s="12">
        <f t="shared" si="1"/>
        <v>0</v>
      </c>
      <c r="K15" s="13">
        <f t="shared" si="2"/>
        <v>0</v>
      </c>
    </row>
    <row r="16" spans="1:11" ht="30" customHeight="1" x14ac:dyDescent="0.3">
      <c r="A16" s="6">
        <v>10</v>
      </c>
      <c r="B16" s="7">
        <v>8809738604755</v>
      </c>
      <c r="C16" s="6" t="s">
        <v>27</v>
      </c>
      <c r="D16" s="8" t="s">
        <v>28</v>
      </c>
      <c r="E16" s="10">
        <v>17000</v>
      </c>
      <c r="F16" s="10">
        <v>7550.0000000000009</v>
      </c>
      <c r="G16" s="19">
        <f t="shared" si="0"/>
        <v>0.44411764705882356</v>
      </c>
      <c r="H16" s="9">
        <v>30</v>
      </c>
      <c r="I16" s="11"/>
      <c r="J16" s="12">
        <f t="shared" si="1"/>
        <v>0</v>
      </c>
      <c r="K16" s="13">
        <f t="shared" si="2"/>
        <v>0</v>
      </c>
    </row>
    <row r="17" spans="1:11" ht="30" customHeight="1" x14ac:dyDescent="0.3">
      <c r="A17" s="6">
        <v>11</v>
      </c>
      <c r="B17" s="7">
        <v>8809743540710</v>
      </c>
      <c r="C17" s="6" t="s">
        <v>29</v>
      </c>
      <c r="D17" s="8" t="s">
        <v>30</v>
      </c>
      <c r="E17" s="10">
        <v>40000</v>
      </c>
      <c r="F17" s="10">
        <v>11600.000000000002</v>
      </c>
      <c r="G17" s="19">
        <f t="shared" si="0"/>
        <v>0.29000000000000004</v>
      </c>
      <c r="H17" s="9">
        <v>20</v>
      </c>
      <c r="I17" s="11"/>
      <c r="J17" s="12">
        <f t="shared" si="1"/>
        <v>0</v>
      </c>
      <c r="K17" s="13">
        <f t="shared" si="2"/>
        <v>0</v>
      </c>
    </row>
    <row r="18" spans="1:11" ht="30" customHeight="1" x14ac:dyDescent="0.3">
      <c r="A18" s="6">
        <v>12</v>
      </c>
      <c r="B18" s="7">
        <v>8809738591154</v>
      </c>
      <c r="C18" s="6" t="s">
        <v>31</v>
      </c>
      <c r="D18" s="8" t="s">
        <v>32</v>
      </c>
      <c r="E18" s="10">
        <v>32000</v>
      </c>
      <c r="F18" s="10">
        <v>13410</v>
      </c>
      <c r="G18" s="19">
        <f t="shared" si="0"/>
        <v>0.4190625</v>
      </c>
      <c r="H18" s="9">
        <v>30</v>
      </c>
      <c r="I18" s="11"/>
      <c r="J18" s="12">
        <f t="shared" si="1"/>
        <v>0</v>
      </c>
      <c r="K18" s="13">
        <f t="shared" si="2"/>
        <v>0</v>
      </c>
    </row>
    <row r="19" spans="1:11" ht="30" customHeight="1" x14ac:dyDescent="0.3">
      <c r="A19" s="6">
        <v>13</v>
      </c>
      <c r="B19" s="7">
        <v>8809962542755</v>
      </c>
      <c r="C19" s="6" t="s">
        <v>33</v>
      </c>
      <c r="D19" s="8" t="s">
        <v>34</v>
      </c>
      <c r="E19" s="10">
        <v>25000</v>
      </c>
      <c r="F19" s="10">
        <v>11550</v>
      </c>
      <c r="G19" s="19">
        <f t="shared" si="0"/>
        <v>0.46200000000000002</v>
      </c>
      <c r="H19" s="9">
        <v>40</v>
      </c>
      <c r="I19" s="11"/>
      <c r="J19" s="12">
        <f t="shared" si="1"/>
        <v>0</v>
      </c>
      <c r="K19" s="13">
        <f t="shared" si="2"/>
        <v>0</v>
      </c>
    </row>
    <row r="20" spans="1:11" ht="30" customHeight="1" x14ac:dyDescent="0.3">
      <c r="A20" s="6">
        <v>14</v>
      </c>
      <c r="B20" s="7">
        <v>8809743542684</v>
      </c>
      <c r="C20" s="6" t="s">
        <v>35</v>
      </c>
      <c r="D20" s="8" t="s">
        <v>36</v>
      </c>
      <c r="E20" s="10">
        <v>24000</v>
      </c>
      <c r="F20" s="10">
        <v>11261</v>
      </c>
      <c r="G20" s="19">
        <f t="shared" si="0"/>
        <v>0.46920833333333334</v>
      </c>
      <c r="H20" s="9">
        <v>30</v>
      </c>
      <c r="I20" s="11"/>
      <c r="J20" s="12">
        <f t="shared" si="1"/>
        <v>0</v>
      </c>
      <c r="K20" s="13">
        <f t="shared" si="2"/>
        <v>0</v>
      </c>
    </row>
    <row r="21" spans="1:11" ht="30" customHeight="1" x14ac:dyDescent="0.3">
      <c r="A21" s="6">
        <v>15</v>
      </c>
      <c r="B21" s="7">
        <v>8809738599044</v>
      </c>
      <c r="C21" s="6" t="s">
        <v>37</v>
      </c>
      <c r="D21" s="8" t="s">
        <v>38</v>
      </c>
      <c r="E21" s="10">
        <v>15000</v>
      </c>
      <c r="F21" s="10">
        <v>6950</v>
      </c>
      <c r="G21" s="19">
        <f t="shared" si="0"/>
        <v>0.46333333333333332</v>
      </c>
      <c r="H21" s="9">
        <v>30</v>
      </c>
      <c r="I21" s="11"/>
      <c r="J21" s="12">
        <f t="shared" si="1"/>
        <v>0</v>
      </c>
      <c r="K21" s="13">
        <f t="shared" si="2"/>
        <v>0</v>
      </c>
    </row>
    <row r="22" spans="1:11" ht="30" customHeight="1" x14ac:dyDescent="0.3">
      <c r="A22" s="6">
        <v>16</v>
      </c>
      <c r="B22" s="7">
        <v>8809657129247</v>
      </c>
      <c r="C22" s="6" t="s">
        <v>39</v>
      </c>
      <c r="D22" s="8" t="s">
        <v>40</v>
      </c>
      <c r="E22" s="10">
        <v>24000</v>
      </c>
      <c r="F22" s="10">
        <v>11261</v>
      </c>
      <c r="G22" s="19">
        <f t="shared" si="0"/>
        <v>0.46920833333333334</v>
      </c>
      <c r="H22" s="9">
        <v>40</v>
      </c>
      <c r="I22" s="11"/>
      <c r="J22" s="12">
        <f t="shared" si="1"/>
        <v>0</v>
      </c>
      <c r="K22" s="13">
        <f t="shared" si="2"/>
        <v>0</v>
      </c>
    </row>
    <row r="23" spans="1:11" ht="30" customHeight="1" x14ac:dyDescent="0.3">
      <c r="A23" s="6">
        <v>17</v>
      </c>
      <c r="B23" s="7">
        <v>8809657114632</v>
      </c>
      <c r="C23" s="6" t="s">
        <v>41</v>
      </c>
      <c r="D23" s="8" t="s">
        <v>42</v>
      </c>
      <c r="E23" s="10">
        <v>35000</v>
      </c>
      <c r="F23" s="10">
        <v>10840</v>
      </c>
      <c r="G23" s="19">
        <f t="shared" si="0"/>
        <v>0.30971428571428572</v>
      </c>
      <c r="H23" s="9">
        <v>200</v>
      </c>
      <c r="I23" s="11"/>
      <c r="J23" s="12">
        <f t="shared" si="1"/>
        <v>0</v>
      </c>
      <c r="K23" s="13">
        <f t="shared" si="2"/>
        <v>0</v>
      </c>
    </row>
    <row r="24" spans="1:11" ht="30" customHeight="1" x14ac:dyDescent="0.3">
      <c r="A24" s="6">
        <v>18</v>
      </c>
      <c r="B24" s="7">
        <v>8809783321966</v>
      </c>
      <c r="C24" s="6" t="s">
        <v>43</v>
      </c>
      <c r="D24" s="8" t="s">
        <v>44</v>
      </c>
      <c r="E24" s="10">
        <v>15000</v>
      </c>
      <c r="F24" s="10">
        <v>6950</v>
      </c>
      <c r="G24" s="19">
        <f t="shared" si="0"/>
        <v>0.46333333333333332</v>
      </c>
      <c r="H24" s="9">
        <v>50</v>
      </c>
      <c r="I24" s="11"/>
      <c r="J24" s="12">
        <f t="shared" si="1"/>
        <v>0</v>
      </c>
      <c r="K24" s="13">
        <f t="shared" si="2"/>
        <v>0</v>
      </c>
    </row>
    <row r="25" spans="1:11" ht="30" customHeight="1" x14ac:dyDescent="0.3">
      <c r="A25" s="6">
        <v>19</v>
      </c>
      <c r="B25" s="7">
        <v>8809782557298</v>
      </c>
      <c r="C25" s="6" t="s">
        <v>45</v>
      </c>
      <c r="D25" s="8" t="s">
        <v>46</v>
      </c>
      <c r="E25" s="10">
        <v>25000</v>
      </c>
      <c r="F25" s="10">
        <v>11550</v>
      </c>
      <c r="G25" s="19">
        <f t="shared" si="0"/>
        <v>0.46200000000000002</v>
      </c>
      <c r="H25" s="9">
        <v>50</v>
      </c>
      <c r="I25" s="11"/>
      <c r="J25" s="12">
        <f t="shared" si="1"/>
        <v>0</v>
      </c>
      <c r="K25" s="13">
        <f t="shared" si="2"/>
        <v>0</v>
      </c>
    </row>
    <row r="26" spans="1:11" ht="30" customHeight="1" x14ac:dyDescent="0.3">
      <c r="A26" s="6">
        <v>20</v>
      </c>
      <c r="B26" s="7">
        <v>8809875901120</v>
      </c>
      <c r="C26" s="6" t="s">
        <v>47</v>
      </c>
      <c r="D26" s="8" t="s">
        <v>48</v>
      </c>
      <c r="E26" s="10">
        <v>18000</v>
      </c>
      <c r="F26" s="10">
        <v>7360</v>
      </c>
      <c r="G26" s="19">
        <f t="shared" si="0"/>
        <v>0.40888888888888891</v>
      </c>
      <c r="H26" s="9">
        <v>30</v>
      </c>
      <c r="I26" s="11"/>
      <c r="J26" s="12">
        <f t="shared" si="1"/>
        <v>0</v>
      </c>
      <c r="K26" s="13">
        <f t="shared" si="2"/>
        <v>0</v>
      </c>
    </row>
    <row r="27" spans="1:11" ht="30" customHeight="1" x14ac:dyDescent="0.3">
      <c r="A27" s="6">
        <v>21</v>
      </c>
      <c r="B27" s="7">
        <v>8809738607343</v>
      </c>
      <c r="C27" s="6" t="s">
        <v>49</v>
      </c>
      <c r="D27" s="8" t="s">
        <v>50</v>
      </c>
      <c r="E27" s="10">
        <v>18000</v>
      </c>
      <c r="F27" s="10">
        <v>6580</v>
      </c>
      <c r="G27" s="19">
        <f t="shared" si="0"/>
        <v>0.36555555555555558</v>
      </c>
      <c r="H27" s="9">
        <v>30</v>
      </c>
      <c r="I27" s="11"/>
      <c r="J27" s="12">
        <f t="shared" si="1"/>
        <v>0</v>
      </c>
      <c r="K27" s="13">
        <f t="shared" si="2"/>
        <v>0</v>
      </c>
    </row>
    <row r="28" spans="1:11" ht="30" customHeight="1" x14ac:dyDescent="0.3">
      <c r="A28" s="6">
        <v>22</v>
      </c>
      <c r="B28" s="7">
        <v>8809657114243</v>
      </c>
      <c r="C28" s="6" t="s">
        <v>51</v>
      </c>
      <c r="D28" s="8" t="s">
        <v>52</v>
      </c>
      <c r="E28" s="10">
        <v>35000</v>
      </c>
      <c r="F28" s="10">
        <v>15040</v>
      </c>
      <c r="G28" s="19">
        <f t="shared" si="0"/>
        <v>0.42971428571428572</v>
      </c>
      <c r="H28" s="9">
        <v>30</v>
      </c>
      <c r="I28" s="11"/>
      <c r="J28" s="12">
        <f t="shared" si="1"/>
        <v>0</v>
      </c>
      <c r="K28" s="13">
        <f t="shared" si="2"/>
        <v>0</v>
      </c>
    </row>
    <row r="29" spans="1:11" ht="30" customHeight="1" x14ac:dyDescent="0.3">
      <c r="A29" s="6">
        <v>23</v>
      </c>
      <c r="B29" s="7">
        <v>8809962540270</v>
      </c>
      <c r="C29" s="6" t="s">
        <v>53</v>
      </c>
      <c r="D29" s="8" t="s">
        <v>54</v>
      </c>
      <c r="E29" s="10">
        <v>25000</v>
      </c>
      <c r="F29" s="10">
        <v>8310</v>
      </c>
      <c r="G29" s="19">
        <f t="shared" si="0"/>
        <v>0.33239999999999997</v>
      </c>
      <c r="H29" s="9">
        <v>20</v>
      </c>
      <c r="I29" s="11"/>
      <c r="J29" s="12">
        <f t="shared" si="1"/>
        <v>0</v>
      </c>
      <c r="K29" s="13">
        <f t="shared" si="2"/>
        <v>0</v>
      </c>
    </row>
    <row r="30" spans="1:11" ht="30" customHeight="1" x14ac:dyDescent="0.3">
      <c r="A30" s="6">
        <v>24</v>
      </c>
      <c r="B30" s="7">
        <v>8809962541253</v>
      </c>
      <c r="C30" s="6" t="s">
        <v>55</v>
      </c>
      <c r="D30" s="8" t="s">
        <v>56</v>
      </c>
      <c r="E30" s="10">
        <v>5000</v>
      </c>
      <c r="F30" s="10">
        <v>2550</v>
      </c>
      <c r="G30" s="19">
        <f t="shared" si="0"/>
        <v>0.51</v>
      </c>
      <c r="H30" s="9">
        <v>60</v>
      </c>
      <c r="I30" s="11"/>
      <c r="J30" s="12">
        <f t="shared" si="1"/>
        <v>0</v>
      </c>
      <c r="K30" s="13">
        <f t="shared" si="2"/>
        <v>0</v>
      </c>
    </row>
    <row r="31" spans="1:11" ht="30" customHeight="1" x14ac:dyDescent="0.3">
      <c r="A31" s="6">
        <v>25</v>
      </c>
      <c r="B31" s="7">
        <v>8809738600214</v>
      </c>
      <c r="C31" s="6" t="s">
        <v>57</v>
      </c>
      <c r="D31" s="8" t="s">
        <v>58</v>
      </c>
      <c r="E31" s="10">
        <v>24000</v>
      </c>
      <c r="F31" s="10">
        <v>9300</v>
      </c>
      <c r="G31" s="19">
        <f t="shared" si="0"/>
        <v>0.38750000000000001</v>
      </c>
      <c r="H31" s="9">
        <v>40</v>
      </c>
      <c r="I31" s="11"/>
      <c r="J31" s="12">
        <f t="shared" si="1"/>
        <v>0</v>
      </c>
      <c r="K31" s="13">
        <f t="shared" si="2"/>
        <v>0</v>
      </c>
    </row>
    <row r="32" spans="1:11" ht="30" customHeight="1" x14ac:dyDescent="0.3">
      <c r="A32" s="6">
        <v>26</v>
      </c>
      <c r="B32" s="7">
        <v>8809738600221</v>
      </c>
      <c r="C32" s="6" t="s">
        <v>59</v>
      </c>
      <c r="D32" s="8" t="s">
        <v>60</v>
      </c>
      <c r="E32" s="10">
        <v>32000</v>
      </c>
      <c r="F32" s="10">
        <v>12350</v>
      </c>
      <c r="G32" s="19">
        <f t="shared" si="0"/>
        <v>0.38593749999999999</v>
      </c>
      <c r="H32" s="9">
        <v>80</v>
      </c>
      <c r="I32" s="11"/>
      <c r="J32" s="12">
        <f t="shared" si="1"/>
        <v>0</v>
      </c>
      <c r="K32" s="13">
        <f t="shared" si="2"/>
        <v>0</v>
      </c>
    </row>
    <row r="33" spans="1:11" ht="30" customHeight="1" x14ac:dyDescent="0.3">
      <c r="A33" s="6">
        <v>27</v>
      </c>
      <c r="B33" s="7">
        <v>8809738600238</v>
      </c>
      <c r="C33" s="6" t="s">
        <v>61</v>
      </c>
      <c r="D33" s="8" t="s">
        <v>62</v>
      </c>
      <c r="E33" s="10">
        <v>15000</v>
      </c>
      <c r="F33" s="10">
        <v>6200</v>
      </c>
      <c r="G33" s="19">
        <f t="shared" si="0"/>
        <v>0.41333333333333333</v>
      </c>
      <c r="H33" s="9">
        <v>30</v>
      </c>
      <c r="I33" s="11"/>
      <c r="J33" s="12">
        <f t="shared" si="1"/>
        <v>0</v>
      </c>
      <c r="K33" s="13">
        <f t="shared" si="2"/>
        <v>0</v>
      </c>
    </row>
    <row r="34" spans="1:11" ht="30" customHeight="1" x14ac:dyDescent="0.3">
      <c r="A34" s="6">
        <v>28</v>
      </c>
      <c r="B34" s="7">
        <v>8809738604762</v>
      </c>
      <c r="C34" s="6" t="s">
        <v>63</v>
      </c>
      <c r="D34" s="8" t="s">
        <v>64</v>
      </c>
      <c r="E34" s="10">
        <v>23000</v>
      </c>
      <c r="F34" s="10">
        <v>9020</v>
      </c>
      <c r="G34" s="19">
        <f t="shared" si="0"/>
        <v>0.39217391304347826</v>
      </c>
      <c r="H34" s="9">
        <v>30</v>
      </c>
      <c r="I34" s="11"/>
      <c r="J34" s="12">
        <f t="shared" si="1"/>
        <v>0</v>
      </c>
      <c r="K34" s="13">
        <f t="shared" si="2"/>
        <v>0</v>
      </c>
    </row>
    <row r="35" spans="1:11" ht="30" customHeight="1" x14ac:dyDescent="0.3">
      <c r="A35" s="6">
        <v>29</v>
      </c>
      <c r="B35" s="7">
        <v>8809782553009</v>
      </c>
      <c r="C35" s="6" t="s">
        <v>65</v>
      </c>
      <c r="D35" s="8" t="s">
        <v>66</v>
      </c>
      <c r="E35" s="10">
        <v>28000</v>
      </c>
      <c r="F35" s="10">
        <v>10710</v>
      </c>
      <c r="G35" s="19">
        <f t="shared" si="0"/>
        <v>0.38250000000000001</v>
      </c>
      <c r="H35" s="9">
        <v>70</v>
      </c>
      <c r="I35" s="11"/>
      <c r="J35" s="12">
        <f t="shared" si="1"/>
        <v>0</v>
      </c>
      <c r="K35" s="13">
        <f t="shared" si="2"/>
        <v>0</v>
      </c>
    </row>
    <row r="36" spans="1:11" ht="30" customHeight="1" x14ac:dyDescent="0.3">
      <c r="A36" s="6">
        <v>30</v>
      </c>
      <c r="B36" s="7">
        <v>8809614958712</v>
      </c>
      <c r="C36" s="6" t="s">
        <v>67</v>
      </c>
      <c r="D36" s="8" t="s">
        <v>68</v>
      </c>
      <c r="E36" s="10">
        <v>25000</v>
      </c>
      <c r="F36" s="10">
        <v>10450</v>
      </c>
      <c r="G36" s="19">
        <f t="shared" si="0"/>
        <v>0.41799999999999998</v>
      </c>
      <c r="H36" s="9">
        <v>40</v>
      </c>
      <c r="I36" s="11"/>
      <c r="J36" s="12">
        <f t="shared" si="1"/>
        <v>0</v>
      </c>
      <c r="K36" s="13">
        <f t="shared" si="2"/>
        <v>0</v>
      </c>
    </row>
    <row r="37" spans="1:11" ht="30" customHeight="1" x14ac:dyDescent="0.3">
      <c r="A37" s="6">
        <v>31</v>
      </c>
      <c r="B37" s="7">
        <v>8809782551814</v>
      </c>
      <c r="C37" s="6" t="s">
        <v>69</v>
      </c>
      <c r="D37" s="8" t="s">
        <v>70</v>
      </c>
      <c r="E37" s="10">
        <v>25000</v>
      </c>
      <c r="F37" s="10">
        <v>9700</v>
      </c>
      <c r="G37" s="19">
        <f t="shared" si="0"/>
        <v>0.38800000000000001</v>
      </c>
      <c r="H37" s="9">
        <v>60</v>
      </c>
      <c r="I37" s="11"/>
      <c r="J37" s="12">
        <f t="shared" si="1"/>
        <v>0</v>
      </c>
      <c r="K37" s="13">
        <f t="shared" si="2"/>
        <v>0</v>
      </c>
    </row>
    <row r="38" spans="1:11" ht="30" customHeight="1" x14ac:dyDescent="0.3">
      <c r="A38" s="6">
        <v>32</v>
      </c>
      <c r="B38" s="7">
        <v>8809624723157</v>
      </c>
      <c r="C38" s="6" t="s">
        <v>71</v>
      </c>
      <c r="D38" s="8" t="s">
        <v>72</v>
      </c>
      <c r="E38" s="10">
        <v>30000</v>
      </c>
      <c r="F38" s="10">
        <v>9800</v>
      </c>
      <c r="G38" s="19">
        <f t="shared" si="0"/>
        <v>0.32666666666666666</v>
      </c>
      <c r="H38" s="9">
        <v>40</v>
      </c>
      <c r="I38" s="11"/>
      <c r="J38" s="12">
        <f t="shared" si="1"/>
        <v>0</v>
      </c>
      <c r="K38" s="13">
        <f t="shared" si="2"/>
        <v>0</v>
      </c>
    </row>
    <row r="39" spans="1:11" ht="30" customHeight="1" x14ac:dyDescent="0.3">
      <c r="A39" s="6">
        <v>33</v>
      </c>
      <c r="B39" s="7">
        <v>8809638307701</v>
      </c>
      <c r="C39" s="6" t="s">
        <v>73</v>
      </c>
      <c r="D39" s="8" t="s">
        <v>74</v>
      </c>
      <c r="E39" s="10">
        <v>12000</v>
      </c>
      <c r="F39" s="10">
        <v>5240</v>
      </c>
      <c r="G39" s="19">
        <f t="shared" si="0"/>
        <v>0.43666666666666665</v>
      </c>
      <c r="H39" s="9">
        <v>40</v>
      </c>
      <c r="I39" s="11"/>
      <c r="J39" s="12">
        <f t="shared" si="1"/>
        <v>0</v>
      </c>
      <c r="K39" s="13">
        <f t="shared" si="2"/>
        <v>0</v>
      </c>
    </row>
    <row r="40" spans="1:11" ht="30" customHeight="1" x14ac:dyDescent="0.3">
      <c r="A40" s="6">
        <v>34</v>
      </c>
      <c r="B40" s="7">
        <v>8809864769977</v>
      </c>
      <c r="C40" s="6" t="s">
        <v>75</v>
      </c>
      <c r="D40" s="8" t="s">
        <v>76</v>
      </c>
      <c r="E40" s="10">
        <v>25000</v>
      </c>
      <c r="F40" s="10">
        <v>9700</v>
      </c>
      <c r="G40" s="19">
        <f t="shared" si="0"/>
        <v>0.38800000000000001</v>
      </c>
      <c r="H40" s="9">
        <v>60</v>
      </c>
      <c r="I40" s="11"/>
      <c r="J40" s="12">
        <f t="shared" si="1"/>
        <v>0</v>
      </c>
      <c r="K40" s="13">
        <f t="shared" si="2"/>
        <v>0</v>
      </c>
    </row>
    <row r="41" spans="1:11" ht="30" customHeight="1" x14ac:dyDescent="0.3">
      <c r="A41" s="6">
        <v>35</v>
      </c>
      <c r="B41" s="7">
        <v>8809782558523</v>
      </c>
      <c r="C41" s="6" t="s">
        <v>77</v>
      </c>
      <c r="D41" s="8" t="s">
        <v>78</v>
      </c>
      <c r="E41" s="10">
        <v>25000</v>
      </c>
      <c r="F41" s="10">
        <v>9700</v>
      </c>
      <c r="G41" s="19">
        <f t="shared" si="0"/>
        <v>0.38800000000000001</v>
      </c>
      <c r="H41" s="9">
        <v>60</v>
      </c>
      <c r="I41" s="11"/>
      <c r="J41" s="12">
        <f t="shared" si="1"/>
        <v>0</v>
      </c>
      <c r="K41" s="13">
        <f t="shared" si="2"/>
        <v>0</v>
      </c>
    </row>
    <row r="42" spans="1:11" ht="30" customHeight="1" x14ac:dyDescent="0.3">
      <c r="A42" s="6">
        <v>36</v>
      </c>
      <c r="B42" s="7">
        <v>8809875904459</v>
      </c>
      <c r="C42" s="6" t="s">
        <v>79</v>
      </c>
      <c r="D42" s="8" t="s">
        <v>80</v>
      </c>
      <c r="E42" s="10">
        <v>24000</v>
      </c>
      <c r="F42" s="10">
        <v>8910</v>
      </c>
      <c r="G42" s="19">
        <f t="shared" si="0"/>
        <v>0.37125000000000002</v>
      </c>
      <c r="H42" s="9">
        <v>60</v>
      </c>
      <c r="I42" s="11"/>
      <c r="J42" s="12">
        <f t="shared" si="1"/>
        <v>0</v>
      </c>
      <c r="K42" s="13">
        <f t="shared" si="2"/>
        <v>0</v>
      </c>
    </row>
    <row r="43" spans="1:11" ht="30" customHeight="1" x14ac:dyDescent="0.3">
      <c r="A43" s="6">
        <v>37</v>
      </c>
      <c r="B43" s="7">
        <v>8809782556628</v>
      </c>
      <c r="C43" s="6" t="s">
        <v>81</v>
      </c>
      <c r="D43" s="8" t="s">
        <v>82</v>
      </c>
      <c r="E43" s="10">
        <v>24000</v>
      </c>
      <c r="F43" s="10">
        <v>9410</v>
      </c>
      <c r="G43" s="19">
        <f t="shared" si="0"/>
        <v>0.39208333333333334</v>
      </c>
      <c r="H43" s="9">
        <v>100</v>
      </c>
      <c r="I43" s="11"/>
      <c r="J43" s="12">
        <f t="shared" si="1"/>
        <v>0</v>
      </c>
      <c r="K43" s="13">
        <f t="shared" si="2"/>
        <v>0</v>
      </c>
    </row>
    <row r="44" spans="1:11" ht="30" customHeight="1" x14ac:dyDescent="0.3">
      <c r="A44" s="6">
        <v>38</v>
      </c>
      <c r="B44" s="7">
        <v>8809864759480</v>
      </c>
      <c r="C44" s="6" t="s">
        <v>83</v>
      </c>
      <c r="D44" s="8" t="s">
        <v>84</v>
      </c>
      <c r="E44" s="10">
        <v>28000</v>
      </c>
      <c r="F44" s="10">
        <v>9550</v>
      </c>
      <c r="G44" s="19">
        <f t="shared" si="0"/>
        <v>0.34107142857142858</v>
      </c>
      <c r="H44" s="9">
        <v>60</v>
      </c>
      <c r="I44" s="11"/>
      <c r="J44" s="12">
        <f t="shared" si="1"/>
        <v>0</v>
      </c>
      <c r="K44" s="13">
        <f t="shared" si="2"/>
        <v>0</v>
      </c>
    </row>
    <row r="45" spans="1:11" ht="30" customHeight="1" x14ac:dyDescent="0.3">
      <c r="A45" s="6">
        <v>39</v>
      </c>
      <c r="B45" s="7">
        <v>8809614958057</v>
      </c>
      <c r="C45" s="6" t="s">
        <v>85</v>
      </c>
      <c r="D45" s="8" t="s">
        <v>86</v>
      </c>
      <c r="E45" s="10">
        <v>22000</v>
      </c>
      <c r="F45" s="10">
        <v>8800</v>
      </c>
      <c r="G45" s="19">
        <f t="shared" si="0"/>
        <v>0.4</v>
      </c>
      <c r="H45" s="9">
        <v>40</v>
      </c>
      <c r="I45" s="11"/>
      <c r="J45" s="12">
        <f t="shared" si="1"/>
        <v>0</v>
      </c>
      <c r="K45" s="13">
        <f t="shared" si="2"/>
        <v>0</v>
      </c>
    </row>
    <row r="46" spans="1:11" ht="30" customHeight="1" x14ac:dyDescent="0.3">
      <c r="A46" s="6">
        <v>40</v>
      </c>
      <c r="B46" s="7">
        <v>8809962540713</v>
      </c>
      <c r="C46" s="6" t="s">
        <v>87</v>
      </c>
      <c r="D46" s="8" t="s">
        <v>88</v>
      </c>
      <c r="E46" s="10" t="s">
        <v>220</v>
      </c>
      <c r="F46" s="10">
        <v>3090</v>
      </c>
      <c r="G46" s="19" t="e">
        <f t="shared" si="0"/>
        <v>#VALUE!</v>
      </c>
      <c r="H46" s="9">
        <v>80</v>
      </c>
      <c r="I46" s="11"/>
      <c r="J46" s="12">
        <f t="shared" si="1"/>
        <v>0</v>
      </c>
      <c r="K46" s="13">
        <f t="shared" si="2"/>
        <v>0</v>
      </c>
    </row>
    <row r="47" spans="1:11" ht="30" customHeight="1" x14ac:dyDescent="0.3">
      <c r="A47" s="6">
        <v>41</v>
      </c>
      <c r="B47" s="7">
        <v>8809962540287</v>
      </c>
      <c r="C47" s="6" t="s">
        <v>89</v>
      </c>
      <c r="D47" s="8" t="s">
        <v>90</v>
      </c>
      <c r="E47" s="10">
        <v>25000</v>
      </c>
      <c r="F47" s="10">
        <v>8310</v>
      </c>
      <c r="G47" s="19">
        <f t="shared" si="0"/>
        <v>0.33239999999999997</v>
      </c>
      <c r="H47" s="9">
        <v>20</v>
      </c>
      <c r="I47" s="11"/>
      <c r="J47" s="12">
        <f t="shared" si="1"/>
        <v>0</v>
      </c>
      <c r="K47" s="13">
        <f t="shared" si="2"/>
        <v>0</v>
      </c>
    </row>
    <row r="48" spans="1:11" ht="30" customHeight="1" x14ac:dyDescent="0.3">
      <c r="A48" s="6">
        <v>42</v>
      </c>
      <c r="B48" s="7">
        <v>8809962542397</v>
      </c>
      <c r="C48" s="6" t="s">
        <v>91</v>
      </c>
      <c r="D48" s="8" t="s">
        <v>92</v>
      </c>
      <c r="E48" s="10">
        <v>30000</v>
      </c>
      <c r="F48" s="10">
        <v>9800</v>
      </c>
      <c r="G48" s="19">
        <f t="shared" si="0"/>
        <v>0.32666666666666666</v>
      </c>
      <c r="H48" s="9">
        <v>30</v>
      </c>
      <c r="I48" s="11"/>
      <c r="J48" s="12">
        <f t="shared" si="1"/>
        <v>0</v>
      </c>
      <c r="K48" s="13">
        <f t="shared" si="2"/>
        <v>0</v>
      </c>
    </row>
    <row r="49" spans="1:11" ht="30" customHeight="1" x14ac:dyDescent="0.3">
      <c r="A49" s="6">
        <v>43</v>
      </c>
      <c r="B49" s="7">
        <v>8809962542489</v>
      </c>
      <c r="C49" s="6" t="s">
        <v>93</v>
      </c>
      <c r="D49" s="8" t="s">
        <v>94</v>
      </c>
      <c r="E49" s="10">
        <v>19000</v>
      </c>
      <c r="F49" s="10">
        <v>8700</v>
      </c>
      <c r="G49" s="19">
        <f t="shared" si="0"/>
        <v>0.45789473684210524</v>
      </c>
      <c r="H49" s="9">
        <v>100</v>
      </c>
      <c r="I49" s="11"/>
      <c r="J49" s="12">
        <f t="shared" si="1"/>
        <v>0</v>
      </c>
      <c r="K49" s="13">
        <f t="shared" si="2"/>
        <v>0</v>
      </c>
    </row>
    <row r="50" spans="1:11" ht="30" customHeight="1" x14ac:dyDescent="0.3">
      <c r="A50" s="6">
        <v>44</v>
      </c>
      <c r="B50" s="7">
        <v>8809962542496</v>
      </c>
      <c r="C50" s="6" t="s">
        <v>95</v>
      </c>
      <c r="D50" s="8" t="s">
        <v>96</v>
      </c>
      <c r="E50" s="10">
        <v>23000</v>
      </c>
      <c r="F50" s="10">
        <v>9900</v>
      </c>
      <c r="G50" s="19">
        <f t="shared" si="0"/>
        <v>0.43043478260869567</v>
      </c>
      <c r="H50" s="9">
        <v>50</v>
      </c>
      <c r="I50" s="11"/>
      <c r="J50" s="12">
        <f t="shared" si="1"/>
        <v>0</v>
      </c>
      <c r="K50" s="13">
        <f t="shared" si="2"/>
        <v>0</v>
      </c>
    </row>
    <row r="51" spans="1:11" ht="30" customHeight="1" x14ac:dyDescent="0.3">
      <c r="A51" s="6">
        <v>45</v>
      </c>
      <c r="B51" s="7">
        <v>8809738605714</v>
      </c>
      <c r="C51" s="6" t="s">
        <v>97</v>
      </c>
      <c r="D51" s="8" t="s">
        <v>98</v>
      </c>
      <c r="E51" s="10">
        <v>24000</v>
      </c>
      <c r="F51" s="10">
        <v>9300</v>
      </c>
      <c r="G51" s="19">
        <f t="shared" si="0"/>
        <v>0.38750000000000001</v>
      </c>
      <c r="H51" s="9">
        <v>40</v>
      </c>
      <c r="I51" s="11"/>
      <c r="J51" s="12">
        <f t="shared" si="1"/>
        <v>0</v>
      </c>
      <c r="K51" s="13">
        <f t="shared" si="2"/>
        <v>0</v>
      </c>
    </row>
    <row r="52" spans="1:11" ht="30" customHeight="1" x14ac:dyDescent="0.3">
      <c r="A52" s="6">
        <v>46</v>
      </c>
      <c r="B52" s="7">
        <v>8809738605721</v>
      </c>
      <c r="C52" s="6" t="s">
        <v>99</v>
      </c>
      <c r="D52" s="8" t="s">
        <v>100</v>
      </c>
      <c r="E52" s="10">
        <v>32000</v>
      </c>
      <c r="F52" s="10">
        <v>12350</v>
      </c>
      <c r="G52" s="19">
        <f t="shared" si="0"/>
        <v>0.38593749999999999</v>
      </c>
      <c r="H52" s="9">
        <v>80</v>
      </c>
      <c r="I52" s="11"/>
      <c r="J52" s="12">
        <f t="shared" si="1"/>
        <v>0</v>
      </c>
      <c r="K52" s="13">
        <f t="shared" si="2"/>
        <v>0</v>
      </c>
    </row>
    <row r="53" spans="1:11" ht="30" customHeight="1" x14ac:dyDescent="0.3">
      <c r="A53" s="6">
        <v>47</v>
      </c>
      <c r="B53" s="7">
        <v>8809738593080</v>
      </c>
      <c r="C53" s="6" t="s">
        <v>101</v>
      </c>
      <c r="D53" s="8" t="s">
        <v>102</v>
      </c>
      <c r="E53" s="10">
        <v>15000</v>
      </c>
      <c r="F53" s="10">
        <v>6200</v>
      </c>
      <c r="G53" s="19">
        <f t="shared" si="0"/>
        <v>0.41333333333333333</v>
      </c>
      <c r="H53" s="9">
        <v>30</v>
      </c>
      <c r="I53" s="11"/>
      <c r="J53" s="12">
        <f t="shared" si="1"/>
        <v>0</v>
      </c>
      <c r="K53" s="13">
        <f t="shared" si="2"/>
        <v>0</v>
      </c>
    </row>
    <row r="54" spans="1:11" ht="30" customHeight="1" x14ac:dyDescent="0.3">
      <c r="A54" s="6">
        <v>48</v>
      </c>
      <c r="B54" s="7">
        <v>8809738593103</v>
      </c>
      <c r="C54" s="6" t="s">
        <v>103</v>
      </c>
      <c r="D54" s="8" t="s">
        <v>104</v>
      </c>
      <c r="E54" s="10">
        <v>28000</v>
      </c>
      <c r="F54" s="10">
        <v>10710</v>
      </c>
      <c r="G54" s="19">
        <f t="shared" si="0"/>
        <v>0.38250000000000001</v>
      </c>
      <c r="H54" s="9">
        <v>70</v>
      </c>
      <c r="I54" s="11"/>
      <c r="J54" s="12">
        <f t="shared" si="1"/>
        <v>0</v>
      </c>
      <c r="K54" s="13">
        <f t="shared" si="2"/>
        <v>0</v>
      </c>
    </row>
    <row r="55" spans="1:11" ht="30" customHeight="1" x14ac:dyDescent="0.3">
      <c r="A55" s="6">
        <v>49</v>
      </c>
      <c r="B55" s="7">
        <v>8809743544176</v>
      </c>
      <c r="C55" s="6" t="s">
        <v>105</v>
      </c>
      <c r="D55" s="8" t="s">
        <v>106</v>
      </c>
      <c r="E55" s="10">
        <v>10500</v>
      </c>
      <c r="F55" s="10">
        <v>5230</v>
      </c>
      <c r="G55" s="19">
        <f t="shared" si="0"/>
        <v>0.49809523809523809</v>
      </c>
      <c r="H55" s="9">
        <v>40</v>
      </c>
      <c r="I55" s="11"/>
      <c r="J55" s="12">
        <f t="shared" si="1"/>
        <v>0</v>
      </c>
      <c r="K55" s="13">
        <f t="shared" si="2"/>
        <v>0</v>
      </c>
    </row>
    <row r="56" spans="1:11" ht="30" customHeight="1" x14ac:dyDescent="0.3">
      <c r="A56" s="6">
        <v>50</v>
      </c>
      <c r="B56" s="7">
        <v>8809624723140</v>
      </c>
      <c r="C56" s="6" t="s">
        <v>107</v>
      </c>
      <c r="D56" s="8" t="s">
        <v>108</v>
      </c>
      <c r="E56" s="10">
        <v>30000</v>
      </c>
      <c r="F56" s="10">
        <v>9800</v>
      </c>
      <c r="G56" s="19">
        <f t="shared" si="0"/>
        <v>0.32666666666666666</v>
      </c>
      <c r="H56" s="9">
        <v>40</v>
      </c>
      <c r="I56" s="11"/>
      <c r="J56" s="12">
        <f t="shared" si="1"/>
        <v>0</v>
      </c>
      <c r="K56" s="13">
        <f t="shared" si="2"/>
        <v>0</v>
      </c>
    </row>
    <row r="57" spans="1:11" ht="30" customHeight="1" x14ac:dyDescent="0.3">
      <c r="A57" s="6">
        <v>51</v>
      </c>
      <c r="B57" s="7">
        <v>8809738593240</v>
      </c>
      <c r="C57" s="6" t="s">
        <v>109</v>
      </c>
      <c r="D57" s="8" t="s">
        <v>110</v>
      </c>
      <c r="E57" s="10">
        <v>28000</v>
      </c>
      <c r="F57" s="10">
        <v>10710</v>
      </c>
      <c r="G57" s="19">
        <f t="shared" si="0"/>
        <v>0.38250000000000001</v>
      </c>
      <c r="H57" s="9">
        <v>70</v>
      </c>
      <c r="I57" s="11"/>
      <c r="J57" s="12">
        <f t="shared" si="1"/>
        <v>0</v>
      </c>
      <c r="K57" s="13">
        <f t="shared" si="2"/>
        <v>0</v>
      </c>
    </row>
    <row r="58" spans="1:11" ht="30" customHeight="1" x14ac:dyDescent="0.3">
      <c r="A58" s="6">
        <v>52</v>
      </c>
      <c r="B58" s="7">
        <v>8809624723133</v>
      </c>
      <c r="C58" s="6" t="s">
        <v>111</v>
      </c>
      <c r="D58" s="8" t="s">
        <v>112</v>
      </c>
      <c r="E58" s="10">
        <v>30000</v>
      </c>
      <c r="F58" s="10">
        <v>9800</v>
      </c>
      <c r="G58" s="19">
        <f t="shared" si="0"/>
        <v>0.32666666666666666</v>
      </c>
      <c r="H58" s="9">
        <v>40</v>
      </c>
      <c r="I58" s="11"/>
      <c r="J58" s="12">
        <f t="shared" si="1"/>
        <v>0</v>
      </c>
      <c r="K58" s="13">
        <f t="shared" si="2"/>
        <v>0</v>
      </c>
    </row>
    <row r="59" spans="1:11" ht="30" customHeight="1" x14ac:dyDescent="0.3">
      <c r="A59" s="6">
        <v>53</v>
      </c>
      <c r="B59" s="7">
        <v>8809624726370</v>
      </c>
      <c r="C59" s="6" t="s">
        <v>113</v>
      </c>
      <c r="D59" s="8" t="s">
        <v>114</v>
      </c>
      <c r="E59" s="10">
        <v>24000</v>
      </c>
      <c r="F59" s="10">
        <v>9300</v>
      </c>
      <c r="G59" s="19">
        <f t="shared" si="0"/>
        <v>0.38750000000000001</v>
      </c>
      <c r="H59" s="9">
        <v>40</v>
      </c>
      <c r="I59" s="11"/>
      <c r="J59" s="12">
        <f t="shared" si="1"/>
        <v>0</v>
      </c>
      <c r="K59" s="13">
        <f t="shared" si="2"/>
        <v>0</v>
      </c>
    </row>
    <row r="60" spans="1:11" ht="30" customHeight="1" x14ac:dyDescent="0.3">
      <c r="A60" s="6">
        <v>54</v>
      </c>
      <c r="B60" s="7">
        <v>8809624726417</v>
      </c>
      <c r="C60" s="6" t="s">
        <v>115</v>
      </c>
      <c r="D60" s="8" t="s">
        <v>116</v>
      </c>
      <c r="E60" s="10">
        <v>32000</v>
      </c>
      <c r="F60" s="10">
        <v>12350</v>
      </c>
      <c r="G60" s="19">
        <f t="shared" si="0"/>
        <v>0.38593749999999999</v>
      </c>
      <c r="H60" s="9">
        <v>80</v>
      </c>
      <c r="I60" s="11"/>
      <c r="J60" s="12">
        <f t="shared" si="1"/>
        <v>0</v>
      </c>
      <c r="K60" s="13">
        <f t="shared" si="2"/>
        <v>0</v>
      </c>
    </row>
    <row r="61" spans="1:11" ht="30" customHeight="1" x14ac:dyDescent="0.3">
      <c r="A61" s="6">
        <v>55</v>
      </c>
      <c r="B61" s="7">
        <v>8809783322369</v>
      </c>
      <c r="C61" s="6" t="s">
        <v>117</v>
      </c>
      <c r="D61" s="8" t="s">
        <v>118</v>
      </c>
      <c r="E61" s="10">
        <v>15000</v>
      </c>
      <c r="F61" s="10">
        <v>6200</v>
      </c>
      <c r="G61" s="19">
        <f t="shared" si="0"/>
        <v>0.41333333333333333</v>
      </c>
      <c r="H61" s="9">
        <v>50</v>
      </c>
      <c r="I61" s="11"/>
      <c r="J61" s="12">
        <f t="shared" si="1"/>
        <v>0</v>
      </c>
      <c r="K61" s="13">
        <f t="shared" si="2"/>
        <v>0</v>
      </c>
    </row>
    <row r="62" spans="1:11" ht="30" customHeight="1" x14ac:dyDescent="0.3">
      <c r="A62" s="6">
        <v>56</v>
      </c>
      <c r="B62" s="7">
        <v>8809783322130</v>
      </c>
      <c r="C62" s="6" t="s">
        <v>119</v>
      </c>
      <c r="D62" s="8" t="s">
        <v>120</v>
      </c>
      <c r="E62" s="10">
        <v>23000</v>
      </c>
      <c r="F62" s="10">
        <v>9450</v>
      </c>
      <c r="G62" s="19">
        <f t="shared" si="0"/>
        <v>0.41086956521739132</v>
      </c>
      <c r="H62" s="9">
        <v>70</v>
      </c>
      <c r="I62" s="11"/>
      <c r="J62" s="12">
        <f t="shared" si="1"/>
        <v>0</v>
      </c>
      <c r="K62" s="13">
        <f t="shared" si="2"/>
        <v>0</v>
      </c>
    </row>
    <row r="63" spans="1:11" ht="30" customHeight="1" x14ac:dyDescent="0.3">
      <c r="A63" s="6">
        <v>57</v>
      </c>
      <c r="B63" s="7">
        <v>8809962541024</v>
      </c>
      <c r="C63" s="6" t="s">
        <v>121</v>
      </c>
      <c r="D63" s="8" t="s">
        <v>122</v>
      </c>
      <c r="E63" s="10">
        <v>25000</v>
      </c>
      <c r="F63" s="10">
        <v>9170</v>
      </c>
      <c r="G63" s="19">
        <f t="shared" si="0"/>
        <v>0.36680000000000001</v>
      </c>
      <c r="H63" s="9">
        <v>30</v>
      </c>
      <c r="I63" s="11"/>
      <c r="J63" s="12">
        <f t="shared" si="1"/>
        <v>0</v>
      </c>
      <c r="K63" s="13">
        <f t="shared" si="2"/>
        <v>0</v>
      </c>
    </row>
    <row r="64" spans="1:11" ht="30" customHeight="1" x14ac:dyDescent="0.3">
      <c r="A64" s="6">
        <v>58</v>
      </c>
      <c r="B64" s="7">
        <v>8809875908075</v>
      </c>
      <c r="C64" s="6" t="s">
        <v>123</v>
      </c>
      <c r="D64" s="8" t="s">
        <v>124</v>
      </c>
      <c r="E64" s="10">
        <v>30000</v>
      </c>
      <c r="F64" s="10">
        <v>10470.000000000002</v>
      </c>
      <c r="G64" s="19">
        <f t="shared" si="0"/>
        <v>0.34900000000000009</v>
      </c>
      <c r="H64" s="9">
        <v>60</v>
      </c>
      <c r="I64" s="11"/>
      <c r="J64" s="12">
        <f t="shared" si="1"/>
        <v>0</v>
      </c>
      <c r="K64" s="13">
        <f t="shared" si="2"/>
        <v>0</v>
      </c>
    </row>
    <row r="65" spans="1:11" ht="30" customHeight="1" x14ac:dyDescent="0.3">
      <c r="A65" s="6">
        <v>59</v>
      </c>
      <c r="B65" s="7">
        <v>8809875907337</v>
      </c>
      <c r="C65" s="6" t="s">
        <v>125</v>
      </c>
      <c r="D65" s="8" t="s">
        <v>126</v>
      </c>
      <c r="E65" s="10">
        <v>34000</v>
      </c>
      <c r="F65" s="10">
        <v>12210</v>
      </c>
      <c r="G65" s="19">
        <f t="shared" si="0"/>
        <v>0.35911764705882354</v>
      </c>
      <c r="H65" s="9">
        <v>60</v>
      </c>
      <c r="I65" s="11"/>
      <c r="J65" s="12">
        <f t="shared" si="1"/>
        <v>0</v>
      </c>
      <c r="K65" s="13">
        <f t="shared" si="2"/>
        <v>0</v>
      </c>
    </row>
    <row r="66" spans="1:11" ht="30" customHeight="1" x14ac:dyDescent="0.3">
      <c r="A66" s="6">
        <v>60</v>
      </c>
      <c r="B66" s="7">
        <v>8809849803634</v>
      </c>
      <c r="C66" s="6" t="s">
        <v>127</v>
      </c>
      <c r="D66" s="8" t="s">
        <v>128</v>
      </c>
      <c r="E66" s="10">
        <v>30000</v>
      </c>
      <c r="F66" s="10">
        <v>9800</v>
      </c>
      <c r="G66" s="19">
        <f t="shared" si="0"/>
        <v>0.32666666666666666</v>
      </c>
      <c r="H66" s="9">
        <v>40</v>
      </c>
      <c r="I66" s="11"/>
      <c r="J66" s="12">
        <f t="shared" si="1"/>
        <v>0</v>
      </c>
      <c r="K66" s="13">
        <f t="shared" si="2"/>
        <v>0</v>
      </c>
    </row>
    <row r="67" spans="1:11" ht="30" customHeight="1" x14ac:dyDescent="0.3">
      <c r="A67" s="6">
        <v>61</v>
      </c>
      <c r="B67" s="7">
        <v>8809962541963</v>
      </c>
      <c r="C67" s="6" t="s">
        <v>129</v>
      </c>
      <c r="D67" s="8" t="s">
        <v>130</v>
      </c>
      <c r="E67" s="10">
        <v>17000</v>
      </c>
      <c r="F67" s="10">
        <v>6350</v>
      </c>
      <c r="G67" s="19">
        <f t="shared" si="0"/>
        <v>0.37352941176470589</v>
      </c>
      <c r="H67" s="9">
        <v>30</v>
      </c>
      <c r="I67" s="11"/>
      <c r="J67" s="12">
        <f t="shared" si="1"/>
        <v>0</v>
      </c>
      <c r="K67" s="13">
        <f t="shared" si="2"/>
        <v>0</v>
      </c>
    </row>
    <row r="68" spans="1:11" ht="30" customHeight="1" x14ac:dyDescent="0.3">
      <c r="A68" s="6">
        <v>62</v>
      </c>
      <c r="B68" s="7">
        <v>8809962541970</v>
      </c>
      <c r="C68" s="6" t="s">
        <v>131</v>
      </c>
      <c r="D68" s="8" t="s">
        <v>132</v>
      </c>
      <c r="E68" s="10">
        <v>25000</v>
      </c>
      <c r="F68" s="10">
        <v>11450</v>
      </c>
      <c r="G68" s="19">
        <f t="shared" si="0"/>
        <v>0.45800000000000002</v>
      </c>
      <c r="H68" s="9">
        <v>40</v>
      </c>
      <c r="I68" s="11"/>
      <c r="J68" s="12">
        <f t="shared" si="1"/>
        <v>0</v>
      </c>
      <c r="K68" s="13">
        <f t="shared" si="2"/>
        <v>0</v>
      </c>
    </row>
    <row r="69" spans="1:11" ht="30" customHeight="1" x14ac:dyDescent="0.3">
      <c r="A69" s="6">
        <v>63</v>
      </c>
      <c r="B69" s="7">
        <v>8809783325674</v>
      </c>
      <c r="C69" s="6" t="s">
        <v>133</v>
      </c>
      <c r="D69" s="8" t="s">
        <v>134</v>
      </c>
      <c r="E69" s="10">
        <v>28000</v>
      </c>
      <c r="F69" s="10">
        <v>11000</v>
      </c>
      <c r="G69" s="19">
        <f t="shared" si="0"/>
        <v>0.39285714285714285</v>
      </c>
      <c r="H69" s="9">
        <v>60</v>
      </c>
      <c r="I69" s="11"/>
      <c r="J69" s="12">
        <f t="shared" si="1"/>
        <v>0</v>
      </c>
      <c r="K69" s="13">
        <f t="shared" si="2"/>
        <v>0</v>
      </c>
    </row>
    <row r="70" spans="1:11" ht="30" customHeight="1" x14ac:dyDescent="0.3">
      <c r="A70" s="6">
        <v>64</v>
      </c>
      <c r="B70" s="7">
        <v>8809783325667</v>
      </c>
      <c r="C70" s="6" t="s">
        <v>135</v>
      </c>
      <c r="D70" s="8" t="s">
        <v>136</v>
      </c>
      <c r="E70" s="10">
        <v>24000</v>
      </c>
      <c r="F70" s="10">
        <v>9530</v>
      </c>
      <c r="G70" s="19">
        <f t="shared" si="0"/>
        <v>0.39708333333333334</v>
      </c>
      <c r="H70" s="9">
        <v>60</v>
      </c>
      <c r="I70" s="11"/>
      <c r="J70" s="12">
        <f t="shared" si="1"/>
        <v>0</v>
      </c>
      <c r="K70" s="13">
        <f t="shared" si="2"/>
        <v>0</v>
      </c>
    </row>
    <row r="71" spans="1:11" ht="30" customHeight="1" x14ac:dyDescent="0.3">
      <c r="A71" s="6">
        <v>65</v>
      </c>
      <c r="B71" s="7">
        <v>8809750462708</v>
      </c>
      <c r="C71" s="6" t="s">
        <v>137</v>
      </c>
      <c r="D71" s="8" t="s">
        <v>138</v>
      </c>
      <c r="E71" s="10">
        <v>25000</v>
      </c>
      <c r="F71" s="10">
        <v>10050</v>
      </c>
      <c r="G71" s="19">
        <f t="shared" si="0"/>
        <v>0.40200000000000002</v>
      </c>
      <c r="H71" s="9">
        <v>30</v>
      </c>
      <c r="I71" s="11"/>
      <c r="J71" s="12">
        <f t="shared" si="1"/>
        <v>0</v>
      </c>
      <c r="K71" s="13">
        <f t="shared" si="2"/>
        <v>0</v>
      </c>
    </row>
    <row r="72" spans="1:11" ht="30" customHeight="1" x14ac:dyDescent="0.3">
      <c r="A72" s="6">
        <v>66</v>
      </c>
      <c r="B72" s="7">
        <v>8809783325728</v>
      </c>
      <c r="C72" s="6" t="s">
        <v>139</v>
      </c>
      <c r="D72" s="8" t="s">
        <v>140</v>
      </c>
      <c r="E72" s="10">
        <v>30000</v>
      </c>
      <c r="F72" s="10">
        <v>9800</v>
      </c>
      <c r="G72" s="19">
        <f t="shared" ref="G72:G120" si="3">F72/E72</f>
        <v>0.32666666666666666</v>
      </c>
      <c r="H72" s="9">
        <v>40</v>
      </c>
      <c r="I72" s="11"/>
      <c r="J72" s="12">
        <f t="shared" ref="J72:J120" si="4">I72*H72</f>
        <v>0</v>
      </c>
      <c r="K72" s="13">
        <f t="shared" ref="K72:K120" si="5">IF($F72&gt;0,$J72*$F72,"")</f>
        <v>0</v>
      </c>
    </row>
    <row r="73" spans="1:11" ht="30" customHeight="1" x14ac:dyDescent="0.3">
      <c r="A73" s="6">
        <v>67</v>
      </c>
      <c r="B73" s="7">
        <v>8809783326718</v>
      </c>
      <c r="C73" s="6" t="s">
        <v>141</v>
      </c>
      <c r="D73" s="8" t="s">
        <v>142</v>
      </c>
      <c r="E73" s="10">
        <v>23000</v>
      </c>
      <c r="F73" s="10">
        <v>9250</v>
      </c>
      <c r="G73" s="19">
        <f t="shared" si="3"/>
        <v>0.40217391304347827</v>
      </c>
      <c r="H73" s="9">
        <v>30</v>
      </c>
      <c r="I73" s="11"/>
      <c r="J73" s="12">
        <f t="shared" si="4"/>
        <v>0</v>
      </c>
      <c r="K73" s="13">
        <f t="shared" si="5"/>
        <v>0</v>
      </c>
    </row>
    <row r="74" spans="1:11" ht="30" customHeight="1" x14ac:dyDescent="0.3">
      <c r="A74" s="6">
        <v>68</v>
      </c>
      <c r="B74" s="7">
        <v>8809783326725</v>
      </c>
      <c r="C74" s="6" t="s">
        <v>143</v>
      </c>
      <c r="D74" s="8" t="s">
        <v>144</v>
      </c>
      <c r="E74" s="10">
        <v>25000</v>
      </c>
      <c r="F74" s="10">
        <v>9750</v>
      </c>
      <c r="G74" s="19">
        <f t="shared" si="3"/>
        <v>0.39</v>
      </c>
      <c r="H74" s="9">
        <v>30</v>
      </c>
      <c r="I74" s="11"/>
      <c r="J74" s="12">
        <f t="shared" si="4"/>
        <v>0</v>
      </c>
      <c r="K74" s="13">
        <f t="shared" si="5"/>
        <v>0</v>
      </c>
    </row>
    <row r="75" spans="1:11" ht="30" customHeight="1" x14ac:dyDescent="0.3">
      <c r="A75" s="6">
        <v>69</v>
      </c>
      <c r="B75" s="7">
        <v>8809864754126</v>
      </c>
      <c r="C75" s="6" t="s">
        <v>145</v>
      </c>
      <c r="D75" s="8" t="s">
        <v>146</v>
      </c>
      <c r="E75" s="10">
        <v>17000</v>
      </c>
      <c r="F75" s="10">
        <v>6350</v>
      </c>
      <c r="G75" s="19">
        <f t="shared" si="3"/>
        <v>0.37352941176470589</v>
      </c>
      <c r="H75" s="9">
        <v>30</v>
      </c>
      <c r="I75" s="11"/>
      <c r="J75" s="12">
        <f t="shared" si="4"/>
        <v>0</v>
      </c>
      <c r="K75" s="13">
        <f t="shared" si="5"/>
        <v>0</v>
      </c>
    </row>
    <row r="76" spans="1:11" ht="30" customHeight="1" x14ac:dyDescent="0.3">
      <c r="A76" s="6">
        <v>70</v>
      </c>
      <c r="B76" s="7">
        <v>8809849802408</v>
      </c>
      <c r="C76" s="6" t="s">
        <v>147</v>
      </c>
      <c r="D76" s="8" t="s">
        <v>148</v>
      </c>
      <c r="E76" s="10">
        <v>21000</v>
      </c>
      <c r="F76" s="10">
        <v>7500</v>
      </c>
      <c r="G76" s="19">
        <f t="shared" si="3"/>
        <v>0.35714285714285715</v>
      </c>
      <c r="H76" s="9">
        <v>40</v>
      </c>
      <c r="I76" s="11"/>
      <c r="J76" s="12">
        <f t="shared" si="4"/>
        <v>0</v>
      </c>
      <c r="K76" s="13">
        <f t="shared" si="5"/>
        <v>0</v>
      </c>
    </row>
    <row r="77" spans="1:11" ht="30" customHeight="1" x14ac:dyDescent="0.3">
      <c r="A77" s="6">
        <v>71</v>
      </c>
      <c r="B77" s="7">
        <v>8809962540294</v>
      </c>
      <c r="C77" s="6" t="s">
        <v>149</v>
      </c>
      <c r="D77" s="8" t="s">
        <v>150</v>
      </c>
      <c r="E77" s="10">
        <v>25000</v>
      </c>
      <c r="F77" s="10">
        <v>8310</v>
      </c>
      <c r="G77" s="19">
        <f t="shared" si="3"/>
        <v>0.33239999999999997</v>
      </c>
      <c r="H77" s="9">
        <v>20</v>
      </c>
      <c r="I77" s="11"/>
      <c r="J77" s="12">
        <f t="shared" si="4"/>
        <v>0</v>
      </c>
      <c r="K77" s="13">
        <f t="shared" si="5"/>
        <v>0</v>
      </c>
    </row>
    <row r="78" spans="1:11" ht="30" customHeight="1" x14ac:dyDescent="0.3">
      <c r="A78" s="6">
        <v>72</v>
      </c>
      <c r="B78" s="7">
        <v>8809962542137</v>
      </c>
      <c r="C78" s="6" t="s">
        <v>151</v>
      </c>
      <c r="D78" s="8" t="s">
        <v>152</v>
      </c>
      <c r="E78" s="10">
        <v>34000</v>
      </c>
      <c r="F78" s="10">
        <v>11550</v>
      </c>
      <c r="G78" s="19">
        <f t="shared" si="3"/>
        <v>0.33970588235294119</v>
      </c>
      <c r="H78" s="9">
        <v>60</v>
      </c>
      <c r="I78" s="11"/>
      <c r="J78" s="12">
        <f t="shared" si="4"/>
        <v>0</v>
      </c>
      <c r="K78" s="13">
        <f t="shared" si="5"/>
        <v>0</v>
      </c>
    </row>
    <row r="79" spans="1:11" ht="30" customHeight="1" x14ac:dyDescent="0.3">
      <c r="A79" s="6">
        <v>73</v>
      </c>
      <c r="B79" s="7">
        <v>8809962542403</v>
      </c>
      <c r="C79" s="6" t="s">
        <v>153</v>
      </c>
      <c r="D79" s="8" t="s">
        <v>154</v>
      </c>
      <c r="E79" s="10">
        <v>24000</v>
      </c>
      <c r="F79" s="10">
        <v>9410</v>
      </c>
      <c r="G79" s="19">
        <f t="shared" si="3"/>
        <v>0.39208333333333334</v>
      </c>
      <c r="H79" s="9">
        <v>50</v>
      </c>
      <c r="I79" s="11"/>
      <c r="J79" s="12">
        <f t="shared" si="4"/>
        <v>0</v>
      </c>
      <c r="K79" s="13">
        <f t="shared" si="5"/>
        <v>0</v>
      </c>
    </row>
    <row r="80" spans="1:11" ht="30" customHeight="1" x14ac:dyDescent="0.3">
      <c r="A80" s="6">
        <v>74</v>
      </c>
      <c r="B80" s="7">
        <v>8809962540652</v>
      </c>
      <c r="C80" s="6" t="s">
        <v>155</v>
      </c>
      <c r="D80" s="8" t="s">
        <v>156</v>
      </c>
      <c r="E80" s="10">
        <v>28000</v>
      </c>
      <c r="F80" s="10">
        <v>9340</v>
      </c>
      <c r="G80" s="19">
        <f t="shared" si="3"/>
        <v>0.33357142857142857</v>
      </c>
      <c r="H80" s="9">
        <v>60</v>
      </c>
      <c r="I80" s="11"/>
      <c r="J80" s="12">
        <f t="shared" si="4"/>
        <v>0</v>
      </c>
      <c r="K80" s="13">
        <f t="shared" si="5"/>
        <v>0</v>
      </c>
    </row>
    <row r="81" spans="1:11" ht="30" customHeight="1" x14ac:dyDescent="0.3">
      <c r="A81" s="6">
        <v>75</v>
      </c>
      <c r="B81" s="7">
        <v>8809962540690</v>
      </c>
      <c r="C81" s="6" t="s">
        <v>157</v>
      </c>
      <c r="D81" s="8" t="s">
        <v>158</v>
      </c>
      <c r="E81" s="10">
        <v>30000</v>
      </c>
      <c r="F81" s="10">
        <v>9940.0000000000018</v>
      </c>
      <c r="G81" s="19">
        <f t="shared" si="3"/>
        <v>0.33133333333333337</v>
      </c>
      <c r="H81" s="9">
        <v>60</v>
      </c>
      <c r="I81" s="11"/>
      <c r="J81" s="12">
        <f t="shared" si="4"/>
        <v>0</v>
      </c>
      <c r="K81" s="13">
        <f t="shared" si="5"/>
        <v>0</v>
      </c>
    </row>
    <row r="82" spans="1:11" ht="30" customHeight="1" x14ac:dyDescent="0.3">
      <c r="A82" s="6">
        <v>76</v>
      </c>
      <c r="B82" s="7">
        <v>8809962540775</v>
      </c>
      <c r="C82" s="6" t="s">
        <v>159</v>
      </c>
      <c r="D82" s="8" t="s">
        <v>160</v>
      </c>
      <c r="E82" s="10">
        <v>40000</v>
      </c>
      <c r="F82" s="10">
        <v>10600</v>
      </c>
      <c r="G82" s="19">
        <f t="shared" si="3"/>
        <v>0.26500000000000001</v>
      </c>
      <c r="H82" s="9">
        <v>40</v>
      </c>
      <c r="I82" s="11"/>
      <c r="J82" s="12">
        <f t="shared" si="4"/>
        <v>0</v>
      </c>
      <c r="K82" s="13">
        <f t="shared" si="5"/>
        <v>0</v>
      </c>
    </row>
    <row r="83" spans="1:11" ht="30" customHeight="1" x14ac:dyDescent="0.3">
      <c r="A83" s="6">
        <v>77</v>
      </c>
      <c r="B83" s="7">
        <v>8809962540584</v>
      </c>
      <c r="C83" s="6" t="s">
        <v>161</v>
      </c>
      <c r="D83" s="8" t="s">
        <v>162</v>
      </c>
      <c r="E83" s="10">
        <v>25000</v>
      </c>
      <c r="F83" s="10">
        <v>8320</v>
      </c>
      <c r="G83" s="19">
        <f t="shared" si="3"/>
        <v>0.33279999999999998</v>
      </c>
      <c r="H83" s="9">
        <v>30</v>
      </c>
      <c r="I83" s="11"/>
      <c r="J83" s="12">
        <f t="shared" si="4"/>
        <v>0</v>
      </c>
      <c r="K83" s="13">
        <f t="shared" si="5"/>
        <v>0</v>
      </c>
    </row>
    <row r="84" spans="1:11" ht="30" customHeight="1" x14ac:dyDescent="0.3">
      <c r="A84" s="6">
        <v>78</v>
      </c>
      <c r="B84" s="7">
        <v>8809962540591</v>
      </c>
      <c r="C84" s="6" t="s">
        <v>163</v>
      </c>
      <c r="D84" s="8" t="s">
        <v>164</v>
      </c>
      <c r="E84" s="10">
        <v>35000</v>
      </c>
      <c r="F84" s="10">
        <v>11070</v>
      </c>
      <c r="G84" s="19">
        <f t="shared" si="3"/>
        <v>0.31628571428571428</v>
      </c>
      <c r="H84" s="9">
        <v>30</v>
      </c>
      <c r="I84" s="11"/>
      <c r="J84" s="12">
        <f t="shared" si="4"/>
        <v>0</v>
      </c>
      <c r="K84" s="13">
        <f t="shared" si="5"/>
        <v>0</v>
      </c>
    </row>
    <row r="85" spans="1:11" ht="30" customHeight="1" x14ac:dyDescent="0.3">
      <c r="A85" s="6">
        <v>79</v>
      </c>
      <c r="B85" s="7">
        <v>8809962540539</v>
      </c>
      <c r="C85" s="6" t="s">
        <v>165</v>
      </c>
      <c r="D85" s="8" t="s">
        <v>166</v>
      </c>
      <c r="E85" s="10">
        <v>1500</v>
      </c>
      <c r="F85" s="10">
        <v>1100</v>
      </c>
      <c r="G85" s="19">
        <f t="shared" si="3"/>
        <v>0.73333333333333328</v>
      </c>
      <c r="H85" s="9">
        <v>12</v>
      </c>
      <c r="I85" s="11"/>
      <c r="J85" s="12">
        <f t="shared" si="4"/>
        <v>0</v>
      </c>
      <c r="K85" s="13">
        <f t="shared" si="5"/>
        <v>0</v>
      </c>
    </row>
    <row r="86" spans="1:11" ht="30" customHeight="1" x14ac:dyDescent="0.3">
      <c r="A86" s="6">
        <v>80</v>
      </c>
      <c r="B86" s="7">
        <v>8809962540546</v>
      </c>
      <c r="C86" s="6" t="s">
        <v>167</v>
      </c>
      <c r="D86" s="8" t="s">
        <v>168</v>
      </c>
      <c r="E86" s="10">
        <v>3200</v>
      </c>
      <c r="F86" s="10">
        <v>2380</v>
      </c>
      <c r="G86" s="19">
        <f t="shared" si="3"/>
        <v>0.74375000000000002</v>
      </c>
      <c r="H86" s="9">
        <v>10</v>
      </c>
      <c r="I86" s="11"/>
      <c r="J86" s="12">
        <f t="shared" si="4"/>
        <v>0</v>
      </c>
      <c r="K86" s="13">
        <f t="shared" si="5"/>
        <v>0</v>
      </c>
    </row>
    <row r="87" spans="1:11" ht="30" customHeight="1" x14ac:dyDescent="0.3">
      <c r="A87" s="6">
        <v>81</v>
      </c>
      <c r="B87" s="7">
        <v>8809962540805</v>
      </c>
      <c r="C87" s="6" t="s">
        <v>169</v>
      </c>
      <c r="D87" s="8" t="s">
        <v>170</v>
      </c>
      <c r="E87" s="10">
        <v>26000</v>
      </c>
      <c r="F87" s="10">
        <v>9750</v>
      </c>
      <c r="G87" s="19">
        <f t="shared" si="3"/>
        <v>0.375</v>
      </c>
      <c r="H87" s="9">
        <v>40</v>
      </c>
      <c r="I87" s="11"/>
      <c r="J87" s="12">
        <f t="shared" si="4"/>
        <v>0</v>
      </c>
      <c r="K87" s="13">
        <f t="shared" si="5"/>
        <v>0</v>
      </c>
    </row>
    <row r="88" spans="1:11" ht="30" customHeight="1" x14ac:dyDescent="0.3">
      <c r="A88" s="6">
        <v>82</v>
      </c>
      <c r="B88" s="7">
        <v>8809962540812</v>
      </c>
      <c r="C88" s="6" t="s">
        <v>171</v>
      </c>
      <c r="D88" s="8" t="s">
        <v>172</v>
      </c>
      <c r="E88" s="10">
        <v>18000</v>
      </c>
      <c r="F88" s="10">
        <v>5640</v>
      </c>
      <c r="G88" s="19">
        <f t="shared" si="3"/>
        <v>0.31333333333333335</v>
      </c>
      <c r="H88" s="9">
        <v>40</v>
      </c>
      <c r="I88" s="11"/>
      <c r="J88" s="12">
        <f t="shared" si="4"/>
        <v>0</v>
      </c>
      <c r="K88" s="13">
        <f t="shared" si="5"/>
        <v>0</v>
      </c>
    </row>
    <row r="89" spans="1:11" ht="30" customHeight="1" x14ac:dyDescent="0.3">
      <c r="A89" s="6">
        <v>83</v>
      </c>
      <c r="B89" s="7">
        <v>8809962541048</v>
      </c>
      <c r="C89" s="6" t="s">
        <v>173</v>
      </c>
      <c r="D89" s="8" t="s">
        <v>174</v>
      </c>
      <c r="E89" s="10">
        <v>26000</v>
      </c>
      <c r="F89" s="10">
        <v>8440</v>
      </c>
      <c r="G89" s="19">
        <f t="shared" si="3"/>
        <v>0.32461538461538464</v>
      </c>
      <c r="H89" s="9">
        <v>50</v>
      </c>
      <c r="I89" s="11"/>
      <c r="J89" s="12">
        <f t="shared" si="4"/>
        <v>0</v>
      </c>
      <c r="K89" s="13">
        <f t="shared" si="5"/>
        <v>0</v>
      </c>
    </row>
    <row r="90" spans="1:11" ht="30" customHeight="1" x14ac:dyDescent="0.3">
      <c r="A90" s="6">
        <v>84</v>
      </c>
      <c r="B90" s="7">
        <v>8809962541031</v>
      </c>
      <c r="C90" s="6" t="s">
        <v>175</v>
      </c>
      <c r="D90" s="8" t="s">
        <v>176</v>
      </c>
      <c r="E90" s="10">
        <v>28000</v>
      </c>
      <c r="F90" s="10">
        <v>8890</v>
      </c>
      <c r="G90" s="19">
        <f t="shared" si="3"/>
        <v>0.3175</v>
      </c>
      <c r="H90" s="9">
        <v>100</v>
      </c>
      <c r="I90" s="11"/>
      <c r="J90" s="12">
        <f t="shared" si="4"/>
        <v>0</v>
      </c>
      <c r="K90" s="13">
        <f t="shared" si="5"/>
        <v>0</v>
      </c>
    </row>
    <row r="91" spans="1:11" ht="30" customHeight="1" x14ac:dyDescent="0.3">
      <c r="A91" s="6">
        <v>85</v>
      </c>
      <c r="B91" s="7">
        <v>8809962541284</v>
      </c>
      <c r="C91" s="6" t="s">
        <v>177</v>
      </c>
      <c r="D91" s="8" t="s">
        <v>178</v>
      </c>
      <c r="E91" s="10">
        <v>32000</v>
      </c>
      <c r="F91" s="10">
        <v>10870.000000000002</v>
      </c>
      <c r="G91" s="19">
        <f t="shared" si="3"/>
        <v>0.33968750000000003</v>
      </c>
      <c r="H91" s="9">
        <v>40</v>
      </c>
      <c r="I91" s="11"/>
      <c r="J91" s="12">
        <f t="shared" si="4"/>
        <v>0</v>
      </c>
      <c r="K91" s="13">
        <f t="shared" si="5"/>
        <v>0</v>
      </c>
    </row>
    <row r="92" spans="1:11" ht="30" customHeight="1" x14ac:dyDescent="0.3">
      <c r="A92" s="6">
        <v>86</v>
      </c>
      <c r="B92" s="7">
        <v>8809962541383</v>
      </c>
      <c r="C92" s="6" t="s">
        <v>179</v>
      </c>
      <c r="D92" s="8" t="s">
        <v>180</v>
      </c>
      <c r="E92" s="10">
        <v>24000</v>
      </c>
      <c r="F92" s="10">
        <v>8830</v>
      </c>
      <c r="G92" s="19">
        <f t="shared" si="3"/>
        <v>0.36791666666666667</v>
      </c>
      <c r="H92" s="9">
        <v>30</v>
      </c>
      <c r="I92" s="11"/>
      <c r="J92" s="12">
        <f t="shared" si="4"/>
        <v>0</v>
      </c>
      <c r="K92" s="13">
        <f t="shared" si="5"/>
        <v>0</v>
      </c>
    </row>
    <row r="93" spans="1:11" ht="30" customHeight="1" x14ac:dyDescent="0.3">
      <c r="A93" s="6">
        <v>87</v>
      </c>
      <c r="B93" s="7">
        <v>8809962541857</v>
      </c>
      <c r="C93" s="6" t="s">
        <v>181</v>
      </c>
      <c r="D93" s="8" t="s">
        <v>182</v>
      </c>
      <c r="E93" s="10">
        <v>35000</v>
      </c>
      <c r="F93" s="10">
        <v>11800</v>
      </c>
      <c r="G93" s="19">
        <f t="shared" si="3"/>
        <v>0.33714285714285713</v>
      </c>
      <c r="H93" s="9">
        <v>60</v>
      </c>
      <c r="I93" s="11"/>
      <c r="J93" s="12">
        <f t="shared" si="4"/>
        <v>0</v>
      </c>
      <c r="K93" s="13">
        <f t="shared" si="5"/>
        <v>0</v>
      </c>
    </row>
    <row r="94" spans="1:11" ht="30" customHeight="1" x14ac:dyDescent="0.3">
      <c r="A94" s="6">
        <v>88</v>
      </c>
      <c r="B94" s="7">
        <v>8809962541840</v>
      </c>
      <c r="C94" s="6" t="s">
        <v>183</v>
      </c>
      <c r="D94" s="8" t="s">
        <v>184</v>
      </c>
      <c r="E94" s="10">
        <v>38000</v>
      </c>
      <c r="F94" s="10">
        <v>11700</v>
      </c>
      <c r="G94" s="19">
        <f t="shared" si="3"/>
        <v>0.30789473684210528</v>
      </c>
      <c r="H94" s="9">
        <v>80</v>
      </c>
      <c r="I94" s="11"/>
      <c r="J94" s="12">
        <f t="shared" si="4"/>
        <v>0</v>
      </c>
      <c r="K94" s="13">
        <f t="shared" si="5"/>
        <v>0</v>
      </c>
    </row>
    <row r="95" spans="1:11" ht="30" customHeight="1" x14ac:dyDescent="0.3">
      <c r="A95" s="6">
        <v>89</v>
      </c>
      <c r="B95" s="7">
        <v>8809962542212</v>
      </c>
      <c r="C95" s="6" t="s">
        <v>185</v>
      </c>
      <c r="D95" s="8" t="s">
        <v>186</v>
      </c>
      <c r="E95" s="10">
        <v>28000</v>
      </c>
      <c r="F95" s="10">
        <v>10330</v>
      </c>
      <c r="G95" s="19">
        <f t="shared" si="3"/>
        <v>0.36892857142857144</v>
      </c>
      <c r="H95" s="9">
        <v>50</v>
      </c>
      <c r="I95" s="11"/>
      <c r="J95" s="12">
        <f t="shared" si="4"/>
        <v>0</v>
      </c>
      <c r="K95" s="13">
        <f t="shared" si="5"/>
        <v>0</v>
      </c>
    </row>
    <row r="96" spans="1:11" ht="30" customHeight="1" x14ac:dyDescent="0.3">
      <c r="A96" s="6">
        <v>90</v>
      </c>
      <c r="B96" s="7">
        <v>8809962542861</v>
      </c>
      <c r="C96" s="6" t="s">
        <v>187</v>
      </c>
      <c r="D96" s="8" t="s">
        <v>188</v>
      </c>
      <c r="E96" s="10">
        <v>24000</v>
      </c>
      <c r="F96" s="10">
        <v>8390</v>
      </c>
      <c r="G96" s="19">
        <f t="shared" si="3"/>
        <v>0.34958333333333336</v>
      </c>
      <c r="H96" s="9">
        <v>50</v>
      </c>
      <c r="I96" s="11"/>
      <c r="J96" s="12">
        <f t="shared" si="4"/>
        <v>0</v>
      </c>
      <c r="K96" s="13">
        <f t="shared" si="5"/>
        <v>0</v>
      </c>
    </row>
    <row r="97" spans="1:11" ht="30" customHeight="1" x14ac:dyDescent="0.3">
      <c r="A97" s="6">
        <v>91</v>
      </c>
      <c r="B97" s="7">
        <v>8809962541222</v>
      </c>
      <c r="C97" s="6" t="s">
        <v>189</v>
      </c>
      <c r="D97" s="8" t="s">
        <v>190</v>
      </c>
      <c r="E97" s="10">
        <v>24000</v>
      </c>
      <c r="F97" s="10">
        <v>8660</v>
      </c>
      <c r="G97" s="19">
        <f t="shared" si="3"/>
        <v>0.36083333333333334</v>
      </c>
      <c r="H97" s="9">
        <v>50</v>
      </c>
      <c r="I97" s="11"/>
      <c r="J97" s="12">
        <f t="shared" si="4"/>
        <v>0</v>
      </c>
      <c r="K97" s="13">
        <f t="shared" si="5"/>
        <v>0</v>
      </c>
    </row>
    <row r="98" spans="1:11" ht="30" customHeight="1" x14ac:dyDescent="0.3">
      <c r="A98" s="6">
        <v>92</v>
      </c>
      <c r="B98" s="7">
        <v>8809962541239</v>
      </c>
      <c r="C98" s="6" t="s">
        <v>191</v>
      </c>
      <c r="D98" s="8" t="s">
        <v>192</v>
      </c>
      <c r="E98" s="10">
        <v>24000</v>
      </c>
      <c r="F98" s="10">
        <v>8660</v>
      </c>
      <c r="G98" s="19">
        <f t="shared" si="3"/>
        <v>0.36083333333333334</v>
      </c>
      <c r="H98" s="9">
        <v>50</v>
      </c>
      <c r="I98" s="11"/>
      <c r="J98" s="12">
        <f t="shared" si="4"/>
        <v>0</v>
      </c>
      <c r="K98" s="13">
        <f t="shared" si="5"/>
        <v>0</v>
      </c>
    </row>
    <row r="99" spans="1:11" ht="30" customHeight="1" x14ac:dyDescent="0.3">
      <c r="A99" s="6">
        <v>93</v>
      </c>
      <c r="B99" s="7">
        <v>8809962541246</v>
      </c>
      <c r="C99" s="6" t="s">
        <v>193</v>
      </c>
      <c r="D99" s="8" t="s">
        <v>194</v>
      </c>
      <c r="E99" s="10">
        <v>26000</v>
      </c>
      <c r="F99" s="10">
        <v>9050</v>
      </c>
      <c r="G99" s="19">
        <f t="shared" si="3"/>
        <v>0.34807692307692306</v>
      </c>
      <c r="H99" s="9">
        <v>50</v>
      </c>
      <c r="I99" s="11"/>
      <c r="J99" s="12">
        <f t="shared" si="4"/>
        <v>0</v>
      </c>
      <c r="K99" s="13">
        <f t="shared" si="5"/>
        <v>0</v>
      </c>
    </row>
    <row r="100" spans="1:11" ht="30" customHeight="1" x14ac:dyDescent="0.3">
      <c r="A100" s="6">
        <v>94</v>
      </c>
      <c r="B100" s="7">
        <v>8809962541635</v>
      </c>
      <c r="C100" s="6" t="s">
        <v>195</v>
      </c>
      <c r="D100" s="8" t="s">
        <v>196</v>
      </c>
      <c r="E100" s="10">
        <v>25000</v>
      </c>
      <c r="F100" s="10">
        <v>8660</v>
      </c>
      <c r="G100" s="19">
        <f t="shared" si="3"/>
        <v>0.34639999999999999</v>
      </c>
      <c r="H100" s="9">
        <v>50</v>
      </c>
      <c r="I100" s="11"/>
      <c r="J100" s="12">
        <f t="shared" si="4"/>
        <v>0</v>
      </c>
      <c r="K100" s="13">
        <f t="shared" si="5"/>
        <v>0</v>
      </c>
    </row>
    <row r="101" spans="1:11" ht="30" customHeight="1" x14ac:dyDescent="0.3">
      <c r="A101" s="6">
        <v>95</v>
      </c>
      <c r="B101" s="7">
        <v>8809962541628</v>
      </c>
      <c r="C101" s="6" t="s">
        <v>197</v>
      </c>
      <c r="D101" s="8" t="s">
        <v>198</v>
      </c>
      <c r="E101" s="10">
        <v>25000</v>
      </c>
      <c r="F101" s="10">
        <v>8700</v>
      </c>
      <c r="G101" s="19">
        <f t="shared" si="3"/>
        <v>0.34799999999999998</v>
      </c>
      <c r="H101" s="9">
        <v>50</v>
      </c>
      <c r="I101" s="11"/>
      <c r="J101" s="12">
        <f t="shared" si="4"/>
        <v>0</v>
      </c>
      <c r="K101" s="13">
        <f t="shared" si="5"/>
        <v>0</v>
      </c>
    </row>
    <row r="102" spans="1:11" ht="30" customHeight="1" x14ac:dyDescent="0.3">
      <c r="A102" s="6">
        <v>96</v>
      </c>
      <c r="B102" s="7">
        <v>8809962541642</v>
      </c>
      <c r="C102" s="6" t="s">
        <v>199</v>
      </c>
      <c r="D102" s="8" t="s">
        <v>200</v>
      </c>
      <c r="E102" s="10">
        <v>27000</v>
      </c>
      <c r="F102" s="10">
        <v>9050</v>
      </c>
      <c r="G102" s="19">
        <f t="shared" si="3"/>
        <v>0.3351851851851852</v>
      </c>
      <c r="H102" s="9">
        <v>50</v>
      </c>
      <c r="I102" s="11"/>
      <c r="J102" s="12">
        <f t="shared" si="4"/>
        <v>0</v>
      </c>
      <c r="K102" s="13">
        <f t="shared" si="5"/>
        <v>0</v>
      </c>
    </row>
    <row r="103" spans="1:11" ht="30" customHeight="1" x14ac:dyDescent="0.3">
      <c r="A103" s="6">
        <v>97</v>
      </c>
      <c r="B103" s="7">
        <v>8809962540553</v>
      </c>
      <c r="C103" s="6" t="s">
        <v>201</v>
      </c>
      <c r="D103" s="8" t="s">
        <v>202</v>
      </c>
      <c r="E103" s="10">
        <v>0</v>
      </c>
      <c r="F103" s="10">
        <v>5716.5</v>
      </c>
      <c r="G103" s="19" t="e">
        <f t="shared" si="3"/>
        <v>#DIV/0!</v>
      </c>
      <c r="H103" s="9">
        <v>100</v>
      </c>
      <c r="I103" s="11"/>
      <c r="J103" s="12">
        <f t="shared" si="4"/>
        <v>0</v>
      </c>
      <c r="K103" s="13">
        <f t="shared" si="5"/>
        <v>0</v>
      </c>
    </row>
    <row r="104" spans="1:11" ht="30" customHeight="1" x14ac:dyDescent="0.3">
      <c r="A104" s="6">
        <v>98</v>
      </c>
      <c r="B104" s="7">
        <v>8809962542441</v>
      </c>
      <c r="C104" s="6"/>
      <c r="D104" s="8" t="s">
        <v>203</v>
      </c>
      <c r="E104" s="10">
        <v>0</v>
      </c>
      <c r="F104" s="10">
        <v>9527.5</v>
      </c>
      <c r="G104" s="19" t="e">
        <f t="shared" si="3"/>
        <v>#DIV/0!</v>
      </c>
      <c r="H104" s="9">
        <v>80</v>
      </c>
      <c r="I104" s="11"/>
      <c r="J104" s="12">
        <f t="shared" si="4"/>
        <v>0</v>
      </c>
      <c r="K104" s="13">
        <f t="shared" si="5"/>
        <v>0</v>
      </c>
    </row>
    <row r="105" spans="1:11" ht="30" customHeight="1" x14ac:dyDescent="0.3">
      <c r="A105" s="6">
        <v>99</v>
      </c>
      <c r="B105" s="7">
        <v>8809962543127</v>
      </c>
      <c r="C105" s="6"/>
      <c r="D105" s="8" t="s">
        <v>204</v>
      </c>
      <c r="E105" s="10">
        <v>0</v>
      </c>
      <c r="F105" s="10">
        <v>13175.76</v>
      </c>
      <c r="G105" s="19" t="e">
        <f t="shared" si="3"/>
        <v>#DIV/0!</v>
      </c>
      <c r="H105" s="9">
        <v>60</v>
      </c>
      <c r="I105" s="11"/>
      <c r="J105" s="12">
        <f t="shared" si="4"/>
        <v>0</v>
      </c>
      <c r="K105" s="13">
        <f t="shared" si="5"/>
        <v>0</v>
      </c>
    </row>
    <row r="106" spans="1:11" ht="30" customHeight="1" x14ac:dyDescent="0.3">
      <c r="A106" s="6">
        <v>100</v>
      </c>
      <c r="B106" s="7">
        <v>8809962542885</v>
      </c>
      <c r="C106" s="6"/>
      <c r="D106" s="8" t="s">
        <v>205</v>
      </c>
      <c r="E106" s="10">
        <v>0</v>
      </c>
      <c r="F106" s="10">
        <v>12479.48</v>
      </c>
      <c r="G106" s="19" t="e">
        <f t="shared" si="3"/>
        <v>#DIV/0!</v>
      </c>
      <c r="H106" s="9">
        <v>40</v>
      </c>
      <c r="I106" s="11"/>
      <c r="J106" s="12">
        <f t="shared" si="4"/>
        <v>0</v>
      </c>
      <c r="K106" s="13">
        <f t="shared" si="5"/>
        <v>0</v>
      </c>
    </row>
    <row r="107" spans="1:11" ht="30" customHeight="1" x14ac:dyDescent="0.3">
      <c r="A107" s="6">
        <v>101</v>
      </c>
      <c r="B107" s="7">
        <v>8809962543622</v>
      </c>
      <c r="C107" s="6"/>
      <c r="D107" s="8" t="s">
        <v>206</v>
      </c>
      <c r="E107" s="10">
        <v>36000</v>
      </c>
      <c r="F107" s="10">
        <v>12558</v>
      </c>
      <c r="G107" s="19">
        <f t="shared" si="3"/>
        <v>0.34883333333333333</v>
      </c>
      <c r="H107" s="9">
        <v>40</v>
      </c>
      <c r="I107" s="11"/>
      <c r="J107" s="12">
        <f t="shared" si="4"/>
        <v>0</v>
      </c>
      <c r="K107" s="13">
        <f t="shared" si="5"/>
        <v>0</v>
      </c>
    </row>
    <row r="108" spans="1:11" ht="30" customHeight="1" x14ac:dyDescent="0.3">
      <c r="A108" s="6">
        <v>102</v>
      </c>
      <c r="B108" s="7">
        <v>8809962542793</v>
      </c>
      <c r="C108" s="6"/>
      <c r="D108" s="8" t="s">
        <v>207</v>
      </c>
      <c r="E108" s="10">
        <v>24000</v>
      </c>
      <c r="F108" s="10">
        <v>8440</v>
      </c>
      <c r="G108" s="19">
        <f t="shared" si="3"/>
        <v>0.35166666666666668</v>
      </c>
      <c r="H108" s="9">
        <v>50</v>
      </c>
      <c r="I108" s="11"/>
      <c r="J108" s="12">
        <f t="shared" si="4"/>
        <v>0</v>
      </c>
      <c r="K108" s="13">
        <f t="shared" si="5"/>
        <v>0</v>
      </c>
    </row>
    <row r="109" spans="1:11" ht="30" customHeight="1" x14ac:dyDescent="0.3">
      <c r="A109" s="6">
        <v>103</v>
      </c>
      <c r="B109" s="7">
        <v>8809962543103</v>
      </c>
      <c r="C109" s="6"/>
      <c r="D109" s="8" t="s">
        <v>208</v>
      </c>
      <c r="E109" s="10">
        <v>24000</v>
      </c>
      <c r="F109" s="10">
        <v>9540</v>
      </c>
      <c r="G109" s="19">
        <f t="shared" si="3"/>
        <v>0.39750000000000002</v>
      </c>
      <c r="H109" s="9">
        <v>50</v>
      </c>
      <c r="I109" s="11"/>
      <c r="J109" s="12">
        <f t="shared" si="4"/>
        <v>0</v>
      </c>
      <c r="K109" s="13">
        <f t="shared" si="5"/>
        <v>0</v>
      </c>
    </row>
    <row r="110" spans="1:11" ht="30" customHeight="1" x14ac:dyDescent="0.3">
      <c r="A110" s="6">
        <v>104</v>
      </c>
      <c r="B110" s="7">
        <v>8809962543097</v>
      </c>
      <c r="C110" s="6"/>
      <c r="D110" s="8" t="s">
        <v>209</v>
      </c>
      <c r="E110" s="10">
        <v>24000</v>
      </c>
      <c r="F110" s="10">
        <v>9040.0000000000018</v>
      </c>
      <c r="G110" s="19">
        <f t="shared" si="3"/>
        <v>0.37666666666666676</v>
      </c>
      <c r="H110" s="9">
        <v>50</v>
      </c>
      <c r="I110" s="11"/>
      <c r="J110" s="12">
        <f t="shared" si="4"/>
        <v>0</v>
      </c>
      <c r="K110" s="13">
        <f t="shared" si="5"/>
        <v>0</v>
      </c>
    </row>
    <row r="111" spans="1:11" ht="30" customHeight="1" x14ac:dyDescent="0.3">
      <c r="A111" s="6">
        <v>105</v>
      </c>
      <c r="B111" s="7">
        <v>8809962541475</v>
      </c>
      <c r="C111" s="6"/>
      <c r="D111" s="8" t="s">
        <v>210</v>
      </c>
      <c r="E111" s="10">
        <v>23000</v>
      </c>
      <c r="F111" s="10">
        <v>8955</v>
      </c>
      <c r="G111" s="19">
        <f t="shared" si="3"/>
        <v>0.38934782608695651</v>
      </c>
      <c r="H111" s="9">
        <v>80</v>
      </c>
      <c r="I111" s="11"/>
      <c r="J111" s="12">
        <f t="shared" si="4"/>
        <v>0</v>
      </c>
      <c r="K111" s="13">
        <f t="shared" si="5"/>
        <v>0</v>
      </c>
    </row>
    <row r="112" spans="1:11" ht="30" customHeight="1" x14ac:dyDescent="0.3">
      <c r="A112" s="6">
        <v>106</v>
      </c>
      <c r="B112" s="7">
        <v>8809962541345</v>
      </c>
      <c r="C112" s="6"/>
      <c r="D112" s="8" t="s">
        <v>211</v>
      </c>
      <c r="E112" s="10">
        <v>24000</v>
      </c>
      <c r="F112" s="10">
        <v>9040.0000000000018</v>
      </c>
      <c r="G112" s="19">
        <f t="shared" si="3"/>
        <v>0.37666666666666676</v>
      </c>
      <c r="H112" s="9">
        <v>30</v>
      </c>
      <c r="I112" s="11"/>
      <c r="J112" s="12">
        <f t="shared" si="4"/>
        <v>0</v>
      </c>
      <c r="K112" s="13">
        <f t="shared" si="5"/>
        <v>0</v>
      </c>
    </row>
    <row r="113" spans="1:11" ht="30" customHeight="1" x14ac:dyDescent="0.3">
      <c r="A113" s="6">
        <v>107</v>
      </c>
      <c r="B113" s="7">
        <v>8809962541352</v>
      </c>
      <c r="C113" s="6"/>
      <c r="D113" s="8" t="s">
        <v>212</v>
      </c>
      <c r="E113" s="10">
        <v>21000</v>
      </c>
      <c r="F113" s="10">
        <v>6585</v>
      </c>
      <c r="G113" s="19">
        <f t="shared" si="3"/>
        <v>0.31357142857142856</v>
      </c>
      <c r="H113" s="9">
        <v>40</v>
      </c>
      <c r="I113" s="11"/>
      <c r="J113" s="12">
        <f t="shared" si="4"/>
        <v>0</v>
      </c>
      <c r="K113" s="13">
        <f t="shared" si="5"/>
        <v>0</v>
      </c>
    </row>
    <row r="114" spans="1:11" ht="30" customHeight="1" x14ac:dyDescent="0.3">
      <c r="A114" s="6">
        <v>108</v>
      </c>
      <c r="B114" s="7">
        <v>8809849803979</v>
      </c>
      <c r="C114" s="6"/>
      <c r="D114" s="8" t="s">
        <v>213</v>
      </c>
      <c r="E114" s="10">
        <v>16500</v>
      </c>
      <c r="F114" s="10">
        <v>5403</v>
      </c>
      <c r="G114" s="19">
        <f t="shared" si="3"/>
        <v>0.32745454545454544</v>
      </c>
      <c r="H114" s="9">
        <v>40</v>
      </c>
      <c r="I114" s="11"/>
      <c r="J114" s="12">
        <f t="shared" si="4"/>
        <v>0</v>
      </c>
      <c r="K114" s="13">
        <f t="shared" si="5"/>
        <v>0</v>
      </c>
    </row>
    <row r="115" spans="1:11" ht="30" customHeight="1" x14ac:dyDescent="0.3">
      <c r="A115" s="6">
        <v>109</v>
      </c>
      <c r="B115" s="7">
        <v>8809962542892</v>
      </c>
      <c r="C115" s="6"/>
      <c r="D115" s="8" t="s">
        <v>214</v>
      </c>
      <c r="E115" s="10">
        <v>27000</v>
      </c>
      <c r="F115" s="10">
        <v>11895</v>
      </c>
      <c r="G115" s="19">
        <f t="shared" si="3"/>
        <v>0.44055555555555553</v>
      </c>
      <c r="H115" s="9">
        <v>40</v>
      </c>
      <c r="I115" s="11"/>
      <c r="J115" s="12">
        <f t="shared" si="4"/>
        <v>0</v>
      </c>
      <c r="K115" s="13">
        <f t="shared" si="5"/>
        <v>0</v>
      </c>
    </row>
    <row r="116" spans="1:11" ht="30" customHeight="1" x14ac:dyDescent="0.3">
      <c r="A116" s="6">
        <v>110</v>
      </c>
      <c r="B116" s="7">
        <v>8809962543356</v>
      </c>
      <c r="C116" s="6"/>
      <c r="D116" s="8" t="s">
        <v>215</v>
      </c>
      <c r="E116" s="10">
        <v>0</v>
      </c>
      <c r="F116" s="10">
        <v>6563.16</v>
      </c>
      <c r="G116" s="19" t="e">
        <f t="shared" si="3"/>
        <v>#DIV/0!</v>
      </c>
      <c r="H116" s="9">
        <v>100</v>
      </c>
      <c r="I116" s="11"/>
      <c r="J116" s="12">
        <f t="shared" si="4"/>
        <v>0</v>
      </c>
      <c r="K116" s="13">
        <f t="shared" si="5"/>
        <v>0</v>
      </c>
    </row>
    <row r="117" spans="1:11" ht="30" customHeight="1" x14ac:dyDescent="0.3">
      <c r="A117" s="6">
        <v>111</v>
      </c>
      <c r="B117" s="7">
        <v>8809962542946</v>
      </c>
      <c r="C117" s="6"/>
      <c r="D117" s="8" t="s">
        <v>216</v>
      </c>
      <c r="E117" s="10">
        <v>38000</v>
      </c>
      <c r="F117" s="10">
        <v>12038.400000000001</v>
      </c>
      <c r="G117" s="19">
        <f t="shared" si="3"/>
        <v>0.31680000000000003</v>
      </c>
      <c r="H117" s="9">
        <v>80</v>
      </c>
      <c r="I117" s="11"/>
      <c r="J117" s="12">
        <f t="shared" si="4"/>
        <v>0</v>
      </c>
      <c r="K117" s="13">
        <f t="shared" si="5"/>
        <v>0</v>
      </c>
    </row>
    <row r="118" spans="1:11" ht="30" customHeight="1" x14ac:dyDescent="0.3">
      <c r="A118" s="6">
        <v>112</v>
      </c>
      <c r="B118" s="7">
        <v>8809962542366</v>
      </c>
      <c r="C118" s="6"/>
      <c r="D118" s="8" t="s">
        <v>217</v>
      </c>
      <c r="E118" s="10">
        <v>28000</v>
      </c>
      <c r="F118" s="10">
        <v>10184</v>
      </c>
      <c r="G118" s="19">
        <f t="shared" si="3"/>
        <v>0.36371428571428571</v>
      </c>
      <c r="H118" s="9">
        <v>30</v>
      </c>
      <c r="I118" s="11"/>
      <c r="J118" s="12">
        <f t="shared" si="4"/>
        <v>0</v>
      </c>
      <c r="K118" s="13">
        <f t="shared" si="5"/>
        <v>0</v>
      </c>
    </row>
    <row r="119" spans="1:11" ht="30" customHeight="1" x14ac:dyDescent="0.3">
      <c r="A119" s="6">
        <v>113</v>
      </c>
      <c r="B119" s="7">
        <v>8809962544162</v>
      </c>
      <c r="C119" s="6"/>
      <c r="D119" s="8" t="s">
        <v>218</v>
      </c>
      <c r="E119" s="10">
        <v>0</v>
      </c>
      <c r="F119" s="10">
        <v>10197</v>
      </c>
      <c r="G119" s="19" t="e">
        <f t="shared" si="3"/>
        <v>#DIV/0!</v>
      </c>
      <c r="H119" s="9">
        <v>100</v>
      </c>
      <c r="I119" s="11"/>
      <c r="J119" s="12">
        <f t="shared" si="4"/>
        <v>0</v>
      </c>
      <c r="K119" s="13">
        <f t="shared" si="5"/>
        <v>0</v>
      </c>
    </row>
    <row r="120" spans="1:11" ht="30" customHeight="1" x14ac:dyDescent="0.3">
      <c r="A120" s="6">
        <v>114</v>
      </c>
      <c r="B120" s="7">
        <v>8809962543547</v>
      </c>
      <c r="C120" s="6"/>
      <c r="D120" s="8" t="s">
        <v>219</v>
      </c>
      <c r="E120" s="10">
        <v>28000</v>
      </c>
      <c r="F120" s="10">
        <v>10184</v>
      </c>
      <c r="G120" s="19">
        <f t="shared" si="3"/>
        <v>0.36371428571428571</v>
      </c>
      <c r="H120" s="9">
        <v>50</v>
      </c>
      <c r="I120" s="11"/>
      <c r="J120" s="12">
        <f t="shared" si="4"/>
        <v>0</v>
      </c>
      <c r="K120" s="13">
        <f t="shared" si="5"/>
        <v>0</v>
      </c>
    </row>
  </sheetData>
  <mergeCells count="2">
    <mergeCell ref="A1:C1"/>
    <mergeCell ref="E6:G6"/>
  </mergeCells>
  <phoneticPr fontId="2" type="noConversion"/>
  <conditionalFormatting sqref="J7:J120">
    <cfRule type="expression" dxfId="7" priority="3">
      <formula>#REF!="품절"</formula>
    </cfRule>
    <cfRule type="expression" dxfId="6" priority="4">
      <formula>#REF!="단종"</formula>
    </cfRule>
  </conditionalFormatting>
  <conditionalFormatting sqref="I5:K5 A5:D6 H5:H6 K7:K120">
    <cfRule type="expression" dxfId="5" priority="5">
      <formula>#REF!="품절"</formula>
    </cfRule>
    <cfRule type="expression" dxfId="4" priority="6">
      <formula>#REF!="단종"</formula>
    </cfRule>
  </conditionalFormatting>
  <conditionalFormatting sqref="E6:K6">
    <cfRule type="expression" dxfId="3" priority="7">
      <formula>$M7="품절"</formula>
    </cfRule>
    <cfRule type="expression" dxfId="2" priority="8">
      <formula>$M7="단종"</formula>
    </cfRule>
  </conditionalFormatting>
  <conditionalFormatting sqref="E5:G5">
    <cfRule type="expression" dxfId="1" priority="1">
      <formula>#REF!="품절"</formula>
    </cfRule>
    <cfRule type="expression" dxfId="0" priority="2">
      <formula>#REF!="단종"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Sun</dc:creator>
  <cp:lastModifiedBy>Sun Jin</cp:lastModifiedBy>
  <dcterms:created xsi:type="dcterms:W3CDTF">2026-01-07T03:25:48Z</dcterms:created>
  <dcterms:modified xsi:type="dcterms:W3CDTF">2026-07-01T06:24:03Z</dcterms:modified>
</cp:coreProperties>
</file>
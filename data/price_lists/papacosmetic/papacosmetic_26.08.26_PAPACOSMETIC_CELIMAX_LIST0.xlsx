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PACOSMETIC\Desktop\"/>
    </mc:Choice>
  </mc:AlternateContent>
  <xr:revisionPtr revIDLastSave="0" documentId="8_{73F74B23-AC38-47F3-99D9-2263702BB417}" xr6:coauthVersionLast="47" xr6:coauthVersionMax="47" xr10:uidLastSave="{00000000-0000-0000-0000-000000000000}"/>
  <bookViews>
    <workbookView xWindow="29370" yWindow="420" windowWidth="25365" windowHeight="15180" activeTab="1" xr2:uid="{9999AC61-8E5C-480F-B905-95BDE599E2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" i="2" l="1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J7" i="2"/>
  <c r="K7" i="2" s="1"/>
  <c r="I6" i="2"/>
  <c r="J6" i="2" l="1"/>
  <c r="K8" i="2"/>
  <c r="K6" i="2" s="1"/>
  <c r="I6" i="1" l="1"/>
  <c r="J49" i="1" l="1"/>
  <c r="K49" i="1"/>
  <c r="J50" i="1"/>
  <c r="K50" i="1" s="1"/>
  <c r="J51" i="1"/>
  <c r="K51" i="1" s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 s="1"/>
  <c r="J59" i="1"/>
  <c r="K59" i="1" s="1"/>
  <c r="J60" i="1"/>
  <c r="K60" i="1" s="1"/>
  <c r="G49" i="1"/>
  <c r="G50" i="1"/>
  <c r="G51" i="1"/>
  <c r="G52" i="1"/>
  <c r="G53" i="1"/>
  <c r="G54" i="1"/>
  <c r="G55" i="1"/>
  <c r="G56" i="1"/>
  <c r="G57" i="1"/>
  <c r="G58" i="1"/>
  <c r="G59" i="1"/>
  <c r="G60" i="1"/>
  <c r="J8" i="1"/>
  <c r="K8" i="1"/>
  <c r="J9" i="1"/>
  <c r="K9" i="1"/>
  <c r="J10" i="1"/>
  <c r="K10" i="1"/>
  <c r="J11" i="1"/>
  <c r="K11" i="1" s="1"/>
  <c r="J12" i="1"/>
  <c r="K12" i="1"/>
  <c r="J13" i="1"/>
  <c r="K13" i="1"/>
  <c r="J14" i="1"/>
  <c r="K14" i="1" s="1"/>
  <c r="J15" i="1"/>
  <c r="K15" i="1"/>
  <c r="J16" i="1"/>
  <c r="K16" i="1"/>
  <c r="J17" i="1"/>
  <c r="K17" i="1"/>
  <c r="J18" i="1"/>
  <c r="K18" i="1" s="1"/>
  <c r="J19" i="1"/>
  <c r="K19" i="1"/>
  <c r="J20" i="1"/>
  <c r="K20" i="1" s="1"/>
  <c r="J21" i="1"/>
  <c r="K21" i="1"/>
  <c r="J22" i="1"/>
  <c r="K22" i="1" s="1"/>
  <c r="J23" i="1"/>
  <c r="K23" i="1" s="1"/>
  <c r="J24" i="1"/>
  <c r="K24" i="1" s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 s="1"/>
  <c r="J33" i="1"/>
  <c r="K33" i="1" s="1"/>
  <c r="J34" i="1"/>
  <c r="K34" i="1"/>
  <c r="J35" i="1"/>
  <c r="K35" i="1"/>
  <c r="J36" i="1"/>
  <c r="K36" i="1"/>
  <c r="J37" i="1"/>
  <c r="K37" i="1"/>
  <c r="J38" i="1"/>
  <c r="K38" i="1" s="1"/>
  <c r="J39" i="1"/>
  <c r="K39" i="1"/>
  <c r="J40" i="1"/>
  <c r="K40" i="1"/>
  <c r="J41" i="1"/>
  <c r="K41" i="1"/>
  <c r="J42" i="1"/>
  <c r="K42" i="1" s="1"/>
  <c r="J43" i="1"/>
  <c r="K43" i="1"/>
  <c r="J44" i="1"/>
  <c r="K44" i="1" s="1"/>
  <c r="J45" i="1"/>
  <c r="K45" i="1"/>
  <c r="J46" i="1"/>
  <c r="K46" i="1" s="1"/>
  <c r="J47" i="1"/>
  <c r="K47" i="1"/>
  <c r="J48" i="1"/>
  <c r="K48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J7" i="1" l="1"/>
  <c r="J6" i="1" s="1"/>
  <c r="G7" i="1"/>
  <c r="K7" i="1" l="1"/>
  <c r="K6" i="1" s="1"/>
</calcChain>
</file>

<file path=xl/sharedStrings.xml><?xml version="1.0" encoding="utf-8"?>
<sst xmlns="http://schemas.openxmlformats.org/spreadsheetml/2006/main" count="263" uniqueCount="132">
  <si>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</si>
  <si>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</si>
  <si>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</si>
  <si>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</si>
  <si>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</si>
  <si>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</si>
  <si>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</si>
  <si>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</si>
  <si>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소비자가
(KRW)</t>
    <phoneticPr fontId="5" type="noConversion"/>
  </si>
  <si>
    <t xml:space="preserve"> 공급가
(KRW)</t>
    <phoneticPr fontId="5" type="noConversion"/>
  </si>
  <si>
    <t xml:space="preserve"> 공급율
(KRW)</t>
    <phoneticPr fontId="5" type="noConversion"/>
  </si>
  <si>
    <t>Product Name(KR)</t>
    <phoneticPr fontId="5" type="noConversion"/>
  </si>
  <si>
    <t>셀리맥스 노니마스크 1매</t>
  </si>
  <si>
    <t>CELIMAX THE REAL NONI ENERGY AMPOULE MASK 1EA</t>
  </si>
  <si>
    <t>셀리맥스 노니마스크 10매</t>
  </si>
  <si>
    <t>CELIMAX THE REAL NONI ENERGY AMPOULE MASK 10EA</t>
  </si>
  <si>
    <t>셀리맥스 시카마스크 1매</t>
  </si>
  <si>
    <t>CELIMAX THE REAL CICA CALMING SERUM MASK 1EA</t>
  </si>
  <si>
    <t>셀리맥스 시카마스크 10매</t>
  </si>
  <si>
    <t>CELIMAX THE REAL CICA CALMING SERUM MASK 10EA</t>
  </si>
  <si>
    <t>셀리맥스 브라이트닝 모공잡티 세럼 마스크 1매</t>
  </si>
  <si>
    <t>CELIMAX PORE+DARK SPOT BRIGHTENING SERUM MASK 1EA</t>
  </si>
  <si>
    <t>셀리맥스 브라이트닝 모공잡티 세럼 마스크 10매</t>
  </si>
  <si>
    <t>CELIMAX PORE+DARK SPOT BRIGHTENING SERUM MASK 10EA</t>
  </si>
  <si>
    <t>셀리맥스 브라이트닝 모공잡티 크림 랩핑 마스크 1매</t>
  </si>
  <si>
    <t>CELIMAX PORE+DARK SPOT BRIGHTENING CREAM MASK 1EA</t>
  </si>
  <si>
    <t>셀리맥스 브라이트닝 모공잡티 크림 랩핑 마스크 4매</t>
  </si>
  <si>
    <t>CELIMAX PORE+DARK SPOT BRIGHTENING CREAM MASK 4EA</t>
  </si>
  <si>
    <t>시카 투스텝 겔 마스크 1매</t>
  </si>
  <si>
    <t>CELIMAX JI WOO GAE CICA PHA PEEL 2-STEP GEL MASK 1EA</t>
  </si>
  <si>
    <t>시카 투스텝 겔 마스크 4매</t>
  </si>
  <si>
    <t>CELIMAX JI WOO GAE CICA PHA PEEL 2-STEP GEL MASK 4EA</t>
  </si>
  <si>
    <t>셀리맥스 노니 클레이 마스크 120g</t>
  </si>
  <si>
    <t>CELIMAX THE REAL NONI REFRESH CLAY MASK 120G</t>
  </si>
  <si>
    <t>셀리맥스 노니 토너 150ml</t>
  </si>
  <si>
    <t>CELIMAX THE REAL NONI MOISTURE BALANCING TONER 150ML</t>
  </si>
  <si>
    <t>셀리맥스 노니 에너지 앰플 30ml</t>
  </si>
  <si>
    <t>CELIMAX THE REAL NONI ENERGY AMPOULE 30ML</t>
  </si>
  <si>
    <t>셀리맥스 더 리얼 노니 에너지 앰플 50ml</t>
  </si>
  <si>
    <t>CELIMAX THE REAL NONI ENERGY AMPOULE 50ML</t>
  </si>
  <si>
    <t xml:space="preserve"> 셀리맥스 노니 로션 150ml</t>
  </si>
  <si>
    <t>CELIMAX THE REAL NONI HYDRA FIRMING LOTION 150ML</t>
  </si>
  <si>
    <t>셀리맥스 노니 얼티밋 아이크림 20ml</t>
  </si>
  <si>
    <t>CELIMAX THE REAL NONI ULTIMATE EYE CREAM 20ML</t>
  </si>
  <si>
    <t>노니 리페어 크림 50ml</t>
  </si>
  <si>
    <t>CELIMAX THE REAL NONI ENERGY REPAIR CREAM 50ML</t>
  </si>
  <si>
    <t>셀리맥스 노니미스트 50ml</t>
  </si>
  <si>
    <t>CELIMAX THE REAL NONI ENERGY AMPOULE MIST 50ML</t>
  </si>
  <si>
    <t>셀리맥스 더 리얼 노니 아크네 버블 폼 클렌징 155ml</t>
  </si>
  <si>
    <t>CELIMAX THE REAL NONI ACNE BUBBLE CLEANSER 155ML</t>
  </si>
  <si>
    <t>노니 글로우 패드 50매</t>
  </si>
  <si>
    <t>CELIMAX THE REAL NONI CALMING GLOW PAD 50EA</t>
  </si>
  <si>
    <t>셀리맥스 더 리얼 시카 나이아신마이드 AC 카밍 세럼 40ml</t>
  </si>
  <si>
    <t>CELIMAX THE REAL CICA NIACINAMIDE AC CALMING SERUM 40ML</t>
  </si>
  <si>
    <t>셀리맥스 더 리얼 시카 수딩 크림 50ml</t>
  </si>
  <si>
    <t>CELIMAX THE REAL CICA SOOTHING CREAM 50ML</t>
  </si>
  <si>
    <t>셀리맥스 지우개패드 (22AD)</t>
  </si>
  <si>
    <t>CELIMAX JI WOO GAE HEARTLEAF BHA PEELING PAD 60PADS</t>
  </si>
  <si>
    <t>셀리맥스 원스텝 바디 브라이트닝 패드 60 pads / 110ml (22AD)</t>
  </si>
  <si>
    <t>CELIMAX ONE STEP BODY BRIGHTENING PAD 60PADS</t>
  </si>
  <si>
    <t>셀리맥스 지우개 클렌징 패드 60매</t>
  </si>
  <si>
    <t>CELIMAX JI WOO GAE ONE STEP MILD CLEANSING PAD 60PADS</t>
  </si>
  <si>
    <t>셀리맥스 시카 BHA 블레미쉬 토너 패드 170ml/60매</t>
  </si>
  <si>
    <t>CELIMAX JI WOO GAE CICA BHA BLEMISH TONER PAD 60PADS</t>
  </si>
  <si>
    <t>셀리맥스 지우개 바디 미스트 150ml</t>
  </si>
  <si>
    <t>CELIMAX JI WOO GAE HEARTLEAF BHA BODY MIST 150ML</t>
  </si>
  <si>
    <t>셀리맥스 베이킹 소다 딥 포어 지우개 폼 클렌징</t>
  </si>
  <si>
    <t>CELIMAX BAKING SODA DEEP PORE JI WOO GAE FOAM CLEANSING 150ML</t>
  </si>
  <si>
    <t>셀리맥스 시카 바하 지우개 폼 클렌징 150ml</t>
  </si>
  <si>
    <t>CELIMAX JI WOO GAE CICA BHA ACNE FOAM CLEANSING 150ML</t>
  </si>
  <si>
    <t>셀리맥스 듀얼 배리어 젤 클렌저 200ml</t>
  </si>
  <si>
    <t>CELIMAX DUAL BARRIER MILD GEL CLEANSER 200ML</t>
  </si>
  <si>
    <t>셀리맥스 듀얼 배리어 토너 150ml</t>
  </si>
  <si>
    <t>CELIMAX DUAL BARRIER CREAMY TONER 150ML</t>
  </si>
  <si>
    <t>셀리맥스 듀얼 배리어 세럼 30ml</t>
  </si>
  <si>
    <t>CELIMAX DUAL BARRIER BOOSTING SERUM 30ML</t>
  </si>
  <si>
    <t>셀리맥스 듀얼 배리어 크림 50ml</t>
  </si>
  <si>
    <t>CELIMAX DUAL BARRIER SKIN WEARABLE CREAM 50ML</t>
  </si>
  <si>
    <t>셀리맥스 듀얼 배리어 워터리 선크림 40ml</t>
  </si>
  <si>
    <t>CELIMAX DUAL BARRIER WATERY SUN CREAM 40ML</t>
  </si>
  <si>
    <t>셀리맥스 듀얼배리어 클렌징 밤 50ml *2EA (본품 + 리필)</t>
  </si>
  <si>
    <t>CELIMAX DUAL BARRIER PURIFYING CLEANSING BALM 50ML (main product + refill)</t>
  </si>
  <si>
    <t>셀리맥스 듀얼배리어 클렌징 밤 50ml (리필)</t>
  </si>
  <si>
    <t>CELIMAX DUAL BARRIER PURIFYING CLEANSING BALM 50M refill</t>
  </si>
  <si>
    <t>셀리맥스 더 비타 에이 레티놀 샷 타이트닝 세럼 30ml</t>
  </si>
  <si>
    <t>CELIMAX THE VITA-A RETINOL SHOT TIGHTENING SERUM 30ML</t>
  </si>
  <si>
    <t>셀리맥스 더 비타 에이 레티날 샷 타이트닝 부스터 15ml</t>
  </si>
  <si>
    <t>CELIMAX THE VITA-A RETINAL SHOT TIGHTENING BOOSTER 15ML</t>
  </si>
  <si>
    <t>셀리맥스 프레시 클렌징 오일</t>
  </si>
  <si>
    <t>CELIMAX DERMA NATURE FRESH BLACKHEAD JOJOBA CLEANSING OIL 150ML</t>
  </si>
  <si>
    <t>셀리맥스 마데시카 약산성 폼 클렌징</t>
  </si>
  <si>
    <t>CELIMAX DERMA NATURE RELIEF MADECICA PH BALANCING FOAM CLEANSING 150ML</t>
  </si>
  <si>
    <t>셀리맥스 환생 톤업크림</t>
  </si>
  <si>
    <t>CELIMAX DERMA NATURE GLUTATHIONE LONGLASTING TONE-UP CREAM 35ML</t>
  </si>
  <si>
    <t>셀리맥스 오일 컨트롤 에센스 30ml</t>
  </si>
  <si>
    <t>CELIMAX OIL CONTROL CAPSULE ESSENCE 30ML</t>
  </si>
  <si>
    <t>셀리맥스 오일 컨트롤 라이트 선크림 40ml</t>
  </si>
  <si>
    <t>CELIMAX OIL CONTROL LIGHT SUNSCREEN 40ML</t>
  </si>
  <si>
    <t>셀리맥스 오일 컨트롤 수분 크림 80ml</t>
  </si>
  <si>
    <t>CELIMAX OIL CONTROL MOISTURIZING CREAM 80ML</t>
  </si>
  <si>
    <t>셀리맥스 오일 컨트롤 매티파잉 선스틱 19g</t>
  </si>
  <si>
    <t>CELIMAX OIL CONTROL MATTIFYING SUN STICK 19G</t>
  </si>
  <si>
    <t>셀리맥스 하트핑크 톤업 선크림 40ml</t>
  </si>
  <si>
    <t>CELIMAX HEART PINK TONE UP SUN CREAM 40ML</t>
  </si>
  <si>
    <t>셀리맥스 브라이트닝 모공잡티 세럼 30ml</t>
  </si>
  <si>
    <t>CELIMAX PORE+DARK SPOT BRIGHTENING SERUM 30ML</t>
  </si>
  <si>
    <t>셀리맥스 브라이트닝 모공잡티 패드 40pads</t>
  </si>
  <si>
    <t>CELIMAX PORE+DARK SPOT BRIGHTENING PAD 40PADS</t>
  </si>
  <si>
    <t>셀리맥스 브라이트닝 모공잡티 패드 80pads</t>
  </si>
  <si>
    <t>CELIMAX PORE+DARK SPOT BRIGHTENING PAD 80PADS</t>
  </si>
  <si>
    <t>셀리맥스 모공잡티 크림 35ml</t>
  </si>
  <si>
    <t>CELIMAX PORE+DARK SPOT BRIGHTENING CREAM 35ML</t>
  </si>
  <si>
    <t>셀리맥스 모공잡티 선스크린 50ml</t>
  </si>
  <si>
    <t>CELIMAX PORE+DARK SPOT BRIGHTENING CARE SUNSCREEN 50ML</t>
  </si>
  <si>
    <t>셀리맥스 더 리얼 노니 스타터 키트</t>
  </si>
  <si>
    <t>CELIMAX THE REAL NONI STARTER KIT</t>
  </si>
  <si>
    <t>셀리맥스 듀얼 베리어 트라이얼 키트</t>
  </si>
  <si>
    <t>CELIMAX DUAL BARRIER TRIAL KIT</t>
  </si>
  <si>
    <t>셀리맥스 모공 다크 스팟 브라이트닝 키트</t>
  </si>
  <si>
    <t>CELIMAX PORE+DARK SPOT BRIGHTENING KIT</t>
  </si>
  <si>
    <t xml:space="preserve">8809849807410					</t>
  </si>
  <si>
    <t xml:space="preserve">8809849807427					</t>
  </si>
  <si>
    <t xml:space="preserve">8809743548525					</t>
  </si>
  <si>
    <t xml:space="preserve">8809743548532					</t>
  </si>
  <si>
    <t xml:space="preserve">8809750465228					</t>
  </si>
  <si>
    <t xml:space="preserve">8809750465235					</t>
  </si>
  <si>
    <t xml:space="preserve">8809541379468					</t>
  </si>
  <si>
    <t xml:space="preserve">8809463992738					</t>
  </si>
  <si>
    <t xml:space="preserve">8809606852578					</t>
  </si>
  <si>
    <t xml:space="preserve">8809606852585					</t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</si>
  <si>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</si>
  <si>
    <t>PAPACOSMETIC CELIMAX PRICE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</si>
</sst>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[$₩-412]* #,##0_-;\-[$₩-412]* #,##0_-;_-[$₩-412]* &quot;-&quot;??_-;_-@_-"/>
    <numFmt numFmtId="177" formatCode="#,##0_ "/>
    <numFmt numFmtId="178" formatCode="&quot;₩&quot;#,##0_);[Red]\(&quot;₩&quot;#,##0\)"/>
    <numFmt numFmtId="179" formatCode="0_);[Red]\(0\)"/>
    <numFmt numFmtId="180" formatCode="_-[$₩-412]* #,##0.00_-;\-[$₩-412]* #,##0.00_-;_-[$₩-412]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41" fontId="7" fillId="4" borderId="1" xfId="1" applyNumberFormat="1" applyFont="1" applyFill="1" applyBorder="1" applyAlignment="1">
      <alignment horizontal="center" vertical="center"/>
    </xf>
    <xf numFmtId="41" fontId="7" fillId="0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41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0" fontId="11" fillId="0" borderId="0" xfId="0" applyNumberFormat="1" applyFont="1" applyAlignment="1">
      <alignment horizontal="center" vertical="center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</cellXfs>
  <cellStyles count="2">
    <cellStyle name="20% - 강조색6" xfId="1" builtinId="50"/>
    <cellStyle name="표준" xfId="0" builtinId="0"/>
  </cellStyles>
  <dxfs count="10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458"/>
  <sheetViews>
    <sheetView zoomScale="85" zoomScaleNormal="85" workbookViewId="0">
      <selection activeCell="K5" sqref="A5:K60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73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1.25" customHeight="1" x14ac:dyDescent="0.3">
      <c r="A1" s="21" t="s">
        <v>131</v>
      </c>
      <c r="B1" s="22"/>
      <c r="C1" s="22"/>
      <c r="D1" s="20" t="s">
        <v>130</v>
      </c>
    </row>
    <row r="4" spans="1:11" ht="16.5" customHeight="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7" t="s">
        <v>10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3" t="s">
        <v>7</v>
      </c>
      <c r="F6" s="23"/>
      <c r="G6" s="23"/>
      <c r="H6" s="2"/>
      <c r="I6" s="3">
        <f>SUM(I7:I60)</f>
        <v>0</v>
      </c>
      <c r="J6" s="4">
        <f>SUM(J7:J60)</f>
        <v>0</v>
      </c>
      <c r="K6" s="5">
        <f>SUM(K7:K60)</f>
        <v>0</v>
      </c>
    </row>
    <row r="7" spans="1:11" ht="30" customHeight="1" x14ac:dyDescent="0.3">
      <c r="A7" s="6">
        <v>1</v>
      </c>
      <c r="B7" s="7" t="s">
        <v>120</v>
      </c>
      <c r="C7" s="6" t="s">
        <v>12</v>
      </c>
      <c r="D7" s="8" t="s">
        <v>13</v>
      </c>
      <c r="E7" s="10">
        <v>4000</v>
      </c>
      <c r="F7" s="10">
        <v>1490.909090909091</v>
      </c>
      <c r="G7" s="19">
        <f>F7/E7</f>
        <v>0.37272727272727274</v>
      </c>
      <c r="H7" s="9">
        <v>100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 t="s">
        <v>121</v>
      </c>
      <c r="C8" s="6" t="s">
        <v>14</v>
      </c>
      <c r="D8" s="8" t="s">
        <v>15</v>
      </c>
      <c r="E8" s="10">
        <v>40000</v>
      </c>
      <c r="F8" s="10">
        <v>13999.999999999998</v>
      </c>
      <c r="G8" s="19">
        <f t="shared" ref="G8:G60" si="0">F8/E8</f>
        <v>0.35</v>
      </c>
      <c r="H8" s="9">
        <v>20</v>
      </c>
      <c r="I8" s="11"/>
      <c r="J8" s="12">
        <f t="shared" ref="J8:J48" si="1">I8*H8</f>
        <v>0</v>
      </c>
      <c r="K8" s="13">
        <f t="shared" ref="K8:K60" si="2">IF($F8&gt;0,$J8*$F8,"")</f>
        <v>0</v>
      </c>
    </row>
    <row r="9" spans="1:11" ht="30" customHeight="1" x14ac:dyDescent="0.3">
      <c r="A9" s="6">
        <v>3</v>
      </c>
      <c r="B9" s="7" t="s">
        <v>122</v>
      </c>
      <c r="C9" s="6" t="s">
        <v>16</v>
      </c>
      <c r="D9" s="8" t="s">
        <v>17</v>
      </c>
      <c r="E9" s="10">
        <v>4000</v>
      </c>
      <c r="F9" s="10">
        <v>1490.909090909091</v>
      </c>
      <c r="G9" s="19">
        <f t="shared" si="0"/>
        <v>0.37272727272727274</v>
      </c>
      <c r="H9" s="9">
        <v>100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 t="s">
        <v>123</v>
      </c>
      <c r="C10" s="6" t="s">
        <v>18</v>
      </c>
      <c r="D10" s="8" t="s">
        <v>19</v>
      </c>
      <c r="E10" s="10">
        <v>40000</v>
      </c>
      <c r="F10" s="10">
        <v>13999.999999999998</v>
      </c>
      <c r="G10" s="19">
        <f t="shared" si="0"/>
        <v>0.35</v>
      </c>
      <c r="H10" s="9">
        <v>20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 t="s">
        <v>124</v>
      </c>
      <c r="C11" s="6" t="s">
        <v>20</v>
      </c>
      <c r="D11" s="8" t="s">
        <v>21</v>
      </c>
      <c r="E11" s="10">
        <v>4000</v>
      </c>
      <c r="F11" s="10">
        <v>1490.909090909091</v>
      </c>
      <c r="G11" s="19">
        <f t="shared" si="0"/>
        <v>0.37272727272727274</v>
      </c>
      <c r="H11" s="9">
        <v>100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 t="s">
        <v>125</v>
      </c>
      <c r="C12" s="6" t="s">
        <v>22</v>
      </c>
      <c r="D12" s="8" t="s">
        <v>23</v>
      </c>
      <c r="E12" s="10">
        <v>40000</v>
      </c>
      <c r="F12" s="10">
        <v>13999.999999999998</v>
      </c>
      <c r="G12" s="19">
        <f t="shared" si="0"/>
        <v>0.35</v>
      </c>
      <c r="H12" s="9">
        <v>20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8800296551550</v>
      </c>
      <c r="C13" s="6" t="s">
        <v>24</v>
      </c>
      <c r="D13" s="8" t="s">
        <v>25</v>
      </c>
      <c r="E13" s="10">
        <v>6000</v>
      </c>
      <c r="F13" s="10">
        <v>2618.181818181818</v>
      </c>
      <c r="G13" s="19">
        <f t="shared" si="0"/>
        <v>0.43636363636363634</v>
      </c>
      <c r="H13" s="9">
        <v>48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8800296551567</v>
      </c>
      <c r="C14" s="6" t="s">
        <v>26</v>
      </c>
      <c r="D14" s="8" t="s">
        <v>27</v>
      </c>
      <c r="E14" s="10">
        <v>26000</v>
      </c>
      <c r="F14" s="10">
        <v>10518.181818181816</v>
      </c>
      <c r="G14" s="19">
        <f t="shared" si="0"/>
        <v>0.40454545454545449</v>
      </c>
      <c r="H14" s="9">
        <v>24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8800296556425</v>
      </c>
      <c r="C15" s="6" t="s">
        <v>28</v>
      </c>
      <c r="D15" s="8" t="s">
        <v>29</v>
      </c>
      <c r="E15" s="10">
        <v>8000</v>
      </c>
      <c r="F15" s="10">
        <v>2618.181818181818</v>
      </c>
      <c r="G15" s="19">
        <f t="shared" si="0"/>
        <v>0.32727272727272727</v>
      </c>
      <c r="H15" s="9">
        <v>90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8800296557255</v>
      </c>
      <c r="C16" s="6" t="s">
        <v>30</v>
      </c>
      <c r="D16" s="8" t="s">
        <v>31</v>
      </c>
      <c r="E16" s="10">
        <v>32000</v>
      </c>
      <c r="F16" s="10">
        <v>10036.363636363636</v>
      </c>
      <c r="G16" s="19">
        <f t="shared" si="0"/>
        <v>0.3136363636363636</v>
      </c>
      <c r="H16" s="9">
        <v>20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8809954940354</v>
      </c>
      <c r="C17" s="6" t="s">
        <v>32</v>
      </c>
      <c r="D17" s="8" t="s">
        <v>33</v>
      </c>
      <c r="E17" s="10">
        <v>18000</v>
      </c>
      <c r="F17" s="10">
        <v>6709.090909090909</v>
      </c>
      <c r="G17" s="19">
        <f t="shared" si="0"/>
        <v>0.37272727272727274</v>
      </c>
      <c r="H17" s="9">
        <v>24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8809954940132</v>
      </c>
      <c r="C18" s="6" t="s">
        <v>34</v>
      </c>
      <c r="D18" s="8" t="s">
        <v>35</v>
      </c>
      <c r="E18" s="10">
        <v>25000</v>
      </c>
      <c r="F18" s="10">
        <v>9886.3636363636342</v>
      </c>
      <c r="G18" s="19">
        <f t="shared" si="0"/>
        <v>0.39545454545454539</v>
      </c>
      <c r="H18" s="9">
        <v>24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8809875907795</v>
      </c>
      <c r="C19" s="6" t="s">
        <v>36</v>
      </c>
      <c r="D19" s="8" t="s">
        <v>37</v>
      </c>
      <c r="E19" s="10">
        <v>28000</v>
      </c>
      <c r="F19" s="10">
        <v>12472.727272727272</v>
      </c>
      <c r="G19" s="19">
        <f t="shared" si="0"/>
        <v>0.44545454545454544</v>
      </c>
      <c r="H19" s="9">
        <v>60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8809971482318</v>
      </c>
      <c r="C20" s="6" t="s">
        <v>38</v>
      </c>
      <c r="D20" s="8" t="s">
        <v>39</v>
      </c>
      <c r="E20" s="10">
        <v>37000</v>
      </c>
      <c r="F20" s="10">
        <v>15304.545454545454</v>
      </c>
      <c r="G20" s="19">
        <f t="shared" si="0"/>
        <v>0.41363636363636364</v>
      </c>
      <c r="H20" s="9">
        <v>60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8809954940347</v>
      </c>
      <c r="C21" s="6" t="s">
        <v>40</v>
      </c>
      <c r="D21" s="8" t="s">
        <v>41</v>
      </c>
      <c r="E21" s="10">
        <v>30000</v>
      </c>
      <c r="F21" s="10">
        <v>11590.909090909092</v>
      </c>
      <c r="G21" s="19">
        <f t="shared" si="0"/>
        <v>0.38636363636363641</v>
      </c>
      <c r="H21" s="9">
        <v>24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8809606850666</v>
      </c>
      <c r="C22" s="6" t="s">
        <v>42</v>
      </c>
      <c r="D22" s="8" t="s">
        <v>43</v>
      </c>
      <c r="E22" s="10">
        <v>35000</v>
      </c>
      <c r="F22" s="10">
        <v>11931.81818181818</v>
      </c>
      <c r="G22" s="19">
        <f t="shared" si="0"/>
        <v>0.34090909090909088</v>
      </c>
      <c r="H22" s="9">
        <v>100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8809686386185</v>
      </c>
      <c r="C23" s="6" t="s">
        <v>44</v>
      </c>
      <c r="D23" s="8" t="s">
        <v>45</v>
      </c>
      <c r="E23" s="10">
        <v>31000</v>
      </c>
      <c r="F23" s="10">
        <v>11695.454545454546</v>
      </c>
      <c r="G23" s="19">
        <f t="shared" si="0"/>
        <v>0.37727272727272732</v>
      </c>
      <c r="H23" s="9">
        <v>90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8809954940477</v>
      </c>
      <c r="C24" s="6" t="s">
        <v>46</v>
      </c>
      <c r="D24" s="8" t="s">
        <v>47</v>
      </c>
      <c r="E24" s="10">
        <v>16000</v>
      </c>
      <c r="F24" s="10">
        <v>6981.8181818181811</v>
      </c>
      <c r="G24" s="19">
        <f t="shared" si="0"/>
        <v>0.43636363636363634</v>
      </c>
      <c r="H24" s="9">
        <v>48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 t="s">
        <v>126</v>
      </c>
      <c r="C25" s="6" t="s">
        <v>48</v>
      </c>
      <c r="D25" s="8" t="s">
        <v>49</v>
      </c>
      <c r="E25" s="10">
        <v>18000</v>
      </c>
      <c r="F25" s="10">
        <v>6709.090909090909</v>
      </c>
      <c r="G25" s="19">
        <f t="shared" si="0"/>
        <v>0.37272727272727274</v>
      </c>
      <c r="H25" s="9">
        <v>24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8809750465464</v>
      </c>
      <c r="C26" s="6" t="s">
        <v>50</v>
      </c>
      <c r="D26" s="8" t="s">
        <v>51</v>
      </c>
      <c r="E26" s="10">
        <v>25000</v>
      </c>
      <c r="F26" s="10">
        <v>8977.2727272727261</v>
      </c>
      <c r="G26" s="19">
        <f t="shared" si="0"/>
        <v>0.35909090909090907</v>
      </c>
      <c r="H26" s="9">
        <v>24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8809743544626</v>
      </c>
      <c r="C27" s="6" t="s">
        <v>52</v>
      </c>
      <c r="D27" s="8" t="s">
        <v>53</v>
      </c>
      <c r="E27" s="10">
        <v>26000</v>
      </c>
      <c r="F27" s="10">
        <v>10045.454545454546</v>
      </c>
      <c r="G27" s="19">
        <f t="shared" si="0"/>
        <v>0.38636363636363641</v>
      </c>
      <c r="H27" s="9">
        <v>36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8809782557861</v>
      </c>
      <c r="C28" s="6" t="s">
        <v>54</v>
      </c>
      <c r="D28" s="8" t="s">
        <v>55</v>
      </c>
      <c r="E28" s="10">
        <v>22000</v>
      </c>
      <c r="F28" s="10">
        <v>8200</v>
      </c>
      <c r="G28" s="19">
        <f t="shared" si="0"/>
        <v>0.37272727272727274</v>
      </c>
      <c r="H28" s="9">
        <v>100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8809463992615</v>
      </c>
      <c r="C29" s="6" t="s">
        <v>56</v>
      </c>
      <c r="D29" s="8" t="s">
        <v>57</v>
      </c>
      <c r="E29" s="10">
        <v>17000</v>
      </c>
      <c r="F29" s="10">
        <v>7418.181818181818</v>
      </c>
      <c r="G29" s="19">
        <f t="shared" si="0"/>
        <v>0.43636363636363634</v>
      </c>
      <c r="H29" s="9">
        <v>24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8809463992707</v>
      </c>
      <c r="C30" s="6" t="s">
        <v>58</v>
      </c>
      <c r="D30" s="8" t="s">
        <v>59</v>
      </c>
      <c r="E30" s="10">
        <v>15000</v>
      </c>
      <c r="F30" s="10">
        <v>6136.3636363636351</v>
      </c>
      <c r="G30" s="19">
        <f t="shared" si="0"/>
        <v>0.40909090909090901</v>
      </c>
      <c r="H30" s="9">
        <v>24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8809463993889</v>
      </c>
      <c r="C31" s="6" t="s">
        <v>60</v>
      </c>
      <c r="D31" s="8" t="s">
        <v>61</v>
      </c>
      <c r="E31" s="10">
        <v>20000</v>
      </c>
      <c r="F31" s="10">
        <v>6999.9999999999991</v>
      </c>
      <c r="G31" s="19">
        <f t="shared" si="0"/>
        <v>0.35</v>
      </c>
      <c r="H31" s="9">
        <v>16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8809783321225</v>
      </c>
      <c r="C32" s="6" t="s">
        <v>62</v>
      </c>
      <c r="D32" s="8" t="s">
        <v>63</v>
      </c>
      <c r="E32" s="10">
        <v>24000</v>
      </c>
      <c r="F32" s="10">
        <v>8509.0909090909081</v>
      </c>
      <c r="G32" s="19">
        <f t="shared" si="0"/>
        <v>0.3545454545454545</v>
      </c>
      <c r="H32" s="9">
        <v>24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 t="s">
        <v>127</v>
      </c>
      <c r="C33" s="6" t="s">
        <v>64</v>
      </c>
      <c r="D33" s="8" t="s">
        <v>65</v>
      </c>
      <c r="E33" s="10">
        <v>31000</v>
      </c>
      <c r="F33" s="10">
        <v>9581.8181818181802</v>
      </c>
      <c r="G33" s="19">
        <f t="shared" si="0"/>
        <v>0.30909090909090903</v>
      </c>
      <c r="H33" s="9">
        <v>32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8809626562921</v>
      </c>
      <c r="C34" s="6" t="s">
        <v>66</v>
      </c>
      <c r="D34" s="8" t="s">
        <v>67</v>
      </c>
      <c r="E34" s="10">
        <v>9000</v>
      </c>
      <c r="F34" s="10">
        <v>3763.636363636364</v>
      </c>
      <c r="G34" s="19">
        <f t="shared" si="0"/>
        <v>0.41818181818181821</v>
      </c>
      <c r="H34" s="9">
        <v>45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8809783324097</v>
      </c>
      <c r="C35" s="6" t="s">
        <v>68</v>
      </c>
      <c r="D35" s="8" t="s">
        <v>69</v>
      </c>
      <c r="E35" s="10">
        <v>14000</v>
      </c>
      <c r="F35" s="10">
        <v>8081.8181818181811</v>
      </c>
      <c r="G35" s="19">
        <f t="shared" si="0"/>
        <v>0.57727272727272727</v>
      </c>
      <c r="H35" s="9">
        <v>30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8809606850499</v>
      </c>
      <c r="C36" s="6" t="s">
        <v>70</v>
      </c>
      <c r="D36" s="8" t="s">
        <v>71</v>
      </c>
      <c r="E36" s="10">
        <v>20000</v>
      </c>
      <c r="F36" s="10">
        <v>8090.9090909090919</v>
      </c>
      <c r="G36" s="19">
        <f t="shared" si="0"/>
        <v>0.4045454545454546</v>
      </c>
      <c r="H36" s="9">
        <v>24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8809606850475</v>
      </c>
      <c r="C37" s="6" t="s">
        <v>72</v>
      </c>
      <c r="D37" s="8" t="s">
        <v>73</v>
      </c>
      <c r="E37" s="10">
        <v>22000</v>
      </c>
      <c r="F37" s="10">
        <v>8999.9999999999982</v>
      </c>
      <c r="G37" s="19">
        <f t="shared" si="0"/>
        <v>0.40909090909090901</v>
      </c>
      <c r="H37" s="9">
        <v>24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8809606850482</v>
      </c>
      <c r="C38" s="6" t="s">
        <v>74</v>
      </c>
      <c r="D38" s="8" t="s">
        <v>75</v>
      </c>
      <c r="E38" s="10">
        <v>32000</v>
      </c>
      <c r="F38" s="10">
        <v>10909.090909090908</v>
      </c>
      <c r="G38" s="19">
        <f t="shared" si="0"/>
        <v>0.34090909090909088</v>
      </c>
      <c r="H38" s="9">
        <v>56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8809606850505</v>
      </c>
      <c r="C39" s="6" t="s">
        <v>76</v>
      </c>
      <c r="D39" s="8" t="s">
        <v>77</v>
      </c>
      <c r="E39" s="10">
        <v>35000</v>
      </c>
      <c r="F39" s="10">
        <v>11931.81818181818</v>
      </c>
      <c r="G39" s="19">
        <f t="shared" si="0"/>
        <v>0.34090909090909088</v>
      </c>
      <c r="H39" s="9">
        <v>90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8809686388172</v>
      </c>
      <c r="C40" s="6" t="s">
        <v>78</v>
      </c>
      <c r="D40" s="8" t="s">
        <v>79</v>
      </c>
      <c r="E40" s="10">
        <v>16000</v>
      </c>
      <c r="F40" s="10">
        <v>8072.7272727272721</v>
      </c>
      <c r="G40" s="19">
        <f t="shared" si="0"/>
        <v>0.50454545454545452</v>
      </c>
      <c r="H40" s="9">
        <v>72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 t="s">
        <v>128</v>
      </c>
      <c r="C41" s="6" t="s">
        <v>80</v>
      </c>
      <c r="D41" s="8" t="s">
        <v>81</v>
      </c>
      <c r="E41" s="10">
        <v>32000</v>
      </c>
      <c r="F41" s="10">
        <v>11636.363636363636</v>
      </c>
      <c r="G41" s="19">
        <f t="shared" si="0"/>
        <v>0.36363636363636365</v>
      </c>
      <c r="H41" s="9">
        <v>12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 t="s">
        <v>129</v>
      </c>
      <c r="C42" s="6" t="s">
        <v>82</v>
      </c>
      <c r="D42" s="8" t="s">
        <v>83</v>
      </c>
      <c r="E42" s="10">
        <v>16000</v>
      </c>
      <c r="F42" s="10">
        <v>9309.0909090909081</v>
      </c>
      <c r="G42" s="19">
        <f t="shared" si="0"/>
        <v>0.58181818181818179</v>
      </c>
      <c r="H42" s="9">
        <v>16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8809700320805</v>
      </c>
      <c r="C43" s="6" t="s">
        <v>84</v>
      </c>
      <c r="D43" s="8" t="s">
        <v>85</v>
      </c>
      <c r="E43" s="10">
        <v>32000</v>
      </c>
      <c r="F43" s="10">
        <v>10036.363636363636</v>
      </c>
      <c r="G43" s="19">
        <f t="shared" si="0"/>
        <v>0.3136363636363636</v>
      </c>
      <c r="H43" s="9">
        <v>60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8809700320812</v>
      </c>
      <c r="C44" s="6" t="s">
        <v>86</v>
      </c>
      <c r="D44" s="8" t="s">
        <v>87</v>
      </c>
      <c r="E44" s="10">
        <v>30000</v>
      </c>
      <c r="F44" s="10">
        <v>9818.181818181818</v>
      </c>
      <c r="G44" s="19">
        <f t="shared" si="0"/>
        <v>0.32727272727272727</v>
      </c>
      <c r="H44" s="9">
        <v>120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8806050298525</v>
      </c>
      <c r="C45" s="6" t="s">
        <v>88</v>
      </c>
      <c r="D45" s="8" t="s">
        <v>89</v>
      </c>
      <c r="E45" s="10">
        <v>16000</v>
      </c>
      <c r="F45" s="10">
        <v>7199.9999999999991</v>
      </c>
      <c r="G45" s="19">
        <f t="shared" si="0"/>
        <v>0.44999999999999996</v>
      </c>
      <c r="H45" s="9">
        <v>35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8809975194439</v>
      </c>
      <c r="C46" s="6" t="s">
        <v>90</v>
      </c>
      <c r="D46" s="8" t="s">
        <v>91</v>
      </c>
      <c r="E46" s="10">
        <v>10000</v>
      </c>
      <c r="F46" s="10">
        <v>5454.545454545455</v>
      </c>
      <c r="G46" s="19">
        <f t="shared" si="0"/>
        <v>0.54545454545454553</v>
      </c>
      <c r="H46" s="9">
        <v>40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8809626564000</v>
      </c>
      <c r="C47" s="6" t="s">
        <v>92</v>
      </c>
      <c r="D47" s="8" t="s">
        <v>93</v>
      </c>
      <c r="E47" s="10">
        <v>17000</v>
      </c>
      <c r="F47" s="10">
        <v>6877.2727272727261</v>
      </c>
      <c r="G47" s="19">
        <f t="shared" si="0"/>
        <v>0.40454545454545449</v>
      </c>
      <c r="H47" s="9">
        <v>117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8809782559018</v>
      </c>
      <c r="C48" s="6" t="s">
        <v>94</v>
      </c>
      <c r="D48" s="8" t="s">
        <v>95</v>
      </c>
      <c r="E48" s="10">
        <v>31000</v>
      </c>
      <c r="F48" s="10">
        <v>10850</v>
      </c>
      <c r="G48" s="19">
        <f t="shared" si="0"/>
        <v>0.35</v>
      </c>
      <c r="H48" s="9">
        <v>60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/>
      <c r="B49" s="7">
        <v>8809782559063</v>
      </c>
      <c r="C49" s="6" t="s">
        <v>96</v>
      </c>
      <c r="D49" s="8" t="s">
        <v>97</v>
      </c>
      <c r="E49" s="10">
        <v>22000</v>
      </c>
      <c r="F49" s="10">
        <v>8999.9999999999982</v>
      </c>
      <c r="G49" s="19">
        <f t="shared" si="0"/>
        <v>0.40909090909090901</v>
      </c>
      <c r="H49" s="9">
        <v>72</v>
      </c>
      <c r="I49" s="11"/>
      <c r="J49" s="12">
        <f t="shared" ref="J49:J60" si="3">I49*H49</f>
        <v>0</v>
      </c>
      <c r="K49" s="13">
        <f t="shared" si="2"/>
        <v>0</v>
      </c>
    </row>
    <row r="50" spans="1:11" ht="30" customHeight="1" x14ac:dyDescent="0.3">
      <c r="A50" s="6"/>
      <c r="B50" s="7">
        <v>8809743546880</v>
      </c>
      <c r="C50" s="6" t="s">
        <v>98</v>
      </c>
      <c r="D50" s="8" t="s">
        <v>99</v>
      </c>
      <c r="E50" s="10">
        <v>31000</v>
      </c>
      <c r="F50" s="10">
        <v>10004.545454545454</v>
      </c>
      <c r="G50" s="19">
        <f t="shared" si="0"/>
        <v>0.3227272727272727</v>
      </c>
      <c r="H50" s="9">
        <v>60</v>
      </c>
      <c r="I50" s="11"/>
      <c r="J50" s="12">
        <f t="shared" si="3"/>
        <v>0</v>
      </c>
      <c r="K50" s="13">
        <f t="shared" si="2"/>
        <v>0</v>
      </c>
    </row>
    <row r="51" spans="1:11" ht="30" customHeight="1" x14ac:dyDescent="0.3">
      <c r="A51" s="6"/>
      <c r="B51" s="7">
        <v>8809971489911</v>
      </c>
      <c r="C51" s="6" t="s">
        <v>100</v>
      </c>
      <c r="D51" s="8" t="s">
        <v>101</v>
      </c>
      <c r="E51" s="10">
        <v>24000</v>
      </c>
      <c r="F51" s="10">
        <v>8836.363636363636</v>
      </c>
      <c r="G51" s="19">
        <f t="shared" si="0"/>
        <v>0.36818181818181817</v>
      </c>
      <c r="H51" s="9">
        <v>120</v>
      </c>
      <c r="I51" s="11"/>
      <c r="J51" s="12">
        <f t="shared" si="3"/>
        <v>0</v>
      </c>
      <c r="K51" s="13">
        <f t="shared" si="2"/>
        <v>0</v>
      </c>
    </row>
    <row r="52" spans="1:11" ht="30" customHeight="1" x14ac:dyDescent="0.3">
      <c r="A52" s="6"/>
      <c r="B52" s="7">
        <v>8809875906811</v>
      </c>
      <c r="C52" s="6" t="s">
        <v>102</v>
      </c>
      <c r="D52" s="8" t="s">
        <v>103</v>
      </c>
      <c r="E52" s="10">
        <v>20000</v>
      </c>
      <c r="F52" s="10">
        <v>7363.636363636364</v>
      </c>
      <c r="G52" s="19">
        <f t="shared" si="0"/>
        <v>0.36818181818181822</v>
      </c>
      <c r="H52" s="9">
        <v>84</v>
      </c>
      <c r="I52" s="11"/>
      <c r="J52" s="12">
        <f t="shared" si="3"/>
        <v>0</v>
      </c>
      <c r="K52" s="13">
        <f t="shared" si="2"/>
        <v>0</v>
      </c>
    </row>
    <row r="53" spans="1:11" ht="30" customHeight="1" x14ac:dyDescent="0.3">
      <c r="A53" s="6"/>
      <c r="B53" s="7">
        <v>8809875907412</v>
      </c>
      <c r="C53" s="6" t="s">
        <v>104</v>
      </c>
      <c r="D53" s="8" t="s">
        <v>105</v>
      </c>
      <c r="E53" s="10">
        <v>32000</v>
      </c>
      <c r="F53" s="10">
        <v>12654.545454545456</v>
      </c>
      <c r="G53" s="19">
        <f t="shared" si="0"/>
        <v>0.3954545454545455</v>
      </c>
      <c r="H53" s="9">
        <v>48</v>
      </c>
      <c r="I53" s="11"/>
      <c r="J53" s="12">
        <f t="shared" si="3"/>
        <v>0</v>
      </c>
      <c r="K53" s="13">
        <f t="shared" si="2"/>
        <v>0</v>
      </c>
    </row>
    <row r="54" spans="1:11" ht="30" customHeight="1" x14ac:dyDescent="0.3">
      <c r="A54" s="6"/>
      <c r="B54" s="7">
        <v>8809743546323</v>
      </c>
      <c r="C54" s="6" t="s">
        <v>106</v>
      </c>
      <c r="D54" s="8" t="s">
        <v>107</v>
      </c>
      <c r="E54" s="10">
        <v>20000</v>
      </c>
      <c r="F54" s="10">
        <v>8272.7272727272721</v>
      </c>
      <c r="G54" s="19">
        <f t="shared" si="0"/>
        <v>0.41363636363636358</v>
      </c>
      <c r="H54" s="9">
        <v>30</v>
      </c>
      <c r="I54" s="11"/>
      <c r="J54" s="12">
        <f t="shared" si="3"/>
        <v>0</v>
      </c>
      <c r="K54" s="13">
        <f t="shared" si="2"/>
        <v>0</v>
      </c>
    </row>
    <row r="55" spans="1:11" ht="30" customHeight="1" x14ac:dyDescent="0.3">
      <c r="A55" s="6"/>
      <c r="B55" s="7">
        <v>8809743547467</v>
      </c>
      <c r="C55" s="6" t="s">
        <v>108</v>
      </c>
      <c r="D55" s="8" t="s">
        <v>109</v>
      </c>
      <c r="E55" s="10">
        <v>40000</v>
      </c>
      <c r="F55" s="10">
        <v>12545.454545454542</v>
      </c>
      <c r="G55" s="19">
        <f t="shared" si="0"/>
        <v>0.31363636363636355</v>
      </c>
      <c r="H55" s="9">
        <v>24</v>
      </c>
      <c r="I55" s="11"/>
      <c r="J55" s="12">
        <f t="shared" si="3"/>
        <v>0</v>
      </c>
      <c r="K55" s="13">
        <f t="shared" si="2"/>
        <v>0</v>
      </c>
    </row>
    <row r="56" spans="1:11" ht="30" customHeight="1" x14ac:dyDescent="0.3">
      <c r="A56" s="6"/>
      <c r="B56" s="7">
        <v>8809971484503</v>
      </c>
      <c r="C56" s="6" t="s">
        <v>110</v>
      </c>
      <c r="D56" s="8" t="s">
        <v>111</v>
      </c>
      <c r="E56" s="10">
        <v>35000</v>
      </c>
      <c r="F56" s="10">
        <v>10022.72727272727</v>
      </c>
      <c r="G56" s="19">
        <f t="shared" si="0"/>
        <v>0.28636363636363632</v>
      </c>
      <c r="H56" s="9">
        <v>120</v>
      </c>
      <c r="I56" s="11"/>
      <c r="J56" s="12">
        <f t="shared" si="3"/>
        <v>0</v>
      </c>
      <c r="K56" s="13">
        <f t="shared" si="2"/>
        <v>0</v>
      </c>
    </row>
    <row r="57" spans="1:11" ht="30" customHeight="1" x14ac:dyDescent="0.3">
      <c r="A57" s="6"/>
      <c r="B57" s="7">
        <v>8809971484510</v>
      </c>
      <c r="C57" s="6" t="s">
        <v>112</v>
      </c>
      <c r="D57" s="8" t="s">
        <v>113</v>
      </c>
      <c r="E57" s="10">
        <v>24000</v>
      </c>
      <c r="F57" s="10">
        <v>9381.8181818181802</v>
      </c>
      <c r="G57" s="19">
        <f t="shared" si="0"/>
        <v>0.39090909090909082</v>
      </c>
      <c r="H57" s="9">
        <v>120</v>
      </c>
      <c r="I57" s="11"/>
      <c r="J57" s="12">
        <f t="shared" si="3"/>
        <v>0</v>
      </c>
      <c r="K57" s="13">
        <f t="shared" si="2"/>
        <v>0</v>
      </c>
    </row>
    <row r="58" spans="1:11" ht="30" customHeight="1" x14ac:dyDescent="0.3">
      <c r="A58" s="6"/>
      <c r="B58" s="7">
        <v>8809971482349</v>
      </c>
      <c r="C58" s="6" t="s">
        <v>114</v>
      </c>
      <c r="D58" s="8" t="s">
        <v>115</v>
      </c>
      <c r="E58" s="10">
        <v>0</v>
      </c>
      <c r="F58" s="10">
        <v>8275.7818181818184</v>
      </c>
      <c r="G58" s="19" t="e">
        <f t="shared" si="0"/>
        <v>#DIV/0!</v>
      </c>
      <c r="H58" s="9">
        <v>40</v>
      </c>
      <c r="I58" s="11"/>
      <c r="J58" s="12">
        <f t="shared" si="3"/>
        <v>0</v>
      </c>
      <c r="K58" s="13">
        <f t="shared" si="2"/>
        <v>0</v>
      </c>
    </row>
    <row r="59" spans="1:11" ht="30" customHeight="1" x14ac:dyDescent="0.3">
      <c r="A59" s="6"/>
      <c r="B59" s="7">
        <v>8809606852332</v>
      </c>
      <c r="C59" s="6" t="s">
        <v>116</v>
      </c>
      <c r="D59" s="8" t="s">
        <v>117</v>
      </c>
      <c r="E59" s="10">
        <v>0</v>
      </c>
      <c r="F59" s="10">
        <v>5863.7090909090912</v>
      </c>
      <c r="G59" s="19" t="e">
        <f t="shared" si="0"/>
        <v>#DIV/0!</v>
      </c>
      <c r="H59" s="9">
        <v>64</v>
      </c>
      <c r="I59" s="11"/>
      <c r="J59" s="12">
        <f t="shared" si="3"/>
        <v>0</v>
      </c>
      <c r="K59" s="13">
        <f t="shared" si="2"/>
        <v>0</v>
      </c>
    </row>
    <row r="60" spans="1:11" ht="30" customHeight="1" x14ac:dyDescent="0.3">
      <c r="A60" s="6"/>
      <c r="B60" s="7">
        <v>8800296551789</v>
      </c>
      <c r="C60" s="6" t="s">
        <v>118</v>
      </c>
      <c r="D60" s="8" t="s">
        <v>119</v>
      </c>
      <c r="E60" s="10">
        <v>0</v>
      </c>
      <c r="F60" s="10">
        <v>6711.8545454545456</v>
      </c>
      <c r="G60" s="19" t="e">
        <f t="shared" si="0"/>
        <v>#DIV/0!</v>
      </c>
      <c r="H60" s="9">
        <v>64</v>
      </c>
      <c r="I60" s="11"/>
      <c r="J60" s="12">
        <f t="shared" si="3"/>
        <v>0</v>
      </c>
      <c r="K60" s="13">
        <f t="shared" si="2"/>
        <v>0</v>
      </c>
    </row>
    <row r="61" spans="1:11" ht="30" customHeight="1" x14ac:dyDescent="0.3"/>
    <row r="62" spans="1:11" ht="30" customHeight="1" x14ac:dyDescent="0.3"/>
    <row r="63" spans="1:11" ht="30" customHeight="1" x14ac:dyDescent="0.3"/>
    <row r="64" spans="1:11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</sheetData>
  <mergeCells count="2">
    <mergeCell ref="E6:G6"/>
    <mergeCell ref="A1:C1"/>
  </mergeCells>
  <phoneticPr fontId="2" type="noConversion"/>
  <conditionalFormatting sqref="E5:G5 I5:L5 A5:D6 H5:H6 K7:L7">
    <cfRule type="expression" dxfId="9" priority="17">
      <formula>#REF!="품절"</formula>
    </cfRule>
    <cfRule type="expression" dxfId="8" priority="18">
      <formula>#REF!="단종"</formula>
    </cfRule>
  </conditionalFormatting>
  <conditionalFormatting sqref="E6:L6">
    <cfRule type="expression" dxfId="7" priority="21">
      <formula>#REF!="품절"</formula>
    </cfRule>
    <cfRule type="expression" dxfId="6" priority="22">
      <formula>#REF!="단종"</formula>
    </cfRule>
  </conditionalFormatting>
  <conditionalFormatting sqref="J7:K60">
    <cfRule type="expression" dxfId="5" priority="15">
      <formula>#REF!="품절"</formula>
    </cfRule>
    <cfRule type="expression" dxfId="4" priority="16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248D-07AF-4FA9-927E-D398F5102087}">
  <dimension ref="A1:K60"/>
  <sheetViews>
    <sheetView tabSelected="1" zoomScale="85" zoomScaleNormal="85" workbookViewId="0">
      <selection activeCell="D2" sqref="D2"/>
    </sheetView>
  </sheetViews>
  <sheetFormatPr defaultRowHeight="16.5" x14ac:dyDescent="0.3"/>
  <cols>
    <col min="2" max="2" width="15.625" bestFit="1" customWidth="1"/>
    <col min="3" max="3" width="48.625" customWidth="1"/>
    <col min="4" max="4" width="66.25" customWidth="1"/>
    <col min="6" max="6" width="12.25" customWidth="1"/>
    <col min="9" max="9" width="16.875" bestFit="1" customWidth="1"/>
    <col min="10" max="10" width="22.5" bestFit="1" customWidth="1"/>
    <col min="11" max="11" width="20.125" bestFit="1" customWidth="1"/>
  </cols>
  <sheetData>
    <row r="1" spans="1:11" ht="30" customHeight="1" x14ac:dyDescent="0.3">
      <c r="A1" s="21" t="s">
        <v>131</v>
      </c>
      <c r="B1" s="22"/>
      <c r="C1" s="22"/>
      <c r="D1" s="20"/>
    </row>
    <row r="2" spans="1:11" ht="16.5" customHeight="1" x14ac:dyDescent="0.3"/>
    <row r="3" spans="1:11" ht="16.5" customHeight="1" x14ac:dyDescent="0.3"/>
    <row r="4" spans="1:11" ht="16.5" customHeight="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7" t="s">
        <v>10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3" t="s">
        <v>7</v>
      </c>
      <c r="F6" s="23"/>
      <c r="G6" s="23"/>
      <c r="H6" s="2"/>
      <c r="I6" s="3">
        <f>SUM(I7:I60)</f>
        <v>0</v>
      </c>
      <c r="J6" s="4">
        <f>SUM(J7:J60)</f>
        <v>0</v>
      </c>
      <c r="K6" s="5">
        <f>SUM(K7:K60)</f>
        <v>0</v>
      </c>
    </row>
    <row r="7" spans="1:11" ht="30" customHeight="1" x14ac:dyDescent="0.3">
      <c r="A7" s="6">
        <v>1</v>
      </c>
      <c r="B7" s="7" t="s">
        <v>120</v>
      </c>
      <c r="C7" s="6" t="s">
        <v>12</v>
      </c>
      <c r="D7" s="8" t="s">
        <v>13</v>
      </c>
      <c r="E7" s="10">
        <v>4000</v>
      </c>
      <c r="F7" s="10">
        <v>1454.5454545454545</v>
      </c>
      <c r="G7" s="19">
        <v>0.37363636363636366</v>
      </c>
      <c r="H7" s="9">
        <v>100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 t="s">
        <v>121</v>
      </c>
      <c r="C8" s="6" t="s">
        <v>14</v>
      </c>
      <c r="D8" s="8" t="s">
        <v>15</v>
      </c>
      <c r="E8" s="10">
        <v>40000</v>
      </c>
      <c r="F8" s="10">
        <v>13636.363636363636</v>
      </c>
      <c r="G8" s="19">
        <v>0.35090909090909089</v>
      </c>
      <c r="H8" s="9">
        <v>20</v>
      </c>
      <c r="I8" s="11"/>
      <c r="J8" s="12">
        <f t="shared" ref="J8:J60" si="0">I8*H8</f>
        <v>0</v>
      </c>
      <c r="K8" s="13">
        <f>IF($F8&gt;0,$J8*$F8,"")</f>
        <v>0</v>
      </c>
    </row>
    <row r="9" spans="1:11" ht="30" customHeight="1" x14ac:dyDescent="0.3">
      <c r="A9" s="6">
        <v>3</v>
      </c>
      <c r="B9" s="7" t="s">
        <v>122</v>
      </c>
      <c r="C9" s="6" t="s">
        <v>16</v>
      </c>
      <c r="D9" s="8" t="s">
        <v>17</v>
      </c>
      <c r="E9" s="10">
        <v>4000</v>
      </c>
      <c r="F9" s="10">
        <v>1454.5454545454545</v>
      </c>
      <c r="G9" s="19">
        <v>0.37363636363636366</v>
      </c>
      <c r="H9" s="9">
        <v>100</v>
      </c>
      <c r="I9" s="11"/>
      <c r="J9" s="12">
        <f t="shared" si="0"/>
        <v>0</v>
      </c>
      <c r="K9" s="13">
        <f>IF($F9&gt;0,$J9*$F9,"")</f>
        <v>0</v>
      </c>
    </row>
    <row r="10" spans="1:11" ht="30" customHeight="1" x14ac:dyDescent="0.3">
      <c r="A10" s="6">
        <v>4</v>
      </c>
      <c r="B10" s="7" t="s">
        <v>123</v>
      </c>
      <c r="C10" s="6" t="s">
        <v>18</v>
      </c>
      <c r="D10" s="8" t="s">
        <v>19</v>
      </c>
      <c r="E10" s="10">
        <v>40000</v>
      </c>
      <c r="F10" s="10">
        <v>13636.363636363636</v>
      </c>
      <c r="G10" s="19">
        <v>0.35090909090909089</v>
      </c>
      <c r="H10" s="9">
        <v>20</v>
      </c>
      <c r="I10" s="11"/>
      <c r="J10" s="12">
        <f t="shared" si="0"/>
        <v>0</v>
      </c>
      <c r="K10" s="13">
        <f>IF($F10&gt;0,$J10*$F10,"")</f>
        <v>0</v>
      </c>
    </row>
    <row r="11" spans="1:11" ht="30" customHeight="1" x14ac:dyDescent="0.3">
      <c r="A11" s="6">
        <v>5</v>
      </c>
      <c r="B11" s="7" t="s">
        <v>124</v>
      </c>
      <c r="C11" s="6" t="s">
        <v>20</v>
      </c>
      <c r="D11" s="8" t="s">
        <v>21</v>
      </c>
      <c r="E11" s="10">
        <v>4000</v>
      </c>
      <c r="F11" s="10">
        <v>1454.5454545454545</v>
      </c>
      <c r="G11" s="19">
        <v>0.37363636363636366</v>
      </c>
      <c r="H11" s="9">
        <v>100</v>
      </c>
      <c r="I11" s="11"/>
      <c r="J11" s="12">
        <f t="shared" si="0"/>
        <v>0</v>
      </c>
      <c r="K11" s="13">
        <f>IF($F11&gt;0,$J11*$F11,"")</f>
        <v>0</v>
      </c>
    </row>
    <row r="12" spans="1:11" ht="30" customHeight="1" x14ac:dyDescent="0.3">
      <c r="A12" s="6">
        <v>6</v>
      </c>
      <c r="B12" s="7" t="s">
        <v>125</v>
      </c>
      <c r="C12" s="6" t="s">
        <v>22</v>
      </c>
      <c r="D12" s="8" t="s">
        <v>23</v>
      </c>
      <c r="E12" s="10">
        <v>40000</v>
      </c>
      <c r="F12" s="10">
        <v>13636.363636363636</v>
      </c>
      <c r="G12" s="19">
        <v>0.35090909090909089</v>
      </c>
      <c r="H12" s="9">
        <v>20</v>
      </c>
      <c r="I12" s="11"/>
      <c r="J12" s="12">
        <f t="shared" si="0"/>
        <v>0</v>
      </c>
      <c r="K12" s="13">
        <f>IF($F12&gt;0,$J12*$F12,"")</f>
        <v>0</v>
      </c>
    </row>
    <row r="13" spans="1:11" ht="30" customHeight="1" x14ac:dyDescent="0.3">
      <c r="A13" s="6">
        <v>7</v>
      </c>
      <c r="B13" s="7">
        <v>8800296551550</v>
      </c>
      <c r="C13" s="6" t="s">
        <v>24</v>
      </c>
      <c r="D13" s="8" t="s">
        <v>25</v>
      </c>
      <c r="E13" s="10">
        <v>6000</v>
      </c>
      <c r="F13" s="10">
        <v>2563.6363636363635</v>
      </c>
      <c r="G13" s="19">
        <v>0.43727272727272726</v>
      </c>
      <c r="H13" s="9">
        <v>48</v>
      </c>
      <c r="I13" s="11"/>
      <c r="J13" s="12">
        <f t="shared" si="0"/>
        <v>0</v>
      </c>
      <c r="K13" s="13">
        <f>IF($F13&gt;0,$J13*$F13,"")</f>
        <v>0</v>
      </c>
    </row>
    <row r="14" spans="1:11" ht="30" customHeight="1" x14ac:dyDescent="0.3">
      <c r="A14" s="6">
        <v>8</v>
      </c>
      <c r="B14" s="7">
        <v>8800296551567</v>
      </c>
      <c r="C14" s="6" t="s">
        <v>26</v>
      </c>
      <c r="D14" s="8" t="s">
        <v>27</v>
      </c>
      <c r="E14" s="10">
        <v>26000</v>
      </c>
      <c r="F14" s="10">
        <v>10281.81818181818</v>
      </c>
      <c r="G14" s="19">
        <v>0.4054545454545454</v>
      </c>
      <c r="H14" s="9">
        <v>24</v>
      </c>
      <c r="I14" s="11"/>
      <c r="J14" s="12">
        <f t="shared" si="0"/>
        <v>0</v>
      </c>
      <c r="K14" s="13">
        <f>IF($F14&gt;0,$J14*$F14,"")</f>
        <v>0</v>
      </c>
    </row>
    <row r="15" spans="1:11" ht="30" customHeight="1" x14ac:dyDescent="0.3">
      <c r="A15" s="6">
        <v>9</v>
      </c>
      <c r="B15" s="7">
        <v>8800296556425</v>
      </c>
      <c r="C15" s="6" t="s">
        <v>28</v>
      </c>
      <c r="D15" s="8" t="s">
        <v>29</v>
      </c>
      <c r="E15" s="10">
        <v>8000</v>
      </c>
      <c r="F15" s="10">
        <v>2545.4545454545455</v>
      </c>
      <c r="G15" s="19">
        <v>0.32818181818181819</v>
      </c>
      <c r="H15" s="9">
        <v>90</v>
      </c>
      <c r="I15" s="11"/>
      <c r="J15" s="12">
        <f t="shared" si="0"/>
        <v>0</v>
      </c>
      <c r="K15" s="13">
        <f>IF($F15&gt;0,$J15*$F15,"")</f>
        <v>0</v>
      </c>
    </row>
    <row r="16" spans="1:11" ht="30" customHeight="1" x14ac:dyDescent="0.3">
      <c r="A16" s="6">
        <v>10</v>
      </c>
      <c r="B16" s="7">
        <v>8800296557255</v>
      </c>
      <c r="C16" s="6" t="s">
        <v>30</v>
      </c>
      <c r="D16" s="8" t="s">
        <v>31</v>
      </c>
      <c r="E16" s="10">
        <v>32000</v>
      </c>
      <c r="F16" s="10">
        <v>9745.4545454545441</v>
      </c>
      <c r="G16" s="19">
        <v>0.31454545454545452</v>
      </c>
      <c r="H16" s="9">
        <v>20</v>
      </c>
      <c r="I16" s="11"/>
      <c r="J16" s="12">
        <f t="shared" si="0"/>
        <v>0</v>
      </c>
      <c r="K16" s="13">
        <f>IF($F16&gt;0,$J16*$F16,"")</f>
        <v>0</v>
      </c>
    </row>
    <row r="17" spans="1:11" ht="30" customHeight="1" x14ac:dyDescent="0.3">
      <c r="A17" s="6">
        <v>11</v>
      </c>
      <c r="B17" s="7">
        <v>8809954940354</v>
      </c>
      <c r="C17" s="6" t="s">
        <v>32</v>
      </c>
      <c r="D17" s="8" t="s">
        <v>33</v>
      </c>
      <c r="E17" s="10">
        <v>18000</v>
      </c>
      <c r="F17" s="10">
        <v>6545.454545454545</v>
      </c>
      <c r="G17" s="19">
        <v>0.3736363636363636</v>
      </c>
      <c r="H17" s="9">
        <v>24</v>
      </c>
      <c r="I17" s="11"/>
      <c r="J17" s="12">
        <f t="shared" si="0"/>
        <v>0</v>
      </c>
      <c r="K17" s="13">
        <f>IF($F17&gt;0,$J17*$F17,"")</f>
        <v>0</v>
      </c>
    </row>
    <row r="18" spans="1:11" ht="30" customHeight="1" x14ac:dyDescent="0.3">
      <c r="A18" s="6">
        <v>12</v>
      </c>
      <c r="B18" s="7">
        <v>8809954940132</v>
      </c>
      <c r="C18" s="6" t="s">
        <v>34</v>
      </c>
      <c r="D18" s="8" t="s">
        <v>35</v>
      </c>
      <c r="E18" s="10">
        <v>25000</v>
      </c>
      <c r="F18" s="10">
        <v>9659.0909090909081</v>
      </c>
      <c r="G18" s="19">
        <v>0.39636363636363631</v>
      </c>
      <c r="H18" s="9">
        <v>24</v>
      </c>
      <c r="I18" s="11"/>
      <c r="J18" s="12">
        <f t="shared" si="0"/>
        <v>0</v>
      </c>
      <c r="K18" s="13">
        <f>IF($F18&gt;0,$J18*$F18,"")</f>
        <v>0</v>
      </c>
    </row>
    <row r="19" spans="1:11" ht="30" customHeight="1" x14ac:dyDescent="0.3">
      <c r="A19" s="6">
        <v>13</v>
      </c>
      <c r="B19" s="7">
        <v>8809875907795</v>
      </c>
      <c r="C19" s="6" t="s">
        <v>36</v>
      </c>
      <c r="D19" s="8" t="s">
        <v>37</v>
      </c>
      <c r="E19" s="10">
        <v>28000</v>
      </c>
      <c r="F19" s="10">
        <v>12218.181818181818</v>
      </c>
      <c r="G19" s="19">
        <v>0.44636363636363635</v>
      </c>
      <c r="H19" s="9">
        <v>60</v>
      </c>
      <c r="I19" s="11"/>
      <c r="J19" s="12">
        <f t="shared" si="0"/>
        <v>0</v>
      </c>
      <c r="K19" s="13">
        <f>IF($F19&gt;0,$J19*$F19,"")</f>
        <v>0</v>
      </c>
    </row>
    <row r="20" spans="1:11" ht="30" customHeight="1" x14ac:dyDescent="0.3">
      <c r="A20" s="6">
        <v>14</v>
      </c>
      <c r="B20" s="7">
        <v>8809971482318</v>
      </c>
      <c r="C20" s="6" t="s">
        <v>38</v>
      </c>
      <c r="D20" s="8" t="s">
        <v>39</v>
      </c>
      <c r="E20" s="10">
        <v>37000</v>
      </c>
      <c r="F20" s="10">
        <v>14968.181818181816</v>
      </c>
      <c r="G20" s="19">
        <v>0.41454545454545449</v>
      </c>
      <c r="H20" s="9">
        <v>60</v>
      </c>
      <c r="I20" s="11"/>
      <c r="J20" s="12">
        <f t="shared" si="0"/>
        <v>0</v>
      </c>
      <c r="K20" s="13">
        <f>IF($F20&gt;0,$J20*$F20,"")</f>
        <v>0</v>
      </c>
    </row>
    <row r="21" spans="1:11" ht="30" customHeight="1" x14ac:dyDescent="0.3">
      <c r="A21" s="6">
        <v>15</v>
      </c>
      <c r="B21" s="7">
        <v>8809954940347</v>
      </c>
      <c r="C21" s="6" t="s">
        <v>40</v>
      </c>
      <c r="D21" s="8" t="s">
        <v>41</v>
      </c>
      <c r="E21" s="10">
        <v>30000</v>
      </c>
      <c r="F21" s="10">
        <v>11318.181818181818</v>
      </c>
      <c r="G21" s="19">
        <v>0.38727272727272727</v>
      </c>
      <c r="H21" s="9">
        <v>24</v>
      </c>
      <c r="I21" s="11"/>
      <c r="J21" s="12">
        <f t="shared" si="0"/>
        <v>0</v>
      </c>
      <c r="K21" s="13">
        <f>IF($F21&gt;0,$J21*$F21,"")</f>
        <v>0</v>
      </c>
    </row>
    <row r="22" spans="1:11" ht="30" customHeight="1" x14ac:dyDescent="0.3">
      <c r="A22" s="6">
        <v>16</v>
      </c>
      <c r="B22" s="7">
        <v>8809606850666</v>
      </c>
      <c r="C22" s="6" t="s">
        <v>42</v>
      </c>
      <c r="D22" s="8" t="s">
        <v>43</v>
      </c>
      <c r="E22" s="10">
        <v>35000</v>
      </c>
      <c r="F22" s="10">
        <v>11613.636363636362</v>
      </c>
      <c r="G22" s="19">
        <v>0.3418181818181818</v>
      </c>
      <c r="H22" s="9">
        <v>100</v>
      </c>
      <c r="I22" s="11"/>
      <c r="J22" s="12">
        <f t="shared" si="0"/>
        <v>0</v>
      </c>
      <c r="K22" s="13">
        <f>IF($F22&gt;0,$J22*$F22,"")</f>
        <v>0</v>
      </c>
    </row>
    <row r="23" spans="1:11" ht="30" customHeight="1" x14ac:dyDescent="0.3">
      <c r="A23" s="6">
        <v>17</v>
      </c>
      <c r="B23" s="7">
        <v>8809686386185</v>
      </c>
      <c r="C23" s="6" t="s">
        <v>44</v>
      </c>
      <c r="D23" s="8" t="s">
        <v>45</v>
      </c>
      <c r="E23" s="10">
        <v>31000</v>
      </c>
      <c r="F23" s="10">
        <v>11413.636363636362</v>
      </c>
      <c r="G23" s="19">
        <v>0.37818181818181812</v>
      </c>
      <c r="H23" s="9">
        <v>90</v>
      </c>
      <c r="I23" s="11"/>
      <c r="J23" s="12">
        <f t="shared" si="0"/>
        <v>0</v>
      </c>
      <c r="K23" s="13">
        <f>IF($F23&gt;0,$J23*$F23,"")</f>
        <v>0</v>
      </c>
    </row>
    <row r="24" spans="1:11" ht="30" customHeight="1" x14ac:dyDescent="0.3">
      <c r="A24" s="6">
        <v>18</v>
      </c>
      <c r="B24" s="7">
        <v>8809954940477</v>
      </c>
      <c r="C24" s="6" t="s">
        <v>46</v>
      </c>
      <c r="D24" s="8" t="s">
        <v>47</v>
      </c>
      <c r="E24" s="10">
        <v>16000</v>
      </c>
      <c r="F24" s="10">
        <v>6836.3636363636369</v>
      </c>
      <c r="G24" s="19">
        <v>0.43727272727272731</v>
      </c>
      <c r="H24" s="9">
        <v>48</v>
      </c>
      <c r="I24" s="11"/>
      <c r="J24" s="12">
        <f t="shared" si="0"/>
        <v>0</v>
      </c>
      <c r="K24" s="13">
        <f>IF($F24&gt;0,$J24*$F24,"")</f>
        <v>0</v>
      </c>
    </row>
    <row r="25" spans="1:11" ht="30" customHeight="1" x14ac:dyDescent="0.3">
      <c r="A25" s="6">
        <v>19</v>
      </c>
      <c r="B25" s="7" t="s">
        <v>126</v>
      </c>
      <c r="C25" s="6" t="s">
        <v>48</v>
      </c>
      <c r="D25" s="8" t="s">
        <v>49</v>
      </c>
      <c r="E25" s="10">
        <v>18000</v>
      </c>
      <c r="F25" s="10">
        <v>6545.454545454545</v>
      </c>
      <c r="G25" s="19">
        <v>0.3736363636363636</v>
      </c>
      <c r="H25" s="9">
        <v>24</v>
      </c>
      <c r="I25" s="11"/>
      <c r="J25" s="12">
        <f t="shared" si="0"/>
        <v>0</v>
      </c>
      <c r="K25" s="13">
        <f>IF($F25&gt;0,$J25*$F25,"")</f>
        <v>0</v>
      </c>
    </row>
    <row r="26" spans="1:11" ht="30" customHeight="1" x14ac:dyDescent="0.3">
      <c r="A26" s="6">
        <v>20</v>
      </c>
      <c r="B26" s="7">
        <v>8809750465464</v>
      </c>
      <c r="C26" s="6" t="s">
        <v>50</v>
      </c>
      <c r="D26" s="8" t="s">
        <v>51</v>
      </c>
      <c r="E26" s="10">
        <v>25000</v>
      </c>
      <c r="F26" s="10">
        <v>8750</v>
      </c>
      <c r="G26" s="19">
        <v>0.36</v>
      </c>
      <c r="H26" s="9">
        <v>24</v>
      </c>
      <c r="I26" s="11"/>
      <c r="J26" s="12">
        <f t="shared" si="0"/>
        <v>0</v>
      </c>
      <c r="K26" s="13">
        <f>IF($F26&gt;0,$J26*$F26,"")</f>
        <v>0</v>
      </c>
    </row>
    <row r="27" spans="1:11" ht="30" customHeight="1" x14ac:dyDescent="0.3">
      <c r="A27" s="6">
        <v>21</v>
      </c>
      <c r="B27" s="7">
        <v>8809743544626</v>
      </c>
      <c r="C27" s="6" t="s">
        <v>52</v>
      </c>
      <c r="D27" s="8" t="s">
        <v>53</v>
      </c>
      <c r="E27" s="10">
        <v>26000</v>
      </c>
      <c r="F27" s="10">
        <v>9809.0909090909099</v>
      </c>
      <c r="G27" s="19">
        <v>0.38727272727272732</v>
      </c>
      <c r="H27" s="9">
        <v>36</v>
      </c>
      <c r="I27" s="11"/>
      <c r="J27" s="12">
        <f t="shared" si="0"/>
        <v>0</v>
      </c>
      <c r="K27" s="13">
        <f>IF($F27&gt;0,$J27*$F27,"")</f>
        <v>0</v>
      </c>
    </row>
    <row r="28" spans="1:11" ht="30" customHeight="1" x14ac:dyDescent="0.3">
      <c r="A28" s="6">
        <v>22</v>
      </c>
      <c r="B28" s="7">
        <v>8809782557861</v>
      </c>
      <c r="C28" s="6" t="s">
        <v>54</v>
      </c>
      <c r="D28" s="8" t="s">
        <v>55</v>
      </c>
      <c r="E28" s="10">
        <v>22000</v>
      </c>
      <c r="F28" s="10">
        <v>7999.9999999999991</v>
      </c>
      <c r="G28" s="19">
        <v>0.3736363636363636</v>
      </c>
      <c r="H28" s="9">
        <v>100</v>
      </c>
      <c r="I28" s="11"/>
      <c r="J28" s="12">
        <f t="shared" si="0"/>
        <v>0</v>
      </c>
      <c r="K28" s="13">
        <f>IF($F28&gt;0,$J28*$F28,"")</f>
        <v>0</v>
      </c>
    </row>
    <row r="29" spans="1:11" ht="30" customHeight="1" x14ac:dyDescent="0.3">
      <c r="A29" s="6">
        <v>23</v>
      </c>
      <c r="B29" s="7">
        <v>8809463992615</v>
      </c>
      <c r="C29" s="6" t="s">
        <v>56</v>
      </c>
      <c r="D29" s="8" t="s">
        <v>57</v>
      </c>
      <c r="E29" s="10">
        <v>17000</v>
      </c>
      <c r="F29" s="10">
        <v>7263.636363636364</v>
      </c>
      <c r="G29" s="19">
        <v>0.43727272727272731</v>
      </c>
      <c r="H29" s="9">
        <v>24</v>
      </c>
      <c r="I29" s="11"/>
      <c r="J29" s="12">
        <f t="shared" si="0"/>
        <v>0</v>
      </c>
      <c r="K29" s="13">
        <f>IF($F29&gt;0,$J29*$F29,"")</f>
        <v>0</v>
      </c>
    </row>
    <row r="30" spans="1:11" ht="30" customHeight="1" x14ac:dyDescent="0.3">
      <c r="A30" s="6">
        <v>24</v>
      </c>
      <c r="B30" s="7">
        <v>8809463992707</v>
      </c>
      <c r="C30" s="6" t="s">
        <v>58</v>
      </c>
      <c r="D30" s="8" t="s">
        <v>59</v>
      </c>
      <c r="E30" s="10">
        <v>15000</v>
      </c>
      <c r="F30" s="10">
        <v>5999.9999999999991</v>
      </c>
      <c r="G30" s="19">
        <v>0.41</v>
      </c>
      <c r="H30" s="9">
        <v>24</v>
      </c>
      <c r="I30" s="11"/>
      <c r="J30" s="12">
        <f t="shared" si="0"/>
        <v>0</v>
      </c>
      <c r="K30" s="13">
        <f>IF($F30&gt;0,$J30*$F30,"")</f>
        <v>0</v>
      </c>
    </row>
    <row r="31" spans="1:11" ht="30" customHeight="1" x14ac:dyDescent="0.3">
      <c r="A31" s="6">
        <v>25</v>
      </c>
      <c r="B31" s="7">
        <v>8809463993889</v>
      </c>
      <c r="C31" s="6" t="s">
        <v>60</v>
      </c>
      <c r="D31" s="8" t="s">
        <v>61</v>
      </c>
      <c r="E31" s="10">
        <v>20000</v>
      </c>
      <c r="F31" s="10">
        <v>6818.181818181818</v>
      </c>
      <c r="G31" s="19">
        <v>0.35090909090909089</v>
      </c>
      <c r="H31" s="9">
        <v>16</v>
      </c>
      <c r="I31" s="11"/>
      <c r="J31" s="12">
        <f t="shared" si="0"/>
        <v>0</v>
      </c>
      <c r="K31" s="13">
        <f>IF($F31&gt;0,$J31*$F31,"")</f>
        <v>0</v>
      </c>
    </row>
    <row r="32" spans="1:11" ht="30" customHeight="1" x14ac:dyDescent="0.3">
      <c r="A32" s="6">
        <v>26</v>
      </c>
      <c r="B32" s="7">
        <v>8809783321225</v>
      </c>
      <c r="C32" s="6" t="s">
        <v>62</v>
      </c>
      <c r="D32" s="8" t="s">
        <v>63</v>
      </c>
      <c r="E32" s="10">
        <v>24000</v>
      </c>
      <c r="F32" s="10">
        <v>8290.9090909090901</v>
      </c>
      <c r="G32" s="19">
        <v>0.35545454545454541</v>
      </c>
      <c r="H32" s="9">
        <v>24</v>
      </c>
      <c r="I32" s="11"/>
      <c r="J32" s="12">
        <f t="shared" si="0"/>
        <v>0</v>
      </c>
      <c r="K32" s="13">
        <f>IF($F32&gt;0,$J32*$F32,"")</f>
        <v>0</v>
      </c>
    </row>
    <row r="33" spans="1:11" ht="30" customHeight="1" x14ac:dyDescent="0.3">
      <c r="A33" s="6">
        <v>27</v>
      </c>
      <c r="B33" s="7" t="s">
        <v>127</v>
      </c>
      <c r="C33" s="6" t="s">
        <v>64</v>
      </c>
      <c r="D33" s="8" t="s">
        <v>65</v>
      </c>
      <c r="E33" s="10">
        <v>31000</v>
      </c>
      <c r="F33" s="10">
        <v>9300</v>
      </c>
      <c r="G33" s="19">
        <v>0.31</v>
      </c>
      <c r="H33" s="9">
        <v>32</v>
      </c>
      <c r="I33" s="11"/>
      <c r="J33" s="12">
        <f t="shared" si="0"/>
        <v>0</v>
      </c>
      <c r="K33" s="13">
        <f>IF($F33&gt;0,$J33*$F33,"")</f>
        <v>0</v>
      </c>
    </row>
    <row r="34" spans="1:11" ht="30" customHeight="1" x14ac:dyDescent="0.3">
      <c r="A34" s="6">
        <v>28</v>
      </c>
      <c r="B34" s="7">
        <v>8809626562921</v>
      </c>
      <c r="C34" s="6" t="s">
        <v>66</v>
      </c>
      <c r="D34" s="8" t="s">
        <v>67</v>
      </c>
      <c r="E34" s="10">
        <v>9000</v>
      </c>
      <c r="F34" s="10">
        <v>3681.818181818182</v>
      </c>
      <c r="G34" s="19">
        <v>0.41909090909090913</v>
      </c>
      <c r="H34" s="9">
        <v>45</v>
      </c>
      <c r="I34" s="11"/>
      <c r="J34" s="12">
        <f t="shared" si="0"/>
        <v>0</v>
      </c>
      <c r="K34" s="13">
        <f>IF($F34&gt;0,$J34*$F34,"")</f>
        <v>0</v>
      </c>
    </row>
    <row r="35" spans="1:11" ht="30" customHeight="1" x14ac:dyDescent="0.3">
      <c r="A35" s="6">
        <v>29</v>
      </c>
      <c r="B35" s="7">
        <v>8809783324097</v>
      </c>
      <c r="C35" s="6" t="s">
        <v>68</v>
      </c>
      <c r="D35" s="8" t="s">
        <v>69</v>
      </c>
      <c r="E35" s="10">
        <v>14000</v>
      </c>
      <c r="F35" s="10">
        <v>7954.545454545454</v>
      </c>
      <c r="G35" s="19">
        <v>0.57818181818181813</v>
      </c>
      <c r="H35" s="9">
        <v>30</v>
      </c>
      <c r="I35" s="11"/>
      <c r="J35" s="12">
        <f t="shared" si="0"/>
        <v>0</v>
      </c>
      <c r="K35" s="13">
        <f>IF($F35&gt;0,$J35*$F35,"")</f>
        <v>0</v>
      </c>
    </row>
    <row r="36" spans="1:11" ht="30" customHeight="1" x14ac:dyDescent="0.3">
      <c r="A36" s="6">
        <v>30</v>
      </c>
      <c r="B36" s="7">
        <v>8809606850499</v>
      </c>
      <c r="C36" s="6" t="s">
        <v>70</v>
      </c>
      <c r="D36" s="8" t="s">
        <v>71</v>
      </c>
      <c r="E36" s="10">
        <v>20000</v>
      </c>
      <c r="F36" s="10">
        <v>7909.0909090909099</v>
      </c>
      <c r="G36" s="19">
        <v>0.40545454545454551</v>
      </c>
      <c r="H36" s="9">
        <v>24</v>
      </c>
      <c r="I36" s="11"/>
      <c r="J36" s="12">
        <f t="shared" si="0"/>
        <v>0</v>
      </c>
      <c r="K36" s="13">
        <f>IF($F36&gt;0,$J36*$F36,"")</f>
        <v>0</v>
      </c>
    </row>
    <row r="37" spans="1:11" ht="30" customHeight="1" x14ac:dyDescent="0.3">
      <c r="A37" s="6">
        <v>31</v>
      </c>
      <c r="B37" s="7">
        <v>8809606850475</v>
      </c>
      <c r="C37" s="6" t="s">
        <v>72</v>
      </c>
      <c r="D37" s="8" t="s">
        <v>73</v>
      </c>
      <c r="E37" s="10">
        <v>22000</v>
      </c>
      <c r="F37" s="10">
        <v>8800</v>
      </c>
      <c r="G37" s="19">
        <v>0.41000000000000003</v>
      </c>
      <c r="H37" s="9">
        <v>24</v>
      </c>
      <c r="I37" s="11"/>
      <c r="J37" s="12">
        <f t="shared" si="0"/>
        <v>0</v>
      </c>
      <c r="K37" s="13">
        <f>IF($F37&gt;0,$J37*$F37,"")</f>
        <v>0</v>
      </c>
    </row>
    <row r="38" spans="1:11" ht="30" customHeight="1" x14ac:dyDescent="0.3">
      <c r="A38" s="6">
        <v>32</v>
      </c>
      <c r="B38" s="7">
        <v>8809606850482</v>
      </c>
      <c r="C38" s="6" t="s">
        <v>74</v>
      </c>
      <c r="D38" s="8" t="s">
        <v>75</v>
      </c>
      <c r="E38" s="10">
        <v>32000</v>
      </c>
      <c r="F38" s="10">
        <v>10618.181818181818</v>
      </c>
      <c r="G38" s="19">
        <v>0.3418181818181818</v>
      </c>
      <c r="H38" s="9">
        <v>56</v>
      </c>
      <c r="I38" s="11"/>
      <c r="J38" s="12">
        <f t="shared" si="0"/>
        <v>0</v>
      </c>
      <c r="K38" s="13">
        <f>IF($F38&gt;0,$J38*$F38,"")</f>
        <v>0</v>
      </c>
    </row>
    <row r="39" spans="1:11" ht="30" customHeight="1" x14ac:dyDescent="0.3">
      <c r="A39" s="6">
        <v>33</v>
      </c>
      <c r="B39" s="7">
        <v>8809606850505</v>
      </c>
      <c r="C39" s="6" t="s">
        <v>76</v>
      </c>
      <c r="D39" s="8" t="s">
        <v>77</v>
      </c>
      <c r="E39" s="10">
        <v>35000</v>
      </c>
      <c r="F39" s="10">
        <v>11613.636363636362</v>
      </c>
      <c r="G39" s="19">
        <v>0.3418181818181818</v>
      </c>
      <c r="H39" s="9">
        <v>90</v>
      </c>
      <c r="I39" s="11"/>
      <c r="J39" s="12">
        <f t="shared" si="0"/>
        <v>0</v>
      </c>
      <c r="K39" s="13">
        <f>IF($F39&gt;0,$J39*$F39,"")</f>
        <v>0</v>
      </c>
    </row>
    <row r="40" spans="1:11" ht="30" customHeight="1" x14ac:dyDescent="0.3">
      <c r="A40" s="6">
        <v>34</v>
      </c>
      <c r="B40" s="7">
        <v>8809686388172</v>
      </c>
      <c r="C40" s="6" t="s">
        <v>78</v>
      </c>
      <c r="D40" s="8" t="s">
        <v>79</v>
      </c>
      <c r="E40" s="10">
        <v>16000</v>
      </c>
      <c r="F40" s="10">
        <v>7927.272727272727</v>
      </c>
      <c r="G40" s="19">
        <v>0.50545454545454538</v>
      </c>
      <c r="H40" s="9">
        <v>72</v>
      </c>
      <c r="I40" s="11"/>
      <c r="J40" s="12">
        <f t="shared" si="0"/>
        <v>0</v>
      </c>
      <c r="K40" s="13">
        <f>IF($F40&gt;0,$J40*$F40,"")</f>
        <v>0</v>
      </c>
    </row>
    <row r="41" spans="1:11" ht="30" customHeight="1" x14ac:dyDescent="0.3">
      <c r="A41" s="6">
        <v>35</v>
      </c>
      <c r="B41" s="7" t="s">
        <v>128</v>
      </c>
      <c r="C41" s="6" t="s">
        <v>80</v>
      </c>
      <c r="D41" s="8" t="s">
        <v>81</v>
      </c>
      <c r="E41" s="10">
        <v>32000</v>
      </c>
      <c r="F41" s="10">
        <v>11345.454545454544</v>
      </c>
      <c r="G41" s="19">
        <v>0.36454545454545451</v>
      </c>
      <c r="H41" s="9">
        <v>12</v>
      </c>
      <c r="I41" s="11"/>
      <c r="J41" s="12">
        <f t="shared" si="0"/>
        <v>0</v>
      </c>
      <c r="K41" s="13">
        <f>IF($F41&gt;0,$J41*$F41,"")</f>
        <v>0</v>
      </c>
    </row>
    <row r="42" spans="1:11" ht="30" customHeight="1" x14ac:dyDescent="0.3">
      <c r="A42" s="6">
        <v>36</v>
      </c>
      <c r="B42" s="7" t="s">
        <v>129</v>
      </c>
      <c r="C42" s="6" t="s">
        <v>82</v>
      </c>
      <c r="D42" s="8" t="s">
        <v>83</v>
      </c>
      <c r="E42" s="10">
        <v>16000</v>
      </c>
      <c r="F42" s="10">
        <v>9163.6363636363621</v>
      </c>
      <c r="G42" s="19">
        <v>0.58272727272727265</v>
      </c>
      <c r="H42" s="9">
        <v>16</v>
      </c>
      <c r="I42" s="11"/>
      <c r="J42" s="12">
        <f t="shared" si="0"/>
        <v>0</v>
      </c>
      <c r="K42" s="13">
        <f>IF($F42&gt;0,$J42*$F42,"")</f>
        <v>0</v>
      </c>
    </row>
    <row r="43" spans="1:11" ht="30" customHeight="1" x14ac:dyDescent="0.3">
      <c r="A43" s="6">
        <v>37</v>
      </c>
      <c r="B43" s="7">
        <v>8809700320805</v>
      </c>
      <c r="C43" s="6" t="s">
        <v>84</v>
      </c>
      <c r="D43" s="8" t="s">
        <v>85</v>
      </c>
      <c r="E43" s="10">
        <v>32000</v>
      </c>
      <c r="F43" s="10">
        <v>9745.4545454545441</v>
      </c>
      <c r="G43" s="19">
        <v>0.31454545454545452</v>
      </c>
      <c r="H43" s="9">
        <v>60</v>
      </c>
      <c r="I43" s="11"/>
      <c r="J43" s="12">
        <f t="shared" si="0"/>
        <v>0</v>
      </c>
      <c r="K43" s="13">
        <f>IF($F43&gt;0,$J43*$F43,"")</f>
        <v>0</v>
      </c>
    </row>
    <row r="44" spans="1:11" ht="30" customHeight="1" x14ac:dyDescent="0.3">
      <c r="A44" s="6">
        <v>38</v>
      </c>
      <c r="B44" s="7">
        <v>8809700320812</v>
      </c>
      <c r="C44" s="6" t="s">
        <v>86</v>
      </c>
      <c r="D44" s="8" t="s">
        <v>87</v>
      </c>
      <c r="E44" s="10">
        <v>30000</v>
      </c>
      <c r="F44" s="10">
        <v>9545.454545454546</v>
      </c>
      <c r="G44" s="19">
        <v>0.32818181818181819</v>
      </c>
      <c r="H44" s="9">
        <v>120</v>
      </c>
      <c r="I44" s="11"/>
      <c r="J44" s="12">
        <f t="shared" si="0"/>
        <v>0</v>
      </c>
      <c r="K44" s="13">
        <f>IF($F44&gt;0,$J44*$F44,"")</f>
        <v>0</v>
      </c>
    </row>
    <row r="45" spans="1:11" ht="30" customHeight="1" x14ac:dyDescent="0.3">
      <c r="A45" s="6">
        <v>39</v>
      </c>
      <c r="B45" s="7">
        <v>8806050298525</v>
      </c>
      <c r="C45" s="6" t="s">
        <v>88</v>
      </c>
      <c r="D45" s="8" t="s">
        <v>89</v>
      </c>
      <c r="E45" s="10">
        <v>16000</v>
      </c>
      <c r="F45" s="10">
        <v>7054.545454545454</v>
      </c>
      <c r="G45" s="19">
        <v>0.45090909090909087</v>
      </c>
      <c r="H45" s="9">
        <v>35</v>
      </c>
      <c r="I45" s="11"/>
      <c r="J45" s="12">
        <f t="shared" si="0"/>
        <v>0</v>
      </c>
      <c r="K45" s="13">
        <f>IF($F45&gt;0,$J45*$F45,"")</f>
        <v>0</v>
      </c>
    </row>
    <row r="46" spans="1:11" ht="30" customHeight="1" x14ac:dyDescent="0.3">
      <c r="A46" s="6">
        <v>40</v>
      </c>
      <c r="B46" s="7">
        <v>8809975194439</v>
      </c>
      <c r="C46" s="6" t="s">
        <v>90</v>
      </c>
      <c r="D46" s="8" t="s">
        <v>91</v>
      </c>
      <c r="E46" s="10">
        <v>10000</v>
      </c>
      <c r="F46" s="10">
        <v>5363.636363636364</v>
      </c>
      <c r="G46" s="19">
        <v>0.54636363636363638</v>
      </c>
      <c r="H46" s="9">
        <v>40</v>
      </c>
      <c r="I46" s="11"/>
      <c r="J46" s="12">
        <f t="shared" si="0"/>
        <v>0</v>
      </c>
      <c r="K46" s="13">
        <f>IF($F46&gt;0,$J46*$F46,"")</f>
        <v>0</v>
      </c>
    </row>
    <row r="47" spans="1:11" ht="30" customHeight="1" x14ac:dyDescent="0.3">
      <c r="A47" s="6">
        <v>41</v>
      </c>
      <c r="B47" s="7">
        <v>8809626564000</v>
      </c>
      <c r="C47" s="6" t="s">
        <v>92</v>
      </c>
      <c r="D47" s="8" t="s">
        <v>93</v>
      </c>
      <c r="E47" s="10">
        <v>17000</v>
      </c>
      <c r="F47" s="10">
        <v>6722.7272727272721</v>
      </c>
      <c r="G47" s="19">
        <v>0.4054545454545454</v>
      </c>
      <c r="H47" s="9">
        <v>117</v>
      </c>
      <c r="I47" s="11"/>
      <c r="J47" s="12">
        <f t="shared" si="0"/>
        <v>0</v>
      </c>
      <c r="K47" s="13">
        <f>IF($F47&gt;0,$J47*$F47,"")</f>
        <v>0</v>
      </c>
    </row>
    <row r="48" spans="1:11" ht="30" customHeight="1" x14ac:dyDescent="0.3">
      <c r="A48" s="6">
        <v>42</v>
      </c>
      <c r="B48" s="7">
        <v>8809782559018</v>
      </c>
      <c r="C48" s="6" t="s">
        <v>94</v>
      </c>
      <c r="D48" s="8" t="s">
        <v>95</v>
      </c>
      <c r="E48" s="10">
        <v>31000</v>
      </c>
      <c r="F48" s="10">
        <v>10568.181818181818</v>
      </c>
      <c r="G48" s="19">
        <v>0.35090909090909089</v>
      </c>
      <c r="H48" s="9">
        <v>60</v>
      </c>
      <c r="I48" s="11"/>
      <c r="J48" s="12">
        <f t="shared" si="0"/>
        <v>0</v>
      </c>
      <c r="K48" s="13">
        <f>IF($F48&gt;0,$J48*$F48,"")</f>
        <v>0</v>
      </c>
    </row>
    <row r="49" spans="1:11" ht="30" customHeight="1" x14ac:dyDescent="0.3">
      <c r="A49" s="6"/>
      <c r="B49" s="7">
        <v>8809782559063</v>
      </c>
      <c r="C49" s="6" t="s">
        <v>96</v>
      </c>
      <c r="D49" s="8" t="s">
        <v>97</v>
      </c>
      <c r="E49" s="10">
        <v>22000</v>
      </c>
      <c r="F49" s="10">
        <v>8800</v>
      </c>
      <c r="G49" s="19">
        <v>0.41000000000000003</v>
      </c>
      <c r="H49" s="9">
        <v>72</v>
      </c>
      <c r="I49" s="11"/>
      <c r="J49" s="12">
        <f t="shared" si="0"/>
        <v>0</v>
      </c>
      <c r="K49" s="13">
        <f>IF($F49&gt;0,$J49*$F49,"")</f>
        <v>0</v>
      </c>
    </row>
    <row r="50" spans="1:11" ht="30" customHeight="1" x14ac:dyDescent="0.3">
      <c r="A50" s="6"/>
      <c r="B50" s="7">
        <v>8809743546880</v>
      </c>
      <c r="C50" s="6" t="s">
        <v>98</v>
      </c>
      <c r="D50" s="8" t="s">
        <v>99</v>
      </c>
      <c r="E50" s="10">
        <v>31000</v>
      </c>
      <c r="F50" s="10">
        <v>9722.7272727272721</v>
      </c>
      <c r="G50" s="19">
        <v>0.32363636363636361</v>
      </c>
      <c r="H50" s="9">
        <v>60</v>
      </c>
      <c r="I50" s="11"/>
      <c r="J50" s="12">
        <f t="shared" si="0"/>
        <v>0</v>
      </c>
      <c r="K50" s="13">
        <f>IF($F50&gt;0,$J50*$F50,"")</f>
        <v>0</v>
      </c>
    </row>
    <row r="51" spans="1:11" ht="30" customHeight="1" x14ac:dyDescent="0.3">
      <c r="A51" s="6"/>
      <c r="B51" s="7">
        <v>8809971489911</v>
      </c>
      <c r="C51" s="6" t="s">
        <v>100</v>
      </c>
      <c r="D51" s="8" t="s">
        <v>101</v>
      </c>
      <c r="E51" s="10">
        <v>24000</v>
      </c>
      <c r="F51" s="10">
        <v>8618.181818181818</v>
      </c>
      <c r="G51" s="19">
        <v>0.36909090909090908</v>
      </c>
      <c r="H51" s="9">
        <v>120</v>
      </c>
      <c r="I51" s="11"/>
      <c r="J51" s="12">
        <f t="shared" si="0"/>
        <v>0</v>
      </c>
      <c r="K51" s="13">
        <f>IF($F51&gt;0,$J51*$F51,"")</f>
        <v>0</v>
      </c>
    </row>
    <row r="52" spans="1:11" ht="30" customHeight="1" x14ac:dyDescent="0.3">
      <c r="A52" s="6"/>
      <c r="B52" s="7">
        <v>8809875906811</v>
      </c>
      <c r="C52" s="6" t="s">
        <v>102</v>
      </c>
      <c r="D52" s="8" t="s">
        <v>103</v>
      </c>
      <c r="E52" s="10">
        <v>20000</v>
      </c>
      <c r="F52" s="10">
        <v>7181.8181818181811</v>
      </c>
      <c r="G52" s="19">
        <v>0.36909090909090908</v>
      </c>
      <c r="H52" s="9">
        <v>84</v>
      </c>
      <c r="I52" s="11"/>
      <c r="J52" s="12">
        <f t="shared" si="0"/>
        <v>0</v>
      </c>
      <c r="K52" s="13">
        <f>IF($F52&gt;0,$J52*$F52,"")</f>
        <v>0</v>
      </c>
    </row>
    <row r="53" spans="1:11" ht="30" customHeight="1" x14ac:dyDescent="0.3">
      <c r="A53" s="6"/>
      <c r="B53" s="7">
        <v>8809875907412</v>
      </c>
      <c r="C53" s="6" t="s">
        <v>104</v>
      </c>
      <c r="D53" s="8" t="s">
        <v>105</v>
      </c>
      <c r="E53" s="10">
        <v>32000</v>
      </c>
      <c r="F53" s="10">
        <v>12363.636363636364</v>
      </c>
      <c r="G53" s="19">
        <v>0.39636363636363636</v>
      </c>
      <c r="H53" s="9">
        <v>48</v>
      </c>
      <c r="I53" s="11"/>
      <c r="J53" s="12">
        <f t="shared" si="0"/>
        <v>0</v>
      </c>
      <c r="K53" s="13">
        <f>IF($F53&gt;0,$J53*$F53,"")</f>
        <v>0</v>
      </c>
    </row>
    <row r="54" spans="1:11" ht="30" customHeight="1" x14ac:dyDescent="0.3">
      <c r="A54" s="6"/>
      <c r="B54" s="7">
        <v>8809743546323</v>
      </c>
      <c r="C54" s="6" t="s">
        <v>106</v>
      </c>
      <c r="D54" s="8" t="s">
        <v>107</v>
      </c>
      <c r="E54" s="10">
        <v>20000</v>
      </c>
      <c r="F54" s="10">
        <v>8090.9090909090901</v>
      </c>
      <c r="G54" s="19">
        <v>0.41454545454545449</v>
      </c>
      <c r="H54" s="9">
        <v>30</v>
      </c>
      <c r="I54" s="11"/>
      <c r="J54" s="12">
        <f t="shared" si="0"/>
        <v>0</v>
      </c>
      <c r="K54" s="13">
        <f>IF($F54&gt;0,$J54*$F54,"")</f>
        <v>0</v>
      </c>
    </row>
    <row r="55" spans="1:11" ht="30" customHeight="1" x14ac:dyDescent="0.3">
      <c r="A55" s="6"/>
      <c r="B55" s="7">
        <v>8809743547467</v>
      </c>
      <c r="C55" s="6" t="s">
        <v>108</v>
      </c>
      <c r="D55" s="8" t="s">
        <v>109</v>
      </c>
      <c r="E55" s="10">
        <v>40000</v>
      </c>
      <c r="F55" s="10">
        <v>12181.81818181818</v>
      </c>
      <c r="G55" s="19">
        <v>0.31454545454545452</v>
      </c>
      <c r="H55" s="9">
        <v>24</v>
      </c>
      <c r="I55" s="11"/>
      <c r="J55" s="12">
        <f t="shared" si="0"/>
        <v>0</v>
      </c>
      <c r="K55" s="13">
        <f>IF($F55&gt;0,$J55*$F55,"")</f>
        <v>0</v>
      </c>
    </row>
    <row r="56" spans="1:11" ht="30" customHeight="1" x14ac:dyDescent="0.3">
      <c r="A56" s="6"/>
      <c r="B56" s="7">
        <v>8809971484503</v>
      </c>
      <c r="C56" s="6" t="s">
        <v>110</v>
      </c>
      <c r="D56" s="8" t="s">
        <v>111</v>
      </c>
      <c r="E56" s="10">
        <v>35000</v>
      </c>
      <c r="F56" s="10">
        <v>9704.545454545454</v>
      </c>
      <c r="G56" s="19">
        <v>0.28727272727272729</v>
      </c>
      <c r="H56" s="9">
        <v>120</v>
      </c>
      <c r="I56" s="11"/>
      <c r="J56" s="12">
        <f t="shared" si="0"/>
        <v>0</v>
      </c>
      <c r="K56" s="13">
        <f>IF($F56&gt;0,$J56*$F56,"")</f>
        <v>0</v>
      </c>
    </row>
    <row r="57" spans="1:11" ht="30" customHeight="1" x14ac:dyDescent="0.3">
      <c r="A57" s="6"/>
      <c r="B57" s="7">
        <v>8809971484510</v>
      </c>
      <c r="C57" s="6" t="s">
        <v>112</v>
      </c>
      <c r="D57" s="8" t="s">
        <v>113</v>
      </c>
      <c r="E57" s="10">
        <v>24000</v>
      </c>
      <c r="F57" s="10">
        <v>9163.6363636363621</v>
      </c>
      <c r="G57" s="19">
        <v>0.39181818181818179</v>
      </c>
      <c r="H57" s="9">
        <v>120</v>
      </c>
      <c r="I57" s="11"/>
      <c r="J57" s="12">
        <f t="shared" si="0"/>
        <v>0</v>
      </c>
      <c r="K57" s="13">
        <f>IF($F57&gt;0,$J57*$F57,"")</f>
        <v>0</v>
      </c>
    </row>
    <row r="58" spans="1:11" ht="30" customHeight="1" x14ac:dyDescent="0.3">
      <c r="A58" s="6"/>
      <c r="B58" s="7">
        <v>8809971482349</v>
      </c>
      <c r="C58" s="6" t="s">
        <v>114</v>
      </c>
      <c r="D58" s="8" t="s">
        <v>115</v>
      </c>
      <c r="E58" s="10">
        <v>0</v>
      </c>
      <c r="F58" s="10">
        <v>7832.4363636363632</v>
      </c>
      <c r="G58" s="19"/>
      <c r="H58" s="9">
        <v>40</v>
      </c>
      <c r="I58" s="11"/>
      <c r="J58" s="12">
        <f t="shared" si="0"/>
        <v>0</v>
      </c>
      <c r="K58" s="13">
        <f>IF($F58&gt;0,$J58*$F58,"")</f>
        <v>0</v>
      </c>
    </row>
    <row r="59" spans="1:11" ht="30" customHeight="1" x14ac:dyDescent="0.3">
      <c r="A59" s="6"/>
      <c r="B59" s="7">
        <v>8809606852332</v>
      </c>
      <c r="C59" s="6" t="s">
        <v>116</v>
      </c>
      <c r="D59" s="8" t="s">
        <v>117</v>
      </c>
      <c r="E59" s="10">
        <v>0</v>
      </c>
      <c r="F59" s="10">
        <v>5549.5818181818177</v>
      </c>
      <c r="G59" s="19"/>
      <c r="H59" s="9">
        <v>64</v>
      </c>
      <c r="I59" s="11"/>
      <c r="J59" s="12">
        <f t="shared" si="0"/>
        <v>0</v>
      </c>
      <c r="K59" s="13">
        <f>IF($F59&gt;0,$J59*$F59,"")</f>
        <v>0</v>
      </c>
    </row>
    <row r="60" spans="1:11" ht="30" customHeight="1" x14ac:dyDescent="0.3">
      <c r="A60" s="6"/>
      <c r="B60" s="7">
        <v>8800296551789</v>
      </c>
      <c r="C60" s="6" t="s">
        <v>118</v>
      </c>
      <c r="D60" s="8" t="s">
        <v>119</v>
      </c>
      <c r="E60" s="10">
        <v>0</v>
      </c>
      <c r="F60" s="10">
        <v>6352.2909090909088</v>
      </c>
      <c r="G60" s="19"/>
      <c r="H60" s="9">
        <v>64</v>
      </c>
      <c r="I60" s="11"/>
      <c r="J60" s="12">
        <f t="shared" si="0"/>
        <v>0</v>
      </c>
      <c r="K60" s="13">
        <f>IF($F60&gt;0,$J60*$F60,"")</f>
        <v>0</v>
      </c>
    </row>
  </sheetData>
  <mergeCells count="2">
    <mergeCell ref="A1:C1"/>
    <mergeCell ref="E6:G6"/>
  </mergeCells>
  <phoneticPr fontId="2" type="noConversion"/>
  <conditionalFormatting sqref="E5:G5 I5:K5 A5:D6 H5:H6 E6:K6">
    <cfRule type="expression" dxfId="3" priority="3">
      <formula>#REF!="품절"</formula>
    </cfRule>
    <cfRule type="expression" dxfId="2" priority="4">
      <formula>#REF!="단종"</formula>
    </cfRule>
  </conditionalFormatting>
  <conditionalFormatting sqref="J7:K60">
    <cfRule type="expression" dxfId="1" priority="1">
      <formula>#REF!="품절"</formula>
    </cfRule>
    <cfRule type="expression" dxfId="0" priority="2">
      <formula>#REF!="단종"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GIHUN SONG</cp:lastModifiedBy>
  <dcterms:created xsi:type="dcterms:W3CDTF">2026-01-07T03:25:48Z</dcterms:created>
  <dcterms:modified xsi:type="dcterms:W3CDTF">2026-08-26T09:12:46Z</dcterms:modified>
</cp:coreProperties>
</file>
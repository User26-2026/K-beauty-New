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lessio/Downloads/"/>
    </mc:Choice>
  </mc:AlternateContent>
  <xr:revisionPtr revIDLastSave="0" documentId="13_ncr:1_{BCB31B11-7BE3-C14E-9C56-22FA5DB57659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Прайс SAFIYA" sheetId="1" r:id="rId1"/>
  </sheets>
  <definedNames>
    <definedName name="_xlnm._FilterDatabase" localSheetId="0" hidden="1">'Прайс SAFIYA'!$A$4:$G$350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8" i="1" l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G328" i="1"/>
  <c r="F328" i="1"/>
  <c r="E328" i="1"/>
  <c r="D328" i="1"/>
  <c r="C328" i="1"/>
  <c r="B328" i="1"/>
  <c r="A328" i="1"/>
  <c r="G327" i="1"/>
  <c r="F327" i="1"/>
  <c r="E327" i="1"/>
  <c r="D327" i="1"/>
  <c r="C327" i="1"/>
  <c r="B327" i="1"/>
  <c r="A327" i="1"/>
  <c r="G326" i="1"/>
  <c r="F326" i="1"/>
  <c r="E326" i="1"/>
  <c r="D326" i="1"/>
  <c r="C326" i="1"/>
  <c r="B326" i="1"/>
  <c r="A326" i="1"/>
  <c r="G325" i="1"/>
  <c r="F325" i="1"/>
  <c r="E325" i="1"/>
  <c r="D325" i="1"/>
  <c r="C325" i="1"/>
  <c r="B325" i="1"/>
  <c r="A325" i="1"/>
  <c r="G324" i="1"/>
  <c r="F324" i="1"/>
  <c r="E324" i="1"/>
  <c r="D324" i="1"/>
  <c r="C324" i="1"/>
  <c r="B324" i="1"/>
  <c r="A324" i="1"/>
  <c r="G323" i="1"/>
  <c r="F323" i="1"/>
  <c r="E323" i="1"/>
  <c r="D323" i="1"/>
  <c r="C323" i="1"/>
  <c r="B323" i="1"/>
  <c r="A323" i="1"/>
  <c r="G322" i="1"/>
  <c r="F322" i="1"/>
  <c r="E322" i="1"/>
  <c r="D322" i="1"/>
  <c r="C322" i="1"/>
  <c r="B322" i="1"/>
  <c r="A322" i="1"/>
  <c r="G321" i="1"/>
  <c r="F321" i="1"/>
  <c r="E321" i="1"/>
  <c r="D321" i="1"/>
  <c r="C321" i="1"/>
  <c r="B321" i="1"/>
  <c r="A321" i="1"/>
  <c r="G320" i="1"/>
  <c r="F320" i="1"/>
  <c r="E320" i="1"/>
  <c r="D320" i="1"/>
  <c r="C320" i="1"/>
  <c r="B320" i="1"/>
  <c r="A320" i="1"/>
  <c r="G319" i="1"/>
  <c r="F319" i="1"/>
  <c r="E319" i="1"/>
  <c r="D319" i="1"/>
  <c r="C319" i="1"/>
  <c r="B319" i="1"/>
  <c r="A319" i="1"/>
  <c r="G318" i="1"/>
  <c r="F318" i="1"/>
  <c r="E318" i="1"/>
  <c r="D318" i="1"/>
  <c r="C318" i="1"/>
  <c r="B318" i="1"/>
  <c r="A318" i="1"/>
  <c r="G317" i="1"/>
  <c r="F317" i="1"/>
  <c r="E317" i="1"/>
  <c r="D317" i="1"/>
  <c r="C317" i="1"/>
  <c r="B317" i="1"/>
  <c r="A317" i="1"/>
  <c r="G316" i="1"/>
  <c r="F316" i="1"/>
  <c r="E316" i="1"/>
  <c r="D316" i="1"/>
  <c r="C316" i="1"/>
  <c r="B316" i="1"/>
  <c r="A316" i="1"/>
  <c r="G315" i="1"/>
  <c r="F315" i="1"/>
  <c r="E315" i="1"/>
  <c r="D315" i="1"/>
  <c r="C315" i="1"/>
  <c r="B315" i="1"/>
  <c r="A315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G304" i="1"/>
  <c r="F304" i="1"/>
  <c r="E304" i="1"/>
  <c r="D304" i="1"/>
  <c r="C304" i="1"/>
  <c r="B304" i="1"/>
  <c r="A304" i="1"/>
  <c r="G303" i="1"/>
  <c r="F303" i="1"/>
  <c r="E303" i="1"/>
  <c r="D303" i="1"/>
  <c r="C303" i="1"/>
  <c r="B303" i="1"/>
  <c r="A303" i="1"/>
  <c r="G302" i="1"/>
  <c r="F302" i="1"/>
  <c r="E302" i="1"/>
  <c r="D302" i="1"/>
  <c r="C302" i="1"/>
  <c r="B302" i="1"/>
  <c r="A302" i="1"/>
  <c r="G301" i="1"/>
  <c r="F301" i="1"/>
  <c r="E301" i="1"/>
  <c r="D301" i="1"/>
  <c r="C301" i="1"/>
  <c r="B301" i="1"/>
  <c r="A301" i="1"/>
  <c r="G300" i="1"/>
  <c r="F300" i="1"/>
  <c r="E300" i="1"/>
  <c r="D300" i="1"/>
  <c r="C300" i="1"/>
  <c r="B300" i="1"/>
  <c r="A300" i="1"/>
  <c r="G299" i="1"/>
  <c r="F299" i="1"/>
  <c r="E299" i="1"/>
  <c r="D299" i="1"/>
  <c r="C299" i="1"/>
  <c r="B299" i="1"/>
  <c r="A299" i="1"/>
  <c r="G298" i="1"/>
  <c r="F298" i="1"/>
  <c r="E298" i="1"/>
  <c r="D298" i="1"/>
  <c r="C298" i="1"/>
  <c r="B298" i="1"/>
  <c r="A298" i="1"/>
  <c r="G297" i="1"/>
  <c r="F297" i="1"/>
  <c r="E297" i="1"/>
  <c r="D297" i="1"/>
  <c r="C297" i="1"/>
  <c r="B297" i="1"/>
  <c r="A297" i="1"/>
  <c r="G296" i="1"/>
  <c r="F296" i="1"/>
  <c r="E296" i="1"/>
  <c r="D296" i="1"/>
  <c r="C296" i="1"/>
  <c r="B296" i="1"/>
  <c r="A296" i="1"/>
  <c r="G295" i="1"/>
  <c r="F295" i="1"/>
  <c r="E295" i="1"/>
  <c r="D295" i="1"/>
  <c r="C295" i="1"/>
  <c r="B295" i="1"/>
  <c r="A295" i="1"/>
  <c r="G294" i="1"/>
  <c r="F294" i="1"/>
  <c r="E294" i="1"/>
  <c r="D294" i="1"/>
  <c r="C294" i="1"/>
  <c r="B294" i="1"/>
  <c r="A294" i="1"/>
  <c r="G293" i="1"/>
  <c r="F293" i="1"/>
  <c r="E293" i="1"/>
  <c r="D293" i="1"/>
  <c r="C293" i="1"/>
  <c r="B293" i="1"/>
  <c r="A293" i="1"/>
  <c r="G292" i="1"/>
  <c r="F292" i="1"/>
  <c r="E292" i="1"/>
  <c r="D292" i="1"/>
  <c r="C292" i="1"/>
  <c r="B292" i="1"/>
  <c r="A292" i="1"/>
  <c r="G291" i="1"/>
  <c r="F291" i="1"/>
  <c r="E291" i="1"/>
  <c r="D291" i="1"/>
  <c r="C291" i="1"/>
  <c r="B291" i="1"/>
  <c r="A291" i="1"/>
  <c r="G290" i="1"/>
  <c r="F290" i="1"/>
  <c r="E290" i="1"/>
  <c r="D290" i="1"/>
  <c r="C290" i="1"/>
  <c r="B290" i="1"/>
  <c r="A290" i="1"/>
  <c r="G289" i="1"/>
  <c r="F289" i="1"/>
  <c r="E289" i="1"/>
  <c r="D289" i="1"/>
  <c r="C289" i="1"/>
  <c r="B289" i="1"/>
  <c r="A289" i="1"/>
  <c r="G288" i="1"/>
  <c r="F288" i="1"/>
  <c r="E288" i="1"/>
  <c r="D288" i="1"/>
  <c r="C288" i="1"/>
  <c r="B288" i="1"/>
  <c r="A288" i="1"/>
  <c r="G287" i="1"/>
  <c r="F287" i="1"/>
  <c r="E287" i="1"/>
  <c r="D287" i="1"/>
  <c r="C287" i="1"/>
  <c r="B287" i="1"/>
  <c r="A287" i="1"/>
  <c r="G286" i="1"/>
  <c r="F286" i="1"/>
  <c r="E286" i="1"/>
  <c r="D286" i="1"/>
  <c r="C286" i="1"/>
  <c r="B286" i="1"/>
  <c r="A286" i="1"/>
  <c r="G285" i="1"/>
  <c r="F285" i="1"/>
  <c r="E285" i="1"/>
  <c r="D285" i="1"/>
  <c r="C285" i="1"/>
  <c r="B285" i="1"/>
  <c r="A285" i="1"/>
  <c r="G284" i="1"/>
  <c r="F284" i="1"/>
  <c r="E284" i="1"/>
  <c r="D284" i="1"/>
  <c r="C284" i="1"/>
  <c r="B284" i="1"/>
  <c r="A284" i="1"/>
  <c r="G283" i="1"/>
  <c r="F283" i="1"/>
  <c r="E283" i="1"/>
  <c r="D283" i="1"/>
  <c r="C283" i="1"/>
  <c r="B283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D162" i="1"/>
  <c r="C162" i="1"/>
  <c r="B162" i="1"/>
  <c r="A162" i="1"/>
  <c r="G161" i="1"/>
  <c r="F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7" x14ac:knownFonts="1">
    <font>
      <sz val="10"/>
      <color rgb="FF000000"/>
      <name val="Arial"/>
      <scheme val="minor"/>
    </font>
    <font>
      <b/>
      <sz val="14"/>
      <color rgb="FFFFFFFF"/>
      <name val="Arial"/>
      <family val="2"/>
      <scheme val="minor"/>
    </font>
    <font>
      <b/>
      <sz val="10"/>
      <color rgb="FF173A5E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1F2937"/>
      <name val="Arial"/>
      <family val="2"/>
      <scheme val="minor"/>
    </font>
    <font>
      <b/>
      <sz val="10"/>
      <color rgb="FF1F2937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2E61"/>
        <bgColor rgb="FF0B2E61"/>
      </patternFill>
    </fill>
    <fill>
      <patternFill patternType="solid">
        <fgColor rgb="FFEAF4FD"/>
        <bgColor rgb="FFEAF4FD"/>
      </patternFill>
    </fill>
    <fill>
      <patternFill patternType="solid">
        <fgColor rgb="FFFFFFFF"/>
        <bgColor rgb="FFFFFFFF"/>
      </patternFill>
    </fill>
    <fill>
      <patternFill patternType="solid">
        <fgColor rgb="FF0B73CE"/>
        <bgColor rgb="FF0B73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/>
    <xf numFmtId="0" fontId="5" fillId="4" borderId="1" xfId="0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0" fontId="5" fillId="4" borderId="0" xfId="0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0"/>
  <sheetViews>
    <sheetView showGridLines="0" tabSelected="1" workbookViewId="0">
      <pane ySplit="4" topLeftCell="A29" activePane="bottomLeft" state="frozen"/>
      <selection pane="bottomLeft" activeCell="D15" sqref="D15"/>
    </sheetView>
  </sheetViews>
  <sheetFormatPr baseColWidth="10" defaultColWidth="12.6640625" defaultRowHeight="15.75" customHeight="1" x14ac:dyDescent="0.15"/>
  <cols>
    <col min="1" max="1" width="18.5" bestFit="1" customWidth="1"/>
    <col min="2" max="2" width="20.33203125" bestFit="1" customWidth="1"/>
    <col min="3" max="3" width="101.5" bestFit="1" customWidth="1"/>
    <col min="4" max="4" width="15.6640625" customWidth="1"/>
    <col min="5" max="5" width="10.6640625" customWidth="1"/>
    <col min="6" max="6" width="12" customWidth="1"/>
    <col min="7" max="7" width="10.6640625" customWidth="1"/>
  </cols>
  <sheetData>
    <row r="1" spans="1:7" ht="24" customHeight="1" x14ac:dyDescent="0.15">
      <c r="A1" s="10" t="str">
        <f ca="1">IFERROR(__xludf.DUMMYFUNCTION("IMPORTRANGE(""https://docs.google.com/spreadsheets/d/1vRaSADbSDErpEYkfZ1uxxQtWqqRPy25kjCzL3bHI2oI/edit"",""'КП клиенту'!A1:G2"")"),"SAFIYA DISTRIBUTION — ПЕРСОНАЛЬНОЕ ПРЕДЛОЖЕНИЕ")</f>
        <v>SAFIYA DISTRIBUTION — ПЕРСОНАЛЬНОЕ ПРЕДЛОЖЕНИЕ</v>
      </c>
      <c r="B1" s="11"/>
      <c r="C1" s="11"/>
      <c r="D1" s="11"/>
      <c r="E1" s="11"/>
      <c r="F1" s="11"/>
      <c r="G1" s="11"/>
    </row>
    <row r="2" spans="1:7" ht="18" customHeight="1" x14ac:dyDescent="0.15">
      <c r="A2" s="12" t="str">
        <f ca="1">IFERROR(__xludf.DUMMYFUNCTION("""COMPUTED_VALUE"""),"Сформировано: 12.08.2026 | Цены в USD")</f>
        <v>Сформировано: 12.08.2026 | Цены в USD</v>
      </c>
      <c r="B2" s="11"/>
      <c r="C2" s="11"/>
      <c r="D2" s="11"/>
      <c r="E2" s="11"/>
      <c r="F2" s="11"/>
      <c r="G2" s="11"/>
    </row>
    <row r="3" spans="1:7" ht="6" customHeight="1" x14ac:dyDescent="0.15">
      <c r="A3" s="1"/>
      <c r="B3" s="1"/>
      <c r="C3" s="1"/>
      <c r="D3" s="1"/>
      <c r="E3" s="1"/>
      <c r="F3" s="1"/>
      <c r="G3" s="1"/>
    </row>
    <row r="4" spans="1:7" ht="25.5" customHeight="1" x14ac:dyDescent="0.15">
      <c r="A4" s="13" t="str">
        <f ca="1">IFERROR(__xludf.DUMMYFUNCTION("IMPORTRANGE(""https://docs.google.com/spreadsheets/d/1vRaSADbSDErpEYkfZ1uxxQtWqqRPy25kjCzL3bHI2oI/edit"",""'КП клиенту'!A4:G4"")"),"Бренд")</f>
        <v>Бренд</v>
      </c>
      <c r="B4" s="13" t="str">
        <f ca="1">IFERROR(__xludf.DUMMYFUNCTION("""COMPUTED_VALUE"""),"Категория")</f>
        <v>Категория</v>
      </c>
      <c r="C4" s="13" t="str">
        <f ca="1">IFERROR(__xludf.DUMMYFUNCTION("""COMPUTED_VALUE"""),"Наименование")</f>
        <v>Наименование</v>
      </c>
      <c r="D4" s="13" t="str">
        <f ca="1">IFERROR(__xludf.DUMMYFUNCTION("""COMPUTED_VALUE"""),"GTIN")</f>
        <v>GTIN</v>
      </c>
      <c r="E4" s="13" t="str">
        <f ca="1">IFERROR(__xludf.DUMMYFUNCTION("""COMPUTED_VALUE"""),"Объём")</f>
        <v>Объём</v>
      </c>
      <c r="F4" s="13" t="str">
        <f ca="1">IFERROR(__xludf.DUMMYFUNCTION("""COMPUTED_VALUE"""),"Доступно, шт")</f>
        <v>Доступно, шт</v>
      </c>
      <c r="G4" s="13" t="str">
        <f ca="1">IFERROR(__xludf.DUMMYFUNCTION("""COMPUTED_VALUE"""),"Цена, $")</f>
        <v>Цена, $</v>
      </c>
    </row>
    <row r="5" spans="1:7" ht="28.5" customHeight="1" x14ac:dyDescent="0.15">
      <c r="A5" s="14" t="str">
        <f ca="1">IFERROR(__xludf.DUMMYFUNCTION("QUERY(IMPORTRANGE(""https://docs.google.com/spreadsheets/d/1vRaSADbSDErpEYkfZ1uxxQtWqqRPy25kjCzL3bHI2oI/edit"",""'КП клиенту'!A5:G1499""),""select * where Col1 is not null"",0)"),"AESTURA")</f>
        <v>AESTURA</v>
      </c>
      <c r="B5" s="14" t="str">
        <f ca="1">IFERROR(__xludf.DUMMYFUNCTION("""COMPUTED_VALUE"""),"Крем")</f>
        <v>Крем</v>
      </c>
      <c r="C5" s="14" t="str">
        <f ca="1">IFERROR(__xludf.DUMMYFUNCTION("""COMPUTED_VALUE"""),"КРЕМ ДЛЯ ЛИЦА - AESTURA ATOBARRIER365 CREAM")</f>
        <v>КРЕМ ДЛЯ ЛИЦА - AESTURA ATOBARRIER365 CREAM</v>
      </c>
      <c r="D5" s="15" t="str">
        <f ca="1">IFERROR(__xludf.DUMMYFUNCTION("""COMPUTED_VALUE"""),"8809013349050")</f>
        <v>8809013349050</v>
      </c>
      <c r="E5" s="16" t="str">
        <f ca="1">IFERROR(__xludf.DUMMYFUNCTION("""COMPUTED_VALUE"""),"80мл")</f>
        <v>80мл</v>
      </c>
      <c r="F5" s="16">
        <f ca="1">IFERROR(__xludf.DUMMYFUNCTION("""COMPUTED_VALUE"""),139)</f>
        <v>139</v>
      </c>
      <c r="G5" s="17">
        <f ca="1">IFERROR(__xludf.DUMMYFUNCTION("""COMPUTED_VALUE"""),16.25)</f>
        <v>16.25</v>
      </c>
    </row>
    <row r="6" spans="1:7" ht="28.5" customHeight="1" x14ac:dyDescent="0.15">
      <c r="A6" s="14" t="str">
        <f ca="1">IFERROR(__xludf.DUMMYFUNCTION("""COMPUTED_VALUE"""),"ANUA")</f>
        <v>ANUA</v>
      </c>
      <c r="B6" s="14" t="str">
        <f ca="1">IFERROR(__xludf.DUMMYFUNCTION("""COMPUTED_VALUE"""),"Гель")</f>
        <v>Гель</v>
      </c>
      <c r="C6" s="14" t="str">
        <f ca="1">IFERROR(__xludf.DUMMYFUNCTION("""COMPUTED_VALUE"""),"ГЕЛЬ ДЛЯ ЛИЦА - ANUA HEARTLEAF LHA MOISTURE PEELING GEL")</f>
        <v>ГЕЛЬ ДЛЯ ЛИЦА - ANUA HEARTLEAF LHA MOISTURE PEELING GEL</v>
      </c>
      <c r="D6" s="15" t="str">
        <f ca="1">IFERROR(__xludf.DUMMYFUNCTION("""COMPUTED_VALUE"""),"8809640733666")</f>
        <v>8809640733666</v>
      </c>
      <c r="E6" s="16" t="str">
        <f ca="1">IFERROR(__xludf.DUMMYFUNCTION("""COMPUTED_VALUE"""),"120мл")</f>
        <v>120мл</v>
      </c>
      <c r="F6" s="16">
        <f ca="1">IFERROR(__xludf.DUMMYFUNCTION("""COMPUTED_VALUE"""),69)</f>
        <v>69</v>
      </c>
      <c r="G6" s="17">
        <f ca="1">IFERROR(__xludf.DUMMYFUNCTION("""COMPUTED_VALUE"""),10.57)</f>
        <v>10.57</v>
      </c>
    </row>
    <row r="7" spans="1:7" ht="28.5" customHeight="1" x14ac:dyDescent="0.15">
      <c r="A7" s="14" t="str">
        <f ca="1">IFERROR(__xludf.DUMMYFUNCTION("""COMPUTED_VALUE"""),"ANUA")</f>
        <v>ANUA</v>
      </c>
      <c r="B7" s="14" t="str">
        <f ca="1">IFERROR(__xludf.DUMMYFUNCTION("""COMPUTED_VALUE"""),"Новый SKU")</f>
        <v>Новый SKU</v>
      </c>
      <c r="C7" s="14" t="str">
        <f ca="1">IFERROR(__xludf.DUMMYFUNCTION("""COMPUTED_VALUE"""),"КОСМЕТИЧЕСКОЕ СРЕДСТВО - ANUA TRIPLE ACID SPOT CARE MICRODART PATCH")</f>
        <v>КОСМЕТИЧЕСКОЕ СРЕДСТВО - ANUA TRIPLE ACID SPOT CARE MICRODART PATCH</v>
      </c>
      <c r="D7" s="15" t="str">
        <f ca="1">IFERROR(__xludf.DUMMYFUNCTION("""COMPUTED_VALUE"""),"8809640736797")</f>
        <v>8809640736797</v>
      </c>
      <c r="E7" s="16" t="str">
        <f ca="1">IFERROR(__xludf.DUMMYFUNCTION("""COMPUTED_VALUE"""),"1уп (12шт)")</f>
        <v>1уп (12шт)</v>
      </c>
      <c r="F7" s="16">
        <f ca="1">IFERROR(__xludf.DUMMYFUNCTION("""COMPUTED_VALUE"""),40)</f>
        <v>40</v>
      </c>
      <c r="G7" s="17">
        <f ca="1">IFERROR(__xludf.DUMMYFUNCTION("""COMPUTED_VALUE"""),8.13)</f>
        <v>8.1300000000000008</v>
      </c>
    </row>
    <row r="8" spans="1:7" ht="28.5" customHeight="1" x14ac:dyDescent="0.15">
      <c r="A8" s="14" t="str">
        <f ca="1">IFERROR(__xludf.DUMMYFUNCTION("""COMPUTED_VALUE"""),"ANUA")</f>
        <v>ANUA</v>
      </c>
      <c r="B8" s="14" t="str">
        <f ca="1">IFERROR(__xludf.DUMMYFUNCTION("""COMPUTED_VALUE"""),"Крем для век")</f>
        <v>Крем для век</v>
      </c>
      <c r="C8" s="14" t="str">
        <f ca="1">IFERROR(__xludf.DUMMYFUNCTION("""COMPUTED_VALUE"""),"КРЕМ ДЛЯ ГЛАЗ - ANUA RETINOL 0.1 CAFFEINE REVITALIZING EYE CREAM")</f>
        <v>КРЕМ ДЛЯ ГЛАЗ - ANUA RETINOL 0.1 CAFFEINE REVITALIZING EYE CREAM</v>
      </c>
      <c r="D8" s="15" t="str">
        <f ca="1">IFERROR(__xludf.DUMMYFUNCTION("""COMPUTED_VALUE"""),"8809640734946")</f>
        <v>8809640734946</v>
      </c>
      <c r="E8" s="16" t="str">
        <f ca="1">IFERROR(__xludf.DUMMYFUNCTION("""COMPUTED_VALUE"""),"30г")</f>
        <v>30г</v>
      </c>
      <c r="F8" s="16">
        <f ca="1">IFERROR(__xludf.DUMMYFUNCTION("""COMPUTED_VALUE"""),74)</f>
        <v>74</v>
      </c>
      <c r="G8" s="17">
        <f ca="1">IFERROR(__xludf.DUMMYFUNCTION("""COMPUTED_VALUE"""),11.05)</f>
        <v>11.05</v>
      </c>
    </row>
    <row r="9" spans="1:7" ht="28.5" customHeight="1" x14ac:dyDescent="0.15">
      <c r="A9" s="14" t="str">
        <f ca="1">IFERROR(__xludf.DUMMYFUNCTION("""COMPUTED_VALUE"""),"ANUA")</f>
        <v>ANUA</v>
      </c>
      <c r="B9" s="14" t="str">
        <f ca="1">IFERROR(__xludf.DUMMYFUNCTION("""COMPUTED_VALUE"""),"Крем")</f>
        <v>Крем</v>
      </c>
      <c r="C9" s="14" t="str">
        <f ca="1">IFERROR(__xludf.DUMMYFUNCTION("""COMPUTED_VALUE"""),"КРЕМ ДЛЯ ЛИЦА - ANUA 3 CERAMIDE PANTHENOL MOISTURE BARRIER CREAM")</f>
        <v>КРЕМ ДЛЯ ЛИЦА - ANUA 3 CERAMIDE PANTHENOL MOISTURE BARRIER CREAM</v>
      </c>
      <c r="D9" s="15" t="str">
        <f ca="1">IFERROR(__xludf.DUMMYFUNCTION("""COMPUTED_VALUE"""),"8809640737251")</f>
        <v>8809640737251</v>
      </c>
      <c r="E9" s="16" t="str">
        <f ca="1">IFERROR(__xludf.DUMMYFUNCTION("""COMPUTED_VALUE"""),"100мл")</f>
        <v>100мл</v>
      </c>
      <c r="F9" s="16">
        <f ca="1">IFERROR(__xludf.DUMMYFUNCTION("""COMPUTED_VALUE"""),168)</f>
        <v>168</v>
      </c>
      <c r="G9" s="17">
        <f ca="1">IFERROR(__xludf.DUMMYFUNCTION("""COMPUTED_VALUE"""),11.18)</f>
        <v>11.18</v>
      </c>
    </row>
    <row r="10" spans="1:7" ht="28.5" customHeight="1" x14ac:dyDescent="0.15">
      <c r="A10" s="14" t="str">
        <f ca="1">IFERROR(__xludf.DUMMYFUNCTION("""COMPUTED_VALUE"""),"ANUA")</f>
        <v>ANUA</v>
      </c>
      <c r="B10" s="14" t="str">
        <f ca="1">IFERROR(__xludf.DUMMYFUNCTION("""COMPUTED_VALUE"""),"Крем")</f>
        <v>Крем</v>
      </c>
      <c r="C10" s="14" t="str">
        <f ca="1">IFERROR(__xludf.DUMMYFUNCTION("""COMPUTED_VALUE"""),"КРЕМ ДЛЯ ЛИЦА - ANUA HEARTLEAF CENTELLA RED SPOT CREAM")</f>
        <v>КРЕМ ДЛЯ ЛИЦА - ANUA HEARTLEAF CENTELLA RED SPOT CREAM</v>
      </c>
      <c r="D10" s="15" t="str">
        <f ca="1">IFERROR(__xludf.DUMMYFUNCTION("""COMPUTED_VALUE"""),"8809640738197")</f>
        <v>8809640738197</v>
      </c>
      <c r="E10" s="16" t="str">
        <f ca="1">IFERROR(__xludf.DUMMYFUNCTION("""COMPUTED_VALUE"""),"30г")</f>
        <v>30г</v>
      </c>
      <c r="F10" s="16">
        <f ca="1">IFERROR(__xludf.DUMMYFUNCTION("""COMPUTED_VALUE"""),30)</f>
        <v>30</v>
      </c>
      <c r="G10" s="17">
        <f ca="1">IFERROR(__xludf.DUMMYFUNCTION("""COMPUTED_VALUE"""),8.13)</f>
        <v>8.1300000000000008</v>
      </c>
    </row>
    <row r="11" spans="1:7" ht="28.5" customHeight="1" x14ac:dyDescent="0.15">
      <c r="A11" s="14" t="str">
        <f ca="1">IFERROR(__xludf.DUMMYFUNCTION("""COMPUTED_VALUE"""),"ANUA")</f>
        <v>ANUA</v>
      </c>
      <c r="B11" s="14" t="str">
        <f ca="1">IFERROR(__xludf.DUMMYFUNCTION("""COMPUTED_VALUE"""),"Крем")</f>
        <v>Крем</v>
      </c>
      <c r="C11" s="14" t="str">
        <f ca="1">IFERROR(__xludf.DUMMYFUNCTION("""COMPUTED_VALUE"""),"КРЕМ ДЛЯ ЛИЦА - ANUA PDRN HYALURONIC ACID 100 MOISTURIZING CREAM")</f>
        <v>КРЕМ ДЛЯ ЛИЦА - ANUA PDRN HYALURONIC ACID 100 MOISTURIZING CREAM</v>
      </c>
      <c r="D11" s="15" t="str">
        <f ca="1">IFERROR(__xludf.DUMMYFUNCTION("""COMPUTED_VALUE"""),"8809640738135")</f>
        <v>8809640738135</v>
      </c>
      <c r="E11" s="16" t="str">
        <f ca="1">IFERROR(__xludf.DUMMYFUNCTION("""COMPUTED_VALUE"""),"60мл")</f>
        <v>60мл</v>
      </c>
      <c r="F11" s="16">
        <f ca="1">IFERROR(__xludf.DUMMYFUNCTION("""COMPUTED_VALUE"""),2)</f>
        <v>2</v>
      </c>
      <c r="G11" s="17">
        <f ca="1">IFERROR(__xludf.DUMMYFUNCTION("""COMPUTED_VALUE"""),12.8)</f>
        <v>12.8</v>
      </c>
    </row>
    <row r="12" spans="1:7" ht="28.5" customHeight="1" x14ac:dyDescent="0.15">
      <c r="A12" s="14" t="str">
        <f ca="1">IFERROR(__xludf.DUMMYFUNCTION("""COMPUTED_VALUE"""),"ANUA")</f>
        <v>ANUA</v>
      </c>
      <c r="B12" s="14" t="str">
        <f ca="1">IFERROR(__xludf.DUMMYFUNCTION("""COMPUTED_VALUE"""),"Лосьон")</f>
        <v>Лосьон</v>
      </c>
      <c r="C12" s="14" t="str">
        <f ca="1">IFERROR(__xludf.DUMMYFUNCTION("""COMPUTED_VALUE"""),"ЛОСЬОН ДЛЯ ЛИЦА - ANUA HEARTLEAF 70 DAILY LOTION")</f>
        <v>ЛОСЬОН ДЛЯ ЛИЦА - ANUA HEARTLEAF 70 DAILY LOTION</v>
      </c>
      <c r="D12" s="15" t="str">
        <f ca="1">IFERROR(__xludf.DUMMYFUNCTION("""COMPUTED_VALUE"""),"8809640732799")</f>
        <v>8809640732799</v>
      </c>
      <c r="E12" s="16" t="str">
        <f ca="1">IFERROR(__xludf.DUMMYFUNCTION("""COMPUTED_VALUE"""),"200мл")</f>
        <v>200мл</v>
      </c>
      <c r="F12" s="16">
        <f ca="1">IFERROR(__xludf.DUMMYFUNCTION("""COMPUTED_VALUE"""),6)</f>
        <v>6</v>
      </c>
      <c r="G12" s="17">
        <f ca="1">IFERROR(__xludf.DUMMYFUNCTION("""COMPUTED_VALUE"""),12.24)</f>
        <v>12.24</v>
      </c>
    </row>
    <row r="13" spans="1:7" ht="28.5" customHeight="1" x14ac:dyDescent="0.15">
      <c r="A13" s="14" t="str">
        <f ca="1">IFERROR(__xludf.DUMMYFUNCTION("""COMPUTED_VALUE"""),"ANUA")</f>
        <v>ANUA</v>
      </c>
      <c r="B13" s="14" t="str">
        <f ca="1">IFERROR(__xludf.DUMMYFUNCTION("""COMPUTED_VALUE"""),"Маска")</f>
        <v>Маска</v>
      </c>
      <c r="C13" s="14" t="str">
        <f ca="1">IFERROR(__xludf.DUMMYFUNCTION("""COMPUTED_VALUE"""),"МАСКА ДЛЯ ЛИЦА - ANUA HEARTLEAF 70 SOOTHING COLLAGEN MASK")</f>
        <v>МАСКА ДЛЯ ЛИЦА - ANUA HEARTLEAF 70 SOOTHING COLLAGEN MASK</v>
      </c>
      <c r="D13" s="15" t="str">
        <f ca="1">IFERROR(__xludf.DUMMYFUNCTION("""COMPUTED_VALUE"""),"8809640737244")</f>
        <v>8809640737244</v>
      </c>
      <c r="E13" s="16" t="str">
        <f ca="1">IFERROR(__xludf.DUMMYFUNCTION("""COMPUTED_VALUE"""),"38г")</f>
        <v>38г</v>
      </c>
      <c r="F13" s="16">
        <f ca="1">IFERROR(__xludf.DUMMYFUNCTION("""COMPUTED_VALUE"""),41)</f>
        <v>41</v>
      </c>
      <c r="G13" s="17">
        <f ca="1">IFERROR(__xludf.DUMMYFUNCTION("""COMPUTED_VALUE"""),10.16)</f>
        <v>10.16</v>
      </c>
    </row>
    <row r="14" spans="1:7" ht="28.5" customHeight="1" x14ac:dyDescent="0.15">
      <c r="A14" s="14" t="str">
        <f ca="1">IFERROR(__xludf.DUMMYFUNCTION("""COMPUTED_VALUE"""),"ANUA")</f>
        <v>ANUA</v>
      </c>
      <c r="B14" s="14" t="str">
        <f ca="1">IFERROR(__xludf.DUMMYFUNCTION("""COMPUTED_VALUE"""),"Маска")</f>
        <v>Маска</v>
      </c>
      <c r="C14" s="14" t="str">
        <f ca="1">IFERROR(__xludf.DUMMYFUNCTION("""COMPUTED_VALUE"""),"МАСКА ДЛЯ ЛИЦА - ANUA PEACH 70 NIACIN BRIGHTENING COLLAGEN MASK")</f>
        <v>МАСКА ДЛЯ ЛИЦА - ANUA PEACH 70 NIACIN BRIGHTENING COLLAGEN MASK</v>
      </c>
      <c r="D14" s="15" t="str">
        <f ca="1">IFERROR(__xludf.DUMMYFUNCTION("""COMPUTED_VALUE"""),"8809640737237")</f>
        <v>8809640737237</v>
      </c>
      <c r="E14" s="16" t="str">
        <f ca="1">IFERROR(__xludf.DUMMYFUNCTION("""COMPUTED_VALUE"""),"38г")</f>
        <v>38г</v>
      </c>
      <c r="F14" s="16">
        <f ca="1">IFERROR(__xludf.DUMMYFUNCTION("""COMPUTED_VALUE"""),6)</f>
        <v>6</v>
      </c>
      <c r="G14" s="17">
        <f ca="1">IFERROR(__xludf.DUMMYFUNCTION("""COMPUTED_VALUE"""),10.84)</f>
        <v>10.84</v>
      </c>
    </row>
    <row r="15" spans="1:7" ht="28.5" customHeight="1" x14ac:dyDescent="0.15">
      <c r="A15" s="14" t="str">
        <f ca="1">IFERROR(__xludf.DUMMYFUNCTION("""COMPUTED_VALUE"""),"ANUA")</f>
        <v>ANUA</v>
      </c>
      <c r="B15" s="14" t="str">
        <f ca="1">IFERROR(__xludf.DUMMYFUNCTION("""COMPUTED_VALUE"""),"Маска")</f>
        <v>Маска</v>
      </c>
      <c r="C15" s="14" t="str">
        <f ca="1">IFERROR(__xludf.DUMMYFUNCTION("""COMPUTED_VALUE"""),"МАСКА ДЛЯ ЛИЦА - ANUA RICE 70 GLOW COLLAGEN MASK")</f>
        <v>МАСКА ДЛЯ ЛИЦА - ANUA RICE 70 GLOW COLLAGEN MASK</v>
      </c>
      <c r="D15" s="15" t="str">
        <f ca="1">IFERROR(__xludf.DUMMYFUNCTION("""COMPUTED_VALUE"""),"8809640737220")</f>
        <v>8809640737220</v>
      </c>
      <c r="E15" s="16" t="str">
        <f ca="1">IFERROR(__xludf.DUMMYFUNCTION("""COMPUTED_VALUE"""),"38г")</f>
        <v>38г</v>
      </c>
      <c r="F15" s="16">
        <f ca="1">IFERROR(__xludf.DUMMYFUNCTION("""COMPUTED_VALUE"""),22)</f>
        <v>22</v>
      </c>
      <c r="G15" s="17">
        <f ca="1">IFERROR(__xludf.DUMMYFUNCTION("""COMPUTED_VALUE"""),10.78)</f>
        <v>10.78</v>
      </c>
    </row>
    <row r="16" spans="1:7" ht="28.5" customHeight="1" x14ac:dyDescent="0.15">
      <c r="A16" s="14" t="str">
        <f ca="1">IFERROR(__xludf.DUMMYFUNCTION("""COMPUTED_VALUE"""),"ANUA")</f>
        <v>ANUA</v>
      </c>
      <c r="B16" s="14" t="str">
        <f ca="1">IFERROR(__xludf.DUMMYFUNCTION("""COMPUTED_VALUE"""),"Мист")</f>
        <v>Мист</v>
      </c>
      <c r="C16" s="14" t="str">
        <f ca="1">IFERROR(__xludf.DUMMYFUNCTION("""COMPUTED_VALUE"""),"МИСТ ДЛЯ ЛИЦА - ANUA PDRN HYALURONIC ACID HYDRATING CAPSULE MIST")</f>
        <v>МИСТ ДЛЯ ЛИЦА - ANUA PDRN HYALURONIC ACID HYDRATING CAPSULE MIST</v>
      </c>
      <c r="D16" s="15" t="str">
        <f ca="1">IFERROR(__xludf.DUMMYFUNCTION("""COMPUTED_VALUE"""),"8800307373331")</f>
        <v>8800307373331</v>
      </c>
      <c r="E16" s="16" t="str">
        <f ca="1">IFERROR(__xludf.DUMMYFUNCTION("""COMPUTED_VALUE"""),"100мл")</f>
        <v>100мл</v>
      </c>
      <c r="F16" s="16">
        <f ca="1">IFERROR(__xludf.DUMMYFUNCTION("""COMPUTED_VALUE"""),78)</f>
        <v>78</v>
      </c>
      <c r="G16" s="17">
        <f ca="1">IFERROR(__xludf.DUMMYFUNCTION("""COMPUTED_VALUE"""),13.21)</f>
        <v>13.21</v>
      </c>
    </row>
    <row r="17" spans="1:7" ht="28.5" customHeight="1" x14ac:dyDescent="0.15">
      <c r="A17" s="14" t="str">
        <f ca="1">IFERROR(__xludf.DUMMYFUNCTION("""COMPUTED_VALUE"""),"ANUA")</f>
        <v>ANUA</v>
      </c>
      <c r="B17" s="14" t="str">
        <f ca="1">IFERROR(__xludf.DUMMYFUNCTION("""COMPUTED_VALUE"""),"Пенка")</f>
        <v>Пенка</v>
      </c>
      <c r="C17" s="14" t="str">
        <f ca="1">IFERROR(__xludf.DUMMYFUNCTION("""COMPUTED_VALUE"""),"ОЧИЩАЮЩАЯ ПЕНКА ДЛЯ ЛИЦА - ANUA HEARTLEAF QUERCETINOL PORE DEEP CLEANSING FOAM")</f>
        <v>ОЧИЩАЮЩАЯ ПЕНКА ДЛЯ ЛИЦА - ANUA HEARTLEAF QUERCETINOL PORE DEEP CLEANSING FOAM</v>
      </c>
      <c r="D17" s="15" t="str">
        <f ca="1">IFERROR(__xludf.DUMMYFUNCTION("""COMPUTED_VALUE"""),"8809640734427")</f>
        <v>8809640734427</v>
      </c>
      <c r="E17" s="16" t="str">
        <f ca="1">IFERROR(__xludf.DUMMYFUNCTION("""COMPUTED_VALUE"""),"150мл")</f>
        <v>150мл</v>
      </c>
      <c r="F17" s="16">
        <f ca="1">IFERROR(__xludf.DUMMYFUNCTION("""COMPUTED_VALUE"""),80)</f>
        <v>80</v>
      </c>
      <c r="G17" s="17">
        <f ca="1">IFERROR(__xludf.DUMMYFUNCTION("""COMPUTED_VALUE"""),8.13)</f>
        <v>8.1300000000000008</v>
      </c>
    </row>
    <row r="18" spans="1:7" ht="28.5" customHeight="1" x14ac:dyDescent="0.15">
      <c r="A18" s="14" t="str">
        <f ca="1">IFERROR(__xludf.DUMMYFUNCTION("""COMPUTED_VALUE"""),"ANUA")</f>
        <v>ANUA</v>
      </c>
      <c r="B18" s="14" t="str">
        <f ca="1">IFERROR(__xludf.DUMMYFUNCTION("""COMPUTED_VALUE"""),"Пенка")</f>
        <v>Пенка</v>
      </c>
      <c r="C18" s="14" t="str">
        <f ca="1">IFERROR(__xludf.DUMMYFUNCTION("""COMPUTED_VALUE"""),"ОЧИЩАЮЩАЯ ПЕНКА ДЛЯ ЛИЦА - ANUA PDRN HYALURONIC ACID MOISTURIZING CLEANSING FOAM")</f>
        <v>ОЧИЩАЮЩАЯ ПЕНКА ДЛЯ ЛИЦА - ANUA PDRN HYALURONIC ACID MOISTURIZING CLEANSING FOAM</v>
      </c>
      <c r="D18" s="15" t="str">
        <f ca="1">IFERROR(__xludf.DUMMYFUNCTION("""COMPUTED_VALUE"""),"8800307372983")</f>
        <v>8800307372983</v>
      </c>
      <c r="E18" s="16" t="str">
        <f ca="1">IFERROR(__xludf.DUMMYFUNCTION("""COMPUTED_VALUE"""),"150мл")</f>
        <v>150мл</v>
      </c>
      <c r="F18" s="16">
        <f ca="1">IFERROR(__xludf.DUMMYFUNCTION("""COMPUTED_VALUE"""),107)</f>
        <v>107</v>
      </c>
      <c r="G18" s="17">
        <f ca="1">IFERROR(__xludf.DUMMYFUNCTION("""COMPUTED_VALUE"""),10.16)</f>
        <v>10.16</v>
      </c>
    </row>
    <row r="19" spans="1:7" ht="28.5" customHeight="1" x14ac:dyDescent="0.15">
      <c r="A19" s="14" t="str">
        <f ca="1">IFERROR(__xludf.DUMMYFUNCTION("""COMPUTED_VALUE"""),"ANUA")</f>
        <v>ANUA</v>
      </c>
      <c r="B19" s="14" t="str">
        <f ca="1">IFERROR(__xludf.DUMMYFUNCTION("""COMPUTED_VALUE"""),"Пенка")</f>
        <v>Пенка</v>
      </c>
      <c r="C19" s="14" t="str">
        <f ca="1">IFERROR(__xludf.DUMMYFUNCTION("""COMPUTED_VALUE"""),"ОЧИЩАЮЩАЯ ПЕНКА ДЛЯ ЛИЦА - ANUA PEACH NIACIN SPREAD CLEANSING FOAM")</f>
        <v>ОЧИЩАЮЩАЯ ПЕНКА ДЛЯ ЛИЦА - ANUA PEACH NIACIN SPREAD CLEANSING FOAM</v>
      </c>
      <c r="D19" s="15" t="str">
        <f ca="1">IFERROR(__xludf.DUMMYFUNCTION("""COMPUTED_VALUE"""),"8800307370095")</f>
        <v>8800307370095</v>
      </c>
      <c r="E19" s="16" t="str">
        <f ca="1">IFERROR(__xludf.DUMMYFUNCTION("""COMPUTED_VALUE"""),"150мл")</f>
        <v>150мл</v>
      </c>
      <c r="F19" s="16">
        <f ca="1">IFERROR(__xludf.DUMMYFUNCTION("""COMPUTED_VALUE"""),89)</f>
        <v>89</v>
      </c>
      <c r="G19" s="17">
        <f ca="1">IFERROR(__xludf.DUMMYFUNCTION("""COMPUTED_VALUE"""),7.4)</f>
        <v>7.4</v>
      </c>
    </row>
    <row r="20" spans="1:7" ht="28.5" customHeight="1" x14ac:dyDescent="0.15">
      <c r="A20" s="14" t="str">
        <f ca="1">IFERROR(__xludf.DUMMYFUNCTION("""COMPUTED_VALUE"""),"ANUA")</f>
        <v>ANUA</v>
      </c>
      <c r="B20" s="14" t="str">
        <f ca="1">IFERROR(__xludf.DUMMYFUNCTION("""COMPUTED_VALUE"""),"Пудра для умывания")</f>
        <v>Пудра для умывания</v>
      </c>
      <c r="C20" s="14" t="str">
        <f ca="1">IFERROR(__xludf.DUMMYFUNCTION("""COMPUTED_VALUE"""),"ОЧИЩАЮЩАЯ ПУДРА ДЛЯ ЛИЦА - ANUA RICE ENZYME BRIGHTENING CLEANSING POWDER")</f>
        <v>ОЧИЩАЮЩАЯ ПУДРА ДЛЯ ЛИЦА - ANUA RICE ENZYME BRIGHTENING CLEANSING POWDER</v>
      </c>
      <c r="D20" s="15" t="str">
        <f ca="1">IFERROR(__xludf.DUMMYFUNCTION("""COMPUTED_VALUE"""),"8809640735462")</f>
        <v>8809640735462</v>
      </c>
      <c r="E20" s="16" t="str">
        <f ca="1">IFERROR(__xludf.DUMMYFUNCTION("""COMPUTED_VALUE"""),"40г")</f>
        <v>40г</v>
      </c>
      <c r="F20" s="16">
        <f ca="1">IFERROR(__xludf.DUMMYFUNCTION("""COMPUTED_VALUE"""),18)</f>
        <v>18</v>
      </c>
      <c r="G20" s="17">
        <f ca="1">IFERROR(__xludf.DUMMYFUNCTION("""COMPUTED_VALUE"""),10.16)</f>
        <v>10.16</v>
      </c>
    </row>
    <row r="21" spans="1:7" ht="28.5" customHeight="1" x14ac:dyDescent="0.15">
      <c r="A21" s="14" t="str">
        <f ca="1">IFERROR(__xludf.DUMMYFUNCTION("""COMPUTED_VALUE"""),"ANUA")</f>
        <v>ANUA</v>
      </c>
      <c r="B21" s="14" t="str">
        <f ca="1">IFERROR(__xludf.DUMMYFUNCTION("""COMPUTED_VALUE"""),"Масло гидрофильное")</f>
        <v>Масло гидрофильное</v>
      </c>
      <c r="C21" s="14" t="str">
        <f ca="1">IFERROR(__xludf.DUMMYFUNCTION("""COMPUTED_VALUE"""),"ОЧИЩАЮЩЕЕ МАСЛО ДЛЯ ЛИЦА - ANUA HEARTLEAF PORE CONTROL CLEANSING OIL")</f>
        <v>ОЧИЩАЮЩЕЕ МАСЛО ДЛЯ ЛИЦА - ANUA HEARTLEAF PORE CONTROL CLEANSING OIL</v>
      </c>
      <c r="D21" s="15" t="str">
        <f ca="1">IFERROR(__xludf.DUMMYFUNCTION("""COMPUTED_VALUE"""),"8809640732829")</f>
        <v>8809640732829</v>
      </c>
      <c r="E21" s="16" t="str">
        <f ca="1">IFERROR(__xludf.DUMMYFUNCTION("""COMPUTED_VALUE"""),"200мл")</f>
        <v>200мл</v>
      </c>
      <c r="F21" s="16">
        <f ca="1">IFERROR(__xludf.DUMMYFUNCTION("""COMPUTED_VALUE"""),70)</f>
        <v>70</v>
      </c>
      <c r="G21" s="17">
        <f ca="1">IFERROR(__xludf.DUMMYFUNCTION("""COMPUTED_VALUE"""),10.16)</f>
        <v>10.16</v>
      </c>
    </row>
    <row r="22" spans="1:7" ht="28.5" customHeight="1" x14ac:dyDescent="0.15">
      <c r="A22" s="14" t="str">
        <f ca="1">IFERROR(__xludf.DUMMYFUNCTION("""COMPUTED_VALUE"""),"ANUA")</f>
        <v>ANUA</v>
      </c>
      <c r="B22" s="14" t="str">
        <f ca="1">IFERROR(__xludf.DUMMYFUNCTION("""COMPUTED_VALUE"""),"Пэды")</f>
        <v>Пэды</v>
      </c>
      <c r="C22" s="14" t="str">
        <f ca="1">IFERROR(__xludf.DUMMYFUNCTION("""COMPUTED_VALUE"""),"ПЭДЫ КОСМЕТИЧЕСКИЕ ДЛЯ ЛИЦА - ANUA NIACINAMIDE 5 TXA BRIGHTENING PAD")</f>
        <v>ПЭДЫ КОСМЕТИЧЕСКИЕ ДЛЯ ЛИЦА - ANUA NIACINAMIDE 5 TXA BRIGHTENING PAD</v>
      </c>
      <c r="D22" s="15" t="str">
        <f ca="1">IFERROR(__xludf.DUMMYFUNCTION("""COMPUTED_VALUE"""),"8809640738128")</f>
        <v>8809640738128</v>
      </c>
      <c r="E22" s="16" t="str">
        <f ca="1">IFERROR(__xludf.DUMMYFUNCTION("""COMPUTED_VALUE"""),"210мл")</f>
        <v>210мл</v>
      </c>
      <c r="F22" s="16">
        <f ca="1">IFERROR(__xludf.DUMMYFUNCTION("""COMPUTED_VALUE"""),1)</f>
        <v>1</v>
      </c>
      <c r="G22" s="17">
        <f ca="1">IFERROR(__xludf.DUMMYFUNCTION("""COMPUTED_VALUE"""),11.74)</f>
        <v>11.74</v>
      </c>
    </row>
    <row r="23" spans="1:7" ht="28.5" customHeight="1" x14ac:dyDescent="0.15">
      <c r="A23" s="14" t="str">
        <f ca="1">IFERROR(__xludf.DUMMYFUNCTION("""COMPUTED_VALUE"""),"ANUA")</f>
        <v>ANUA</v>
      </c>
      <c r="B23" s="14" t="str">
        <f ca="1">IFERROR(__xludf.DUMMYFUNCTION("""COMPUTED_VALUE"""),"Солнцезащитный крем")</f>
        <v>Солнцезащитный крем</v>
      </c>
      <c r="C23" s="14" t="str">
        <f ca="1">IFERROR(__xludf.DUMMYFUNCTION("""COMPUTED_VALUE"""),"СОЛНЦЕЗАЩИТНОЕ СРЕДСТВО - ANUA HEARTLEAF SILKY MOISTURE SUN CREAM 50ml")</f>
        <v>СОЛНЦЕЗАЩИТНОЕ СРЕДСТВО - ANUA HEARTLEAF SILKY MOISTURE SUN CREAM 50ml</v>
      </c>
      <c r="D23" s="15" t="str">
        <f ca="1">IFERROR(__xludf.DUMMYFUNCTION("""COMPUTED_VALUE"""),"8809640733185")</f>
        <v>8809640733185</v>
      </c>
      <c r="E23" s="16"/>
      <c r="F23" s="16">
        <f ca="1">IFERROR(__xludf.DUMMYFUNCTION("""COMPUTED_VALUE"""),80)</f>
        <v>80</v>
      </c>
      <c r="G23" s="17">
        <f ca="1">IFERROR(__xludf.DUMMYFUNCTION("""COMPUTED_VALUE"""),9.55)</f>
        <v>9.5500000000000007</v>
      </c>
    </row>
    <row r="24" spans="1:7" ht="28.5" customHeight="1" x14ac:dyDescent="0.15">
      <c r="A24" s="14" t="str">
        <f ca="1">IFERROR(__xludf.DUMMYFUNCTION("""COMPUTED_VALUE"""),"ANUA")</f>
        <v>ANUA</v>
      </c>
      <c r="B24" s="14" t="str">
        <f ca="1">IFERROR(__xludf.DUMMYFUNCTION("""COMPUTED_VALUE"""),"Солнцезащитный крем")</f>
        <v>Солнцезащитный крем</v>
      </c>
      <c r="C24" s="14" t="str">
        <f ca="1">IFERROR(__xludf.DUMMYFUNCTION("""COMPUTED_VALUE"""),"СОЛНЦЕЗАЩИТНОЕ СРЕДСТВО - ANUA INVISIBLE GLOW FINISH SUNSCREEN STICK")</f>
        <v>СОЛНЦЕЗАЩИТНОЕ СРЕДСТВО - ANUA INVISIBLE GLOW FINISH SUNSCREEN STICK</v>
      </c>
      <c r="D24" s="15" t="str">
        <f ca="1">IFERROR(__xludf.DUMMYFUNCTION("""COMPUTED_VALUE"""),"8800307379531")</f>
        <v>8800307379531</v>
      </c>
      <c r="E24" s="16" t="str">
        <f ca="1">IFERROR(__xludf.DUMMYFUNCTION("""COMPUTED_VALUE"""),"18г")</f>
        <v>18г</v>
      </c>
      <c r="F24" s="16">
        <f ca="1">IFERROR(__xludf.DUMMYFUNCTION("""COMPUTED_VALUE"""),28)</f>
        <v>28</v>
      </c>
      <c r="G24" s="17">
        <f ca="1">IFERROR(__xludf.DUMMYFUNCTION("""COMPUTED_VALUE"""),9.65)</f>
        <v>9.65</v>
      </c>
    </row>
    <row r="25" spans="1:7" ht="28.5" customHeight="1" x14ac:dyDescent="0.15">
      <c r="A25" s="14" t="str">
        <f ca="1">IFERROR(__xludf.DUMMYFUNCTION("""COMPUTED_VALUE"""),"ANUA")</f>
        <v>ANUA</v>
      </c>
      <c r="B25" s="14" t="str">
        <f ca="1">IFERROR(__xludf.DUMMYFUNCTION("""COMPUTED_VALUE"""),"Солнцезащитный крем")</f>
        <v>Солнцезащитный крем</v>
      </c>
      <c r="C25" s="14" t="str">
        <f ca="1">IFERROR(__xludf.DUMMYFUNCTION("""COMPUTED_VALUE"""),"СОЛНЦЕЗАЩИТНОЕ СРЕДСТВО - ANUA INVISIBLE MATTE FINISH SUNSCREEN")</f>
        <v>СОЛНЦЕЗАЩИТНОЕ СРЕДСТВО - ANUA INVISIBLE MATTE FINISH SUNSCREEN</v>
      </c>
      <c r="D25" s="15" t="str">
        <f ca="1">IFERROR(__xludf.DUMMYFUNCTION("""COMPUTED_VALUE"""),"8800307379517")</f>
        <v>8800307379517</v>
      </c>
      <c r="E25" s="16" t="str">
        <f ca="1">IFERROR(__xludf.DUMMYFUNCTION("""COMPUTED_VALUE"""),"50мл")</f>
        <v>50мл</v>
      </c>
      <c r="F25" s="16">
        <f ca="1">IFERROR(__xludf.DUMMYFUNCTION("""COMPUTED_VALUE"""),32)</f>
        <v>32</v>
      </c>
      <c r="G25" s="17">
        <f ca="1">IFERROR(__xludf.DUMMYFUNCTION("""COMPUTED_VALUE"""),11.05)</f>
        <v>11.05</v>
      </c>
    </row>
    <row r="26" spans="1:7" ht="28.5" customHeight="1" x14ac:dyDescent="0.15">
      <c r="A26" s="14" t="str">
        <f ca="1">IFERROR(__xludf.DUMMYFUNCTION("""COMPUTED_VALUE"""),"ANUA")</f>
        <v>ANUA</v>
      </c>
      <c r="B26" s="14" t="str">
        <f ca="1">IFERROR(__xludf.DUMMYFUNCTION("""COMPUTED_VALUE"""),"Солнцезащитный крем")</f>
        <v>Солнцезащитный крем</v>
      </c>
      <c r="C26" s="14" t="str">
        <f ca="1">IFERROR(__xludf.DUMMYFUNCTION("""COMPUTED_VALUE"""),"СОЛНЦЕЗАЩИТНОЕ СРЕДСТВО - ANUA ZERO-CAST MOISTURIZING FINISH SUNSCREEN")</f>
        <v>СОЛНЦЕЗАЩИТНОЕ СРЕДСТВО - ANUA ZERO-CAST MOISTURIZING FINISH SUNSCREEN</v>
      </c>
      <c r="D26" s="15" t="str">
        <f ca="1">IFERROR(__xludf.DUMMYFUNCTION("""COMPUTED_VALUE"""),"8809640739507")</f>
        <v>8809640739507</v>
      </c>
      <c r="E26" s="16" t="str">
        <f ca="1">IFERROR(__xludf.DUMMYFUNCTION("""COMPUTED_VALUE"""),"50мл")</f>
        <v>50мл</v>
      </c>
      <c r="F26" s="16">
        <f ca="1">IFERROR(__xludf.DUMMYFUNCTION("""COMPUTED_VALUE"""),109)</f>
        <v>109</v>
      </c>
      <c r="G26" s="17">
        <f ca="1">IFERROR(__xludf.DUMMYFUNCTION("""COMPUTED_VALUE"""),9.07)</f>
        <v>9.07</v>
      </c>
    </row>
    <row r="27" spans="1:7" ht="28.5" customHeight="1" x14ac:dyDescent="0.15">
      <c r="A27" s="14" t="str">
        <f ca="1">IFERROR(__xludf.DUMMYFUNCTION("""COMPUTED_VALUE"""),"ANUA")</f>
        <v>ANUA</v>
      </c>
      <c r="B27" s="14" t="str">
        <f ca="1">IFERROR(__xludf.DUMMYFUNCTION("""COMPUTED_VALUE"""),"Сыворотка")</f>
        <v>Сыворотка</v>
      </c>
      <c r="C27" s="14" t="str">
        <f ca="1">IFERROR(__xludf.DUMMYFUNCTION("""COMPUTED_VALUE"""),"СЫВОРОТКА ДЛЯ ЛИЦА - ANUA AZELAIC ACID 10 HYALURON REDNESS SOOTHING SERUM")</f>
        <v>СЫВОРОТКА ДЛЯ ЛИЦА - ANUA AZELAIC ACID 10 HYALURON REDNESS SOOTHING SERUM</v>
      </c>
      <c r="D27" s="15" t="str">
        <f ca="1">IFERROR(__xludf.DUMMYFUNCTION("""COMPUTED_VALUE"""),"8809640737190")</f>
        <v>8809640737190</v>
      </c>
      <c r="E27" s="16" t="str">
        <f ca="1">IFERROR(__xludf.DUMMYFUNCTION("""COMPUTED_VALUE"""),"30мл")</f>
        <v>30мл</v>
      </c>
      <c r="F27" s="16">
        <f ca="1">IFERROR(__xludf.DUMMYFUNCTION("""COMPUTED_VALUE"""),514)</f>
        <v>514</v>
      </c>
      <c r="G27" s="17">
        <f ca="1">IFERROR(__xludf.DUMMYFUNCTION("""COMPUTED_VALUE"""),11.42)</f>
        <v>11.42</v>
      </c>
    </row>
    <row r="28" spans="1:7" ht="28.5" customHeight="1" x14ac:dyDescent="0.15">
      <c r="A28" s="14" t="str">
        <f ca="1">IFERROR(__xludf.DUMMYFUNCTION("""COMPUTED_VALUE"""),"ANUA")</f>
        <v>ANUA</v>
      </c>
      <c r="B28" s="14" t="str">
        <f ca="1">IFERROR(__xludf.DUMMYFUNCTION("""COMPUTED_VALUE"""),"Сыворотка")</f>
        <v>Сыворотка</v>
      </c>
      <c r="C28" s="14" t="str">
        <f ca="1">IFERROR(__xludf.DUMMYFUNCTION("""COMPUTED_VALUE"""),"СЫВОРОТКА ДЛЯ ЛИЦА - ANUA NANO RETINOL 0.3 + NIACIN RENEWING SERUM")</f>
        <v>СЫВОРОТКА ДЛЯ ЛИЦА - ANUA NANO RETINOL 0.3 + NIACIN RENEWING SERUM</v>
      </c>
      <c r="D28" s="15" t="str">
        <f ca="1">IFERROR(__xludf.DUMMYFUNCTION("""COMPUTED_VALUE"""),"8809640734595")</f>
        <v>8809640734595</v>
      </c>
      <c r="E28" s="16" t="str">
        <f ca="1">IFERROR(__xludf.DUMMYFUNCTION("""COMPUTED_VALUE"""),"30мл")</f>
        <v>30мл</v>
      </c>
      <c r="F28" s="16">
        <f ca="1">IFERROR(__xludf.DUMMYFUNCTION("""COMPUTED_VALUE"""),118)</f>
        <v>118</v>
      </c>
      <c r="G28" s="17">
        <f ca="1">IFERROR(__xludf.DUMMYFUNCTION("""COMPUTED_VALUE"""),14.3)</f>
        <v>14.3</v>
      </c>
    </row>
    <row r="29" spans="1:7" ht="28.5" customHeight="1" x14ac:dyDescent="0.15">
      <c r="A29" s="14" t="str">
        <f ca="1">IFERROR(__xludf.DUMMYFUNCTION("""COMPUTED_VALUE"""),"ANUA")</f>
        <v>ANUA</v>
      </c>
      <c r="B29" s="14" t="str">
        <f ca="1">IFERROR(__xludf.DUMMYFUNCTION("""COMPUTED_VALUE"""),"Сыворотка")</f>
        <v>Сыворотка</v>
      </c>
      <c r="C29" s="14" t="str">
        <f ca="1">IFERROR(__xludf.DUMMYFUNCTION("""COMPUTED_VALUE"""),"СЫВОРОТКА ДЛЯ ЛИЦА - ANUA PDRN HYALURONIC ACID CAPSULE 100 SERUM")</f>
        <v>СЫВОРОТКА ДЛЯ ЛИЦА - ANUA PDRN HYALURONIC ACID CAPSULE 100 SERUM</v>
      </c>
      <c r="D29" s="15" t="str">
        <f ca="1">IFERROR(__xludf.DUMMYFUNCTION("""COMPUTED_VALUE"""),"8809640736667")</f>
        <v>8809640736667</v>
      </c>
      <c r="E29" s="16" t="str">
        <f ca="1">IFERROR(__xludf.DUMMYFUNCTION("""COMPUTED_VALUE"""),"30мл")</f>
        <v>30мл</v>
      </c>
      <c r="F29" s="16">
        <f ca="1">IFERROR(__xludf.DUMMYFUNCTION("""COMPUTED_VALUE"""),574)</f>
        <v>574</v>
      </c>
      <c r="G29" s="17">
        <f ca="1">IFERROR(__xludf.DUMMYFUNCTION("""COMPUTED_VALUE"""),14.14)</f>
        <v>14.14</v>
      </c>
    </row>
    <row r="30" spans="1:7" ht="28.5" customHeight="1" x14ac:dyDescent="0.15">
      <c r="A30" s="14" t="str">
        <f ca="1">IFERROR(__xludf.DUMMYFUNCTION("""COMPUTED_VALUE"""),"ANUA")</f>
        <v>ANUA</v>
      </c>
      <c r="B30" s="14" t="str">
        <f ca="1">IFERROR(__xludf.DUMMYFUNCTION("""COMPUTED_VALUE"""),"Сыворотка")</f>
        <v>Сыворотка</v>
      </c>
      <c r="C30" s="14" t="str">
        <f ca="1">IFERROR(__xludf.DUMMYFUNCTION("""COMPUTED_VALUE"""),"СЫВОРОТКА ДЛЯ ЛИЦА - ANUA PEACH 70 NIACINAMIDE SERUM")</f>
        <v>СЫВОРОТКА ДЛЯ ЛИЦА - ANUA PEACH 70 NIACINAMIDE SERUM</v>
      </c>
      <c r="D30" s="15" t="str">
        <f ca="1">IFERROR(__xludf.DUMMYFUNCTION("""COMPUTED_VALUE"""),"8809640733550")</f>
        <v>8809640733550</v>
      </c>
      <c r="E30" s="16" t="str">
        <f ca="1">IFERROR(__xludf.DUMMYFUNCTION("""COMPUTED_VALUE"""),"30мл")</f>
        <v>30мл</v>
      </c>
      <c r="F30" s="16">
        <f ca="1">IFERROR(__xludf.DUMMYFUNCTION("""COMPUTED_VALUE"""),8)</f>
        <v>8</v>
      </c>
      <c r="G30" s="17">
        <f ca="1">IFERROR(__xludf.DUMMYFUNCTION("""COMPUTED_VALUE"""),11.19)</f>
        <v>11.19</v>
      </c>
    </row>
    <row r="31" spans="1:7" ht="28.5" customHeight="1" x14ac:dyDescent="0.15">
      <c r="A31" s="14" t="str">
        <f ca="1">IFERROR(__xludf.DUMMYFUNCTION("""COMPUTED_VALUE"""),"ANUA")</f>
        <v>ANUA</v>
      </c>
      <c r="B31" s="14" t="str">
        <f ca="1">IFERROR(__xludf.DUMMYFUNCTION("""COMPUTED_VALUE"""),"Сыворотка")</f>
        <v>Сыворотка</v>
      </c>
      <c r="C31" s="14" t="str">
        <f ca="1">IFERROR(__xludf.DUMMYFUNCTION("""COMPUTED_VALUE"""),"СЫВОРОТКА ДЛЯ ЛИЦА - ANUA RICE 7 CERAMIDE HYDRATING BARRIER SERUM")</f>
        <v>СЫВОРОТКА ДЛЯ ЛИЦА - ANUA RICE 7 CERAMIDE HYDRATING BARRIER SERUM</v>
      </c>
      <c r="D31" s="15" t="str">
        <f ca="1">IFERROR(__xludf.DUMMYFUNCTION("""COMPUTED_VALUE"""),"8809640734861")</f>
        <v>8809640734861</v>
      </c>
      <c r="E31" s="16" t="str">
        <f ca="1">IFERROR(__xludf.DUMMYFUNCTION("""COMPUTED_VALUE"""),"50мл")</f>
        <v>50мл</v>
      </c>
      <c r="F31" s="16">
        <f ca="1">IFERROR(__xludf.DUMMYFUNCTION("""COMPUTED_VALUE"""),5)</f>
        <v>5</v>
      </c>
      <c r="G31" s="17">
        <f ca="1">IFERROR(__xludf.DUMMYFUNCTION("""COMPUTED_VALUE"""),11.58)</f>
        <v>11.58</v>
      </c>
    </row>
    <row r="32" spans="1:7" ht="28.5" customHeight="1" x14ac:dyDescent="0.15">
      <c r="A32" s="14" t="str">
        <f ca="1">IFERROR(__xludf.DUMMYFUNCTION("""COMPUTED_VALUE"""),"ANUA")</f>
        <v>ANUA</v>
      </c>
      <c r="B32" s="14" t="str">
        <f ca="1">IFERROR(__xludf.DUMMYFUNCTION("""COMPUTED_VALUE"""),"Тканевая маска")</f>
        <v>Тканевая маска</v>
      </c>
      <c r="C32" s="14" t="str">
        <f ca="1">IFERROR(__xludf.DUMMYFUNCTION("""COMPUTED_VALUE"""),"ТКАНЕВАЯ МАСКА ДЛЯ ЛИЦА - ANUA HEARTLEAF 77 SOOTHING SHEET MASK")</f>
        <v>ТКАНЕВАЯ МАСКА ДЛЯ ЛИЦА - ANUA HEARTLEAF 77 SOOTHING SHEET MASK</v>
      </c>
      <c r="D32" s="15" t="str">
        <f ca="1">IFERROR(__xludf.DUMMYFUNCTION("""COMPUTED_VALUE"""),"8809640730290")</f>
        <v>8809640730290</v>
      </c>
      <c r="E32" s="16" t="str">
        <f ca="1">IFERROR(__xludf.DUMMYFUNCTION("""COMPUTED_VALUE"""),"10шт*25мл")</f>
        <v>10шт*25мл</v>
      </c>
      <c r="F32" s="16">
        <f ca="1">IFERROR(__xludf.DUMMYFUNCTION("""COMPUTED_VALUE"""),54)</f>
        <v>54</v>
      </c>
      <c r="G32" s="17">
        <f ca="1">IFERROR(__xludf.DUMMYFUNCTION("""COMPUTED_VALUE"""),14.23)</f>
        <v>14.23</v>
      </c>
    </row>
    <row r="33" spans="1:7" ht="28.5" customHeight="1" x14ac:dyDescent="0.15">
      <c r="A33" s="14" t="str">
        <f ca="1">IFERROR(__xludf.DUMMYFUNCTION("""COMPUTED_VALUE"""),"ANUA")</f>
        <v>ANUA</v>
      </c>
      <c r="B33" s="14" t="str">
        <f ca="1">IFERROR(__xludf.DUMMYFUNCTION("""COMPUTED_VALUE"""),"Тонер")</f>
        <v>Тонер</v>
      </c>
      <c r="C33" s="14" t="str">
        <f ca="1">IFERROR(__xludf.DUMMYFUNCTION("""COMPUTED_VALUE"""),"ТОНЕР ДЛЯ ЛИЦА - ANUA AZELAIC ACID 3 CICA SKIN CLARIFYING TONER")</f>
        <v>ТОНЕР ДЛЯ ЛИЦА - ANUA AZELAIC ACID 3 CICA SKIN CLARIFYING TONER</v>
      </c>
      <c r="D33" s="15" t="str">
        <f ca="1">IFERROR(__xludf.DUMMYFUNCTION("""COMPUTED_VALUE"""),"8800307370743")</f>
        <v>8800307370743</v>
      </c>
      <c r="E33" s="16" t="str">
        <f ca="1">IFERROR(__xludf.DUMMYFUNCTION("""COMPUTED_VALUE"""),"250мл")</f>
        <v>250мл</v>
      </c>
      <c r="F33" s="16">
        <f ca="1">IFERROR(__xludf.DUMMYFUNCTION("""COMPUTED_VALUE"""),68)</f>
        <v>68</v>
      </c>
      <c r="G33" s="17">
        <f ca="1">IFERROR(__xludf.DUMMYFUNCTION("""COMPUTED_VALUE"""),11.47)</f>
        <v>11.47</v>
      </c>
    </row>
    <row r="34" spans="1:7" ht="28.5" customHeight="1" x14ac:dyDescent="0.15">
      <c r="A34" s="14" t="str">
        <f ca="1">IFERROR(__xludf.DUMMYFUNCTION("""COMPUTED_VALUE"""),"ANUA")</f>
        <v>ANUA</v>
      </c>
      <c r="B34" s="14" t="str">
        <f ca="1">IFERROR(__xludf.DUMMYFUNCTION("""COMPUTED_VALUE"""),"Тонер")</f>
        <v>Тонер</v>
      </c>
      <c r="C34" s="14" t="str">
        <f ca="1">IFERROR(__xludf.DUMMYFUNCTION("""COMPUTED_VALUE"""),"ТОНЕР ДЛЯ ЛИЦА - ANUA NIACINAMIDE TXA BRIGHTENING BOOSTER TONER")</f>
        <v>ТОНЕР ДЛЯ ЛИЦА - ANUA NIACINAMIDE TXA BRIGHTENING BOOSTER TONER</v>
      </c>
      <c r="D34" s="15" t="str">
        <f ca="1">IFERROR(__xludf.DUMMYFUNCTION("""COMPUTED_VALUE"""),"8800307372853")</f>
        <v>8800307372853</v>
      </c>
      <c r="E34" s="16" t="str">
        <f ca="1">IFERROR(__xludf.DUMMYFUNCTION("""COMPUTED_VALUE"""),"250мл")</f>
        <v>250мл</v>
      </c>
      <c r="F34" s="16">
        <f ca="1">IFERROR(__xludf.DUMMYFUNCTION("""COMPUTED_VALUE"""),9)</f>
        <v>9</v>
      </c>
      <c r="G34" s="17">
        <f ca="1">IFERROR(__xludf.DUMMYFUNCTION("""COMPUTED_VALUE"""),11.49)</f>
        <v>11.49</v>
      </c>
    </row>
    <row r="35" spans="1:7" ht="28.5" customHeight="1" x14ac:dyDescent="0.15">
      <c r="A35" s="14" t="str">
        <f ca="1">IFERROR(__xludf.DUMMYFUNCTION("""COMPUTED_VALUE"""),"ANUA")</f>
        <v>ANUA</v>
      </c>
      <c r="B35" s="14" t="str">
        <f ca="1">IFERROR(__xludf.DUMMYFUNCTION("""COMPUTED_VALUE"""),"Тонер")</f>
        <v>Тонер</v>
      </c>
      <c r="C35" s="14" t="str">
        <f ca="1">IFERROR(__xludf.DUMMYFUNCTION("""COMPUTED_VALUE"""),"ТОНЕР ДЛЯ ЛИЦА - ANUA PDRN HYALURONIC ACID BOOSTER TONER")</f>
        <v>ТОНЕР ДЛЯ ЛИЦА - ANUA PDRN HYALURONIC ACID BOOSTER TONER</v>
      </c>
      <c r="D35" s="15" t="str">
        <f ca="1">IFERROR(__xludf.DUMMYFUNCTION("""COMPUTED_VALUE"""),"8800307371672")</f>
        <v>8800307371672</v>
      </c>
      <c r="E35" s="16" t="str">
        <f ca="1">IFERROR(__xludf.DUMMYFUNCTION("""COMPUTED_VALUE"""),"250мл")</f>
        <v>250мл</v>
      </c>
      <c r="F35" s="16">
        <f ca="1">IFERROR(__xludf.DUMMYFUNCTION("""COMPUTED_VALUE"""),122)</f>
        <v>122</v>
      </c>
      <c r="G35" s="17">
        <f ca="1">IFERROR(__xludf.DUMMYFUNCTION("""COMPUTED_VALUE"""),11.18)</f>
        <v>11.18</v>
      </c>
    </row>
    <row r="36" spans="1:7" ht="28.5" customHeight="1" x14ac:dyDescent="0.15">
      <c r="A36" s="14" t="str">
        <f ca="1">IFERROR(__xludf.DUMMYFUNCTION("""COMPUTED_VALUE"""),"ARENCIA")</f>
        <v>ARENCIA</v>
      </c>
      <c r="B36" s="14" t="str">
        <f ca="1">IFERROR(__xludf.DUMMYFUNCTION("""COMPUTED_VALUE"""),"Новый SKU")</f>
        <v>Новый SKU</v>
      </c>
      <c r="C36" s="14" t="str">
        <f ca="1">IFERROR(__xludf.DUMMYFUNCTION("""COMPUTED_VALUE"""),"КОСМЕТИЧЕСКОЕ СРЕДСТВО - ARENCIA VITAMIN C BOOSTER SHOT")</f>
        <v>КОСМЕТИЧЕСКОЕ СРЕДСТВО - ARENCIA VITAMIN C BOOSTER SHOT</v>
      </c>
      <c r="D36" s="15" t="str">
        <f ca="1">IFERROR(__xludf.DUMMYFUNCTION("""COMPUTED_VALUE"""),"8809562192770")</f>
        <v>8809562192770</v>
      </c>
      <c r="E36" s="16" t="str">
        <f ca="1">IFERROR(__xludf.DUMMYFUNCTION("""COMPUTED_VALUE"""),"30мл")</f>
        <v>30мл</v>
      </c>
      <c r="F36" s="16">
        <f ca="1">IFERROR(__xludf.DUMMYFUNCTION("""COMPUTED_VALUE"""),164)</f>
        <v>164</v>
      </c>
      <c r="G36" s="17">
        <f ca="1">IFERROR(__xludf.DUMMYFUNCTION("""COMPUTED_VALUE"""),9.14)</f>
        <v>9.14</v>
      </c>
    </row>
    <row r="37" spans="1:7" ht="28.5" customHeight="1" x14ac:dyDescent="0.15">
      <c r="A37" s="14" t="str">
        <f ca="1">IFERROR(__xludf.DUMMYFUNCTION("""COMPUTED_VALUE"""),"ARENCIA")</f>
        <v>ARENCIA</v>
      </c>
      <c r="B37" s="14" t="str">
        <f ca="1">IFERROR(__xludf.DUMMYFUNCTION("""COMPUTED_VALUE"""),"Средство для умывания")</f>
        <v>Средство для умывания</v>
      </c>
      <c r="C37" s="14" t="str">
        <f ca="1">IFERROR(__xludf.DUMMYFUNCTION("""COMPUTED_VALUE"""),"СРЕДСТВО ДЛЯ УМЫВАНИЯ ЛИЦА - ARENCIA GREEN TEA + LHA DEEP PORE RICE CAKE CLEANSER")</f>
        <v>СРЕДСТВО ДЛЯ УМЫВАНИЯ ЛИЦА - ARENCIA GREEN TEA + LHA DEEP PORE RICE CAKE CLEANSER</v>
      </c>
      <c r="D37" s="15" t="str">
        <f ca="1">IFERROR(__xludf.DUMMYFUNCTION("""COMPUTED_VALUE"""),"8809562191971")</f>
        <v>8809562191971</v>
      </c>
      <c r="E37" s="16" t="str">
        <f ca="1">IFERROR(__xludf.DUMMYFUNCTION("""COMPUTED_VALUE"""),"150г")</f>
        <v>150г</v>
      </c>
      <c r="F37" s="16">
        <f ca="1">IFERROR(__xludf.DUMMYFUNCTION("""COMPUTED_VALUE"""),120)</f>
        <v>120</v>
      </c>
      <c r="G37" s="17">
        <f ca="1">IFERROR(__xludf.DUMMYFUNCTION("""COMPUTED_VALUE"""),8.54)</f>
        <v>8.5399999999999991</v>
      </c>
    </row>
    <row r="38" spans="1:7" ht="28.5" customHeight="1" x14ac:dyDescent="0.15">
      <c r="A38" s="14" t="str">
        <f ca="1">IFERROR(__xludf.DUMMYFUNCTION("""COMPUTED_VALUE"""),"AXIS-Y")</f>
        <v>AXIS-Y</v>
      </c>
      <c r="B38" s="14" t="str">
        <f ca="1">IFERROR(__xludf.DUMMYFUNCTION("""COMPUTED_VALUE"""),"Новый SKU")</f>
        <v>Новый SKU</v>
      </c>
      <c r="C38" s="14" t="str">
        <f ca="1">IFERROR(__xludf.DUMMYFUNCTION("""COMPUTED_VALUE"""),"КОСМЕТИЧЕСКОЕ СРЕДСТВО - AXIS-Y MUGWORT PORE CLARIFYING WASH OFF PACK")</f>
        <v>КОСМЕТИЧЕСКОЕ СРЕДСТВО - AXIS-Y MUGWORT PORE CLARIFYING WASH OFF PACK</v>
      </c>
      <c r="D38" s="15" t="str">
        <f ca="1">IFERROR(__xludf.DUMMYFUNCTION("""COMPUTED_VALUE"""),"8809634610102")</f>
        <v>8809634610102</v>
      </c>
      <c r="E38" s="16" t="str">
        <f ca="1">IFERROR(__xludf.DUMMYFUNCTION("""COMPUTED_VALUE"""),"100мл")</f>
        <v>100мл</v>
      </c>
      <c r="F38" s="16">
        <f ca="1">IFERROR(__xludf.DUMMYFUNCTION("""COMPUTED_VALUE"""),609)</f>
        <v>609</v>
      </c>
      <c r="G38" s="17">
        <f ca="1">IFERROR(__xludf.DUMMYFUNCTION("""COMPUTED_VALUE"""),8.34)</f>
        <v>8.34</v>
      </c>
    </row>
    <row r="39" spans="1:7" ht="28.5" customHeight="1" x14ac:dyDescent="0.15">
      <c r="A39" s="14" t="str">
        <f ca="1">IFERROR(__xludf.DUMMYFUNCTION("""COMPUTED_VALUE"""),"AXIS-Y")</f>
        <v>AXIS-Y</v>
      </c>
      <c r="B39" s="14" t="str">
        <f ca="1">IFERROR(__xludf.DUMMYFUNCTION("""COMPUTED_VALUE"""),"Крем")</f>
        <v>Крем</v>
      </c>
      <c r="C39" s="14" t="str">
        <f ca="1">IFERROR(__xludf.DUMMYFUNCTION("""COMPUTED_VALUE"""),"КРЕМ ДЛЯ ЛИЦА - AXIS-Y DARK SPOT CORRECTING GLOW CREAM")</f>
        <v>КРЕМ ДЛЯ ЛИЦА - AXIS-Y DARK SPOT CORRECTING GLOW CREAM</v>
      </c>
      <c r="D39" s="15" t="str">
        <f ca="1">IFERROR(__xludf.DUMMYFUNCTION("""COMPUTED_VALUE"""),"8809634610966")</f>
        <v>8809634610966</v>
      </c>
      <c r="E39" s="16" t="str">
        <f ca="1">IFERROR(__xludf.DUMMYFUNCTION("""COMPUTED_VALUE"""),"50мл")</f>
        <v>50мл</v>
      </c>
      <c r="F39" s="16">
        <f ca="1">IFERROR(__xludf.DUMMYFUNCTION("""COMPUTED_VALUE"""),510)</f>
        <v>510</v>
      </c>
      <c r="G39" s="17">
        <f ca="1">IFERROR(__xludf.DUMMYFUNCTION("""COMPUTED_VALUE"""),7.46)</f>
        <v>7.46</v>
      </c>
    </row>
    <row r="40" spans="1:7" ht="28.5" customHeight="1" x14ac:dyDescent="0.15">
      <c r="A40" s="14" t="str">
        <f ca="1">IFERROR(__xludf.DUMMYFUNCTION("""COMPUTED_VALUE"""),"AXIS-Y")</f>
        <v>AXIS-Y</v>
      </c>
      <c r="B40" s="14" t="str">
        <f ca="1">IFERROR(__xludf.DUMMYFUNCTION("""COMPUTED_VALUE"""),"Маска")</f>
        <v>Маска</v>
      </c>
      <c r="C40" s="14" t="str">
        <f ca="1">IFERROR(__xludf.DUMMYFUNCTION("""COMPUTED_VALUE"""),"МАСКА ДЛЯ ЛИЦА - AXIS-Y HEARTLEAF SKIN SOOTHING GEL MASK")</f>
        <v>МАСКА ДЛЯ ЛИЦА - AXIS-Y HEARTLEAF SKIN SOOTHING GEL MASK</v>
      </c>
      <c r="D40" s="15" t="str">
        <f ca="1">IFERROR(__xludf.DUMMYFUNCTION("""COMPUTED_VALUE"""),"8809634610140")</f>
        <v>8809634610140</v>
      </c>
      <c r="E40" s="16" t="str">
        <f ca="1">IFERROR(__xludf.DUMMYFUNCTION("""COMPUTED_VALUE"""),"100мл")</f>
        <v>100мл</v>
      </c>
      <c r="F40" s="16">
        <f ca="1">IFERROR(__xludf.DUMMYFUNCTION("""COMPUTED_VALUE"""),144)</f>
        <v>144</v>
      </c>
      <c r="G40" s="17">
        <f ca="1">IFERROR(__xludf.DUMMYFUNCTION("""COMPUTED_VALUE"""),8.74)</f>
        <v>8.74</v>
      </c>
    </row>
    <row r="41" spans="1:7" ht="28.5" customHeight="1" x14ac:dyDescent="0.15">
      <c r="A41" s="14" t="str">
        <f ca="1">IFERROR(__xludf.DUMMYFUNCTION("""COMPUTED_VALUE"""),"AXIS-Y")</f>
        <v>AXIS-Y</v>
      </c>
      <c r="B41" s="14" t="str">
        <f ca="1">IFERROR(__xludf.DUMMYFUNCTION("""COMPUTED_VALUE"""),"Гель для умывания")</f>
        <v>Гель для умывания</v>
      </c>
      <c r="C41" s="14" t="str">
        <f ca="1">IFERROR(__xludf.DUMMYFUNCTION("""COMPUTED_VALUE"""),"ОЧИЩАЮЩИЙ ГЕЛЬ ДЛЯ ЛИЦА - AXIS-Y QUINOA ONE STEP BALANCED GEL CLEANSER")</f>
        <v>ОЧИЩАЮЩИЙ ГЕЛЬ ДЛЯ ЛИЦА - AXIS-Y QUINOA ONE STEP BALANCED GEL CLEANSER</v>
      </c>
      <c r="D41" s="15" t="str">
        <f ca="1">IFERROR(__xludf.DUMMYFUNCTION("""COMPUTED_VALUE"""),"8809634610027")</f>
        <v>8809634610027</v>
      </c>
      <c r="E41" s="16" t="str">
        <f ca="1">IFERROR(__xludf.DUMMYFUNCTION("""COMPUTED_VALUE"""),"180мл")</f>
        <v>180мл</v>
      </c>
      <c r="F41" s="16">
        <f ca="1">IFERROR(__xludf.DUMMYFUNCTION("""COMPUTED_VALUE"""),150)</f>
        <v>150</v>
      </c>
      <c r="G41" s="17">
        <f ca="1">IFERROR(__xludf.DUMMYFUNCTION("""COMPUTED_VALUE"""),8.13)</f>
        <v>8.1300000000000008</v>
      </c>
    </row>
    <row r="42" spans="1:7" ht="28.5" customHeight="1" x14ac:dyDescent="0.15">
      <c r="A42" s="14" t="str">
        <f ca="1">IFERROR(__xludf.DUMMYFUNCTION("""COMPUTED_VALUE"""),"AXIS-Y")</f>
        <v>AXIS-Y</v>
      </c>
      <c r="B42" s="14" t="str">
        <f ca="1">IFERROR(__xludf.DUMMYFUNCTION("""COMPUTED_VALUE"""),"Пилинг-гель")</f>
        <v>Пилинг-гель</v>
      </c>
      <c r="C42" s="14" t="str">
        <f ca="1">IFERROR(__xludf.DUMMYFUNCTION("""COMPUTED_VALUE"""),"ПИЛИНГ-ГЕЛЬ ДЛЯ ЛИЦА - AXIS-Y PHA RESURFACING GLOW PEEL")</f>
        <v>ПИЛИНГ-ГЕЛЬ ДЛЯ ЛИЦА - AXIS-Y PHA RESURFACING GLOW PEEL</v>
      </c>
      <c r="D42" s="15" t="str">
        <f ca="1">IFERROR(__xludf.DUMMYFUNCTION("""COMPUTED_VALUE"""),"8809634610362")</f>
        <v>8809634610362</v>
      </c>
      <c r="E42" s="16" t="str">
        <f ca="1">IFERROR(__xludf.DUMMYFUNCTION("""COMPUTED_VALUE"""),"50мл")</f>
        <v>50мл</v>
      </c>
      <c r="F42" s="16">
        <f ca="1">IFERROR(__xludf.DUMMYFUNCTION("""COMPUTED_VALUE"""),80)</f>
        <v>80</v>
      </c>
      <c r="G42" s="17">
        <f ca="1">IFERROR(__xludf.DUMMYFUNCTION("""COMPUTED_VALUE"""),7.52)</f>
        <v>7.52</v>
      </c>
    </row>
    <row r="43" spans="1:7" ht="28.5" customHeight="1" x14ac:dyDescent="0.15">
      <c r="A43" s="14" t="str">
        <f ca="1">IFERROR(__xludf.DUMMYFUNCTION("""COMPUTED_VALUE"""),"AXIS-Y")</f>
        <v>AXIS-Y</v>
      </c>
      <c r="B43" s="14" t="str">
        <f ca="1">IFERROR(__xludf.DUMMYFUNCTION("""COMPUTED_VALUE"""),"Солнцезащитный крем")</f>
        <v>Солнцезащитный крем</v>
      </c>
      <c r="C43" s="14" t="str">
        <f ca="1">IFERROR(__xludf.DUMMYFUNCTION("""COMPUTED_VALUE"""),"СОЛНЦЕЗАЩИТНОЕ СРЕДСТВО - AXIS-Y COMPLETE NO-STRESS PHYSICAL SUNSCREEN V.3 SPF50+ PA++++")</f>
        <v>СОЛНЦЕЗАЩИТНОЕ СРЕДСТВО - AXIS-Y COMPLETE NO-STRESS PHYSICAL SUNSCREEN V.3 SPF50+ PA++++</v>
      </c>
      <c r="D43" s="15" t="str">
        <f ca="1">IFERROR(__xludf.DUMMYFUNCTION("""COMPUTED_VALUE"""),"8809634610119")</f>
        <v>8809634610119</v>
      </c>
      <c r="E43" s="16" t="str">
        <f ca="1">IFERROR(__xludf.DUMMYFUNCTION("""COMPUTED_VALUE"""),"50мл")</f>
        <v>50мл</v>
      </c>
      <c r="F43" s="16">
        <f ca="1">IFERROR(__xludf.DUMMYFUNCTION("""COMPUTED_VALUE"""),200)</f>
        <v>200</v>
      </c>
      <c r="G43" s="17">
        <f ca="1">IFERROR(__xludf.DUMMYFUNCTION("""COMPUTED_VALUE"""),8.13)</f>
        <v>8.1300000000000008</v>
      </c>
    </row>
    <row r="44" spans="1:7" ht="28.5" customHeight="1" x14ac:dyDescent="0.15">
      <c r="A44" s="14" t="str">
        <f ca="1">IFERROR(__xludf.DUMMYFUNCTION("""COMPUTED_VALUE"""),"AXIS-Y")</f>
        <v>AXIS-Y</v>
      </c>
      <c r="B44" s="14" t="str">
        <f ca="1">IFERROR(__xludf.DUMMYFUNCTION("""COMPUTED_VALUE"""),"Сыворотка для век")</f>
        <v>Сыворотка для век</v>
      </c>
      <c r="C44" s="14" t="str">
        <f ca="1">IFERROR(__xludf.DUMMYFUNCTION("""COMPUTED_VALUE"""),"СЫВОРОТКА ДЛЯ ГЛАЗ - AXIS-Y VEGAN COLLAGEN EYE SERUM")</f>
        <v>СЫВОРОТКА ДЛЯ ГЛАЗ - AXIS-Y VEGAN COLLAGEN EYE SERUM</v>
      </c>
      <c r="D44" s="15" t="str">
        <f ca="1">IFERROR(__xludf.DUMMYFUNCTION("""COMPUTED_VALUE"""),"8809634610881")</f>
        <v>8809634610881</v>
      </c>
      <c r="E44" s="16" t="str">
        <f ca="1">IFERROR(__xludf.DUMMYFUNCTION("""COMPUTED_VALUE"""),"10мл")</f>
        <v>10мл</v>
      </c>
      <c r="F44" s="16">
        <f ca="1">IFERROR(__xludf.DUMMYFUNCTION("""COMPUTED_VALUE"""),222)</f>
        <v>222</v>
      </c>
      <c r="G44" s="17">
        <f ca="1">IFERROR(__xludf.DUMMYFUNCTION("""COMPUTED_VALUE"""),7.55)</f>
        <v>7.55</v>
      </c>
    </row>
    <row r="45" spans="1:7" ht="28.5" customHeight="1" x14ac:dyDescent="0.15">
      <c r="A45" s="14" t="str">
        <f ca="1">IFERROR(__xludf.DUMMYFUNCTION("""COMPUTED_VALUE"""),"AXIS-Y")</f>
        <v>AXIS-Y</v>
      </c>
      <c r="B45" s="14" t="str">
        <f ca="1">IFERROR(__xludf.DUMMYFUNCTION("""COMPUTED_VALUE"""),"Сыворотка")</f>
        <v>Сыворотка</v>
      </c>
      <c r="C45" s="14" t="str">
        <f ca="1">IFERROR(__xludf.DUMMYFUNCTION("""COMPUTED_VALUE"""),"СЫВОРОТКА ДЛЯ ЛИЦА - AXIS-Y DARK SPOT CORRECTING GLOW SERUM")</f>
        <v>СЫВОРОТКА ДЛЯ ЛИЦА - AXIS-Y DARK SPOT CORRECTING GLOW SERUM</v>
      </c>
      <c r="D45" s="15" t="str">
        <f ca="1">IFERROR(__xludf.DUMMYFUNCTION("""COMPUTED_VALUE"""),"8809634610034")</f>
        <v>8809634610034</v>
      </c>
      <c r="E45" s="16" t="str">
        <f ca="1">IFERROR(__xludf.DUMMYFUNCTION("""COMPUTED_VALUE"""),"50мл")</f>
        <v>50мл</v>
      </c>
      <c r="F45" s="16">
        <f ca="1">IFERROR(__xludf.DUMMYFUNCTION("""COMPUTED_VALUE"""),390)</f>
        <v>390</v>
      </c>
      <c r="G45" s="17">
        <f ca="1">IFERROR(__xludf.DUMMYFUNCTION("""COMPUTED_VALUE"""),7.11)</f>
        <v>7.11</v>
      </c>
    </row>
    <row r="46" spans="1:7" ht="28.5" customHeight="1" x14ac:dyDescent="0.15">
      <c r="A46" s="14" t="str">
        <f ca="1">IFERROR(__xludf.DUMMYFUNCTION("""COMPUTED_VALUE"""),"AXIS-Y")</f>
        <v>AXIS-Y</v>
      </c>
      <c r="B46" s="14" t="str">
        <f ca="1">IFERROR(__xludf.DUMMYFUNCTION("""COMPUTED_VALUE"""),"Тонер")</f>
        <v>Тонер</v>
      </c>
      <c r="C46" s="14" t="str">
        <f ca="1">IFERROR(__xludf.DUMMYFUNCTION("""COMPUTED_VALUE"""),"ТОНЕР ДЛЯ ЛИЦА - AXIS-Y DAILY PURIFYING TREATMENT TONER")</f>
        <v>ТОНЕР ДЛЯ ЛИЦА - AXIS-Y DAILY PURIFYING TREATMENT TONER</v>
      </c>
      <c r="D46" s="15" t="str">
        <f ca="1">IFERROR(__xludf.DUMMYFUNCTION("""COMPUTED_VALUE"""),"8809115027924")</f>
        <v>8809115027924</v>
      </c>
      <c r="E46" s="16" t="str">
        <f ca="1">IFERROR(__xludf.DUMMYFUNCTION("""COMPUTED_VALUE"""),"200мл")</f>
        <v>200мл</v>
      </c>
      <c r="F46" s="16">
        <f ca="1">IFERROR(__xludf.DUMMYFUNCTION("""COMPUTED_VALUE"""),198)</f>
        <v>198</v>
      </c>
      <c r="G46" s="17">
        <f ca="1">IFERROR(__xludf.DUMMYFUNCTION("""COMPUTED_VALUE"""),8.74)</f>
        <v>8.74</v>
      </c>
    </row>
    <row r="47" spans="1:7" ht="28.5" customHeight="1" x14ac:dyDescent="0.15">
      <c r="A47" s="14" t="str">
        <f ca="1">IFERROR(__xludf.DUMMYFUNCTION("""COMPUTED_VALUE"""),"AXIS-Y")</f>
        <v>AXIS-Y</v>
      </c>
      <c r="B47" s="14" t="str">
        <f ca="1">IFERROR(__xludf.DUMMYFUNCTION("""COMPUTED_VALUE"""),"Тонер")</f>
        <v>Тонер</v>
      </c>
      <c r="C47" s="14" t="str">
        <f ca="1">IFERROR(__xludf.DUMMYFUNCTION("""COMPUTED_VALUE"""),"ТОНЕР ДЛЯ ЛИЦА - AXIS-Y TRIPLE PDRN GEL TONER")</f>
        <v>ТОНЕР ДЛЯ ЛИЦА - AXIS-Y TRIPLE PDRN GEL TONER</v>
      </c>
      <c r="D47" s="15" t="str">
        <f ca="1">IFERROR(__xludf.DUMMYFUNCTION("""COMPUTED_VALUE"""),"8809634611253")</f>
        <v>8809634611253</v>
      </c>
      <c r="E47" s="16" t="str">
        <f ca="1">IFERROR(__xludf.DUMMYFUNCTION("""COMPUTED_VALUE"""),"270мл")</f>
        <v>270мл</v>
      </c>
      <c r="F47" s="16">
        <f ca="1">IFERROR(__xludf.DUMMYFUNCTION("""COMPUTED_VALUE"""),208)</f>
        <v>208</v>
      </c>
      <c r="G47" s="17">
        <f ca="1">IFERROR(__xludf.DUMMYFUNCTION("""COMPUTED_VALUE"""),9.3)</f>
        <v>9.3000000000000007</v>
      </c>
    </row>
    <row r="48" spans="1:7" ht="28.5" customHeight="1" x14ac:dyDescent="0.15">
      <c r="A48" s="14" t="str">
        <f ca="1">IFERROR(__xludf.DUMMYFUNCTION("""COMPUTED_VALUE"""),"BEAUTY OF JOSEON")</f>
        <v>BEAUTY OF JOSEON</v>
      </c>
      <c r="B48" s="14" t="str">
        <f ca="1">IFERROR(__xludf.DUMMYFUNCTION("""COMPUTED_VALUE"""),"Новый SKU")</f>
        <v>Новый SKU</v>
      </c>
      <c r="C48" s="14" t="str">
        <f ca="1">IFERROR(__xludf.DUMMYFUNCTION("""COMPUTED_VALUE"""),"КОСМЕТИЧЕСКОЕ СРЕДСТВО - BEAUTY OF JOSEON RELIEF SUN AQUA-FRESH RICE + B5")</f>
        <v>КОСМЕТИЧЕСКОЕ СРЕДСТВО - BEAUTY OF JOSEON RELIEF SUN AQUA-FRESH RICE + B5</v>
      </c>
      <c r="D48" s="15" t="str">
        <f ca="1">IFERROR(__xludf.DUMMYFUNCTION("""COMPUTED_VALUE"""),"8809968130277")</f>
        <v>8809968130277</v>
      </c>
      <c r="E48" s="16" t="str">
        <f ca="1">IFERROR(__xludf.DUMMYFUNCTION("""COMPUTED_VALUE"""),"50мл")</f>
        <v>50мл</v>
      </c>
      <c r="F48" s="16">
        <f ca="1">IFERROR(__xludf.DUMMYFUNCTION("""COMPUTED_VALUE"""),336)</f>
        <v>336</v>
      </c>
      <c r="G48" s="17">
        <f ca="1">IFERROR(__xludf.DUMMYFUNCTION("""COMPUTED_VALUE"""),7.73)</f>
        <v>7.73</v>
      </c>
    </row>
    <row r="49" spans="1:7" ht="28.5" customHeight="1" x14ac:dyDescent="0.15">
      <c r="A49" s="14" t="str">
        <f ca="1">IFERROR(__xludf.DUMMYFUNCTION("""COMPUTED_VALUE"""),"BEAUTY OF JOSEON")</f>
        <v>BEAUTY OF JOSEON</v>
      </c>
      <c r="B49" s="14" t="str">
        <f ca="1">IFERROR(__xludf.DUMMYFUNCTION("""COMPUTED_VALUE"""),"Новый SKU")</f>
        <v>Новый SKU</v>
      </c>
      <c r="C49" s="14" t="str">
        <f ca="1">IFERROR(__xludf.DUMMYFUNCTION("""COMPUTED_VALUE"""),"КОСМЕТИЧЕСКОЕ СРЕДСТВО - BEAUTY OF JOSEON RELIEF SUN RICE + PROBIOTICS SPF50+")</f>
        <v>КОСМЕТИЧЕСКОЕ СРЕДСТВО - BEAUTY OF JOSEON RELIEF SUN RICE + PROBIOTICS SPF50+</v>
      </c>
      <c r="D49" s="15" t="str">
        <f ca="1">IFERROR(__xludf.DUMMYFUNCTION("""COMPUTED_VALUE"""),"8809782555508")</f>
        <v>8809782555508</v>
      </c>
      <c r="E49" s="16" t="str">
        <f ca="1">IFERROR(__xludf.DUMMYFUNCTION("""COMPUTED_VALUE"""),"50мл")</f>
        <v>50мл</v>
      </c>
      <c r="F49" s="16">
        <f ca="1">IFERROR(__xludf.DUMMYFUNCTION("""COMPUTED_VALUE"""),1047)</f>
        <v>1047</v>
      </c>
      <c r="G49" s="17">
        <f ca="1">IFERROR(__xludf.DUMMYFUNCTION("""COMPUTED_VALUE"""),7.41)</f>
        <v>7.41</v>
      </c>
    </row>
    <row r="50" spans="1:7" ht="28.5" customHeight="1" x14ac:dyDescent="0.15">
      <c r="A50" s="14" t="str">
        <f ca="1">IFERROR(__xludf.DUMMYFUNCTION("""COMPUTED_VALUE"""),"BIODANCE")</f>
        <v>BIODANCE</v>
      </c>
      <c r="B50" s="14" t="str">
        <f ca="1">IFERROR(__xludf.DUMMYFUNCTION("""COMPUTED_VALUE"""),"Маска")</f>
        <v>Маска</v>
      </c>
      <c r="C50" s="14" t="str">
        <f ca="1">IFERROR(__xludf.DUMMYFUNCTION("""COMPUTED_VALUE"""),"МАСКА ДЛЯ ЛИЦА - BIODANCE HYDRO CERA-NOL REAL DEEP MASK")</f>
        <v>МАСКА ДЛЯ ЛИЦА - BIODANCE HYDRO CERA-NOL REAL DEEP MASK</v>
      </c>
      <c r="D50" s="15" t="str">
        <f ca="1">IFERROR(__xludf.DUMMYFUNCTION("""COMPUTED_VALUE"""),"8809937360971")</f>
        <v>8809937360971</v>
      </c>
      <c r="E50" s="16" t="str">
        <f ca="1">IFERROR(__xludf.DUMMYFUNCTION("""COMPUTED_VALUE"""),"34г × 4шт")</f>
        <v>34г × 4шт</v>
      </c>
      <c r="F50" s="16">
        <f ca="1">IFERROR(__xludf.DUMMYFUNCTION("""COMPUTED_VALUE"""),51)</f>
        <v>51</v>
      </c>
      <c r="G50" s="17">
        <f ca="1">IFERROR(__xludf.DUMMYFUNCTION("""COMPUTED_VALUE"""),11.18)</f>
        <v>11.18</v>
      </c>
    </row>
    <row r="51" spans="1:7" ht="28.5" customHeight="1" x14ac:dyDescent="0.15">
      <c r="A51" s="14" t="str">
        <f ca="1">IFERROR(__xludf.DUMMYFUNCTION("""COMPUTED_VALUE"""),"BIODANCE")</f>
        <v>BIODANCE</v>
      </c>
      <c r="B51" s="14" t="str">
        <f ca="1">IFERROR(__xludf.DUMMYFUNCTION("""COMPUTED_VALUE"""),"Маска")</f>
        <v>Маска</v>
      </c>
      <c r="C51" s="14" t="str">
        <f ca="1">IFERROR(__xludf.DUMMYFUNCTION("""COMPUTED_VALUE"""),"МАСКА ДЛЯ ЛИЦА - BIODANCE RADIANT VITA NIACINAMIDE REAL DEEP MASK")</f>
        <v>МАСКА ДЛЯ ЛИЦА - BIODANCE RADIANT VITA NIACINAMIDE REAL DEEP MASK</v>
      </c>
      <c r="D51" s="15" t="str">
        <f ca="1">IFERROR(__xludf.DUMMYFUNCTION("""COMPUTED_VALUE"""),"8809937361466")</f>
        <v>8809937361466</v>
      </c>
      <c r="E51" s="16" t="str">
        <f ca="1">IFERROR(__xludf.DUMMYFUNCTION("""COMPUTED_VALUE"""),"34г × 4шт")</f>
        <v>34г × 4шт</v>
      </c>
      <c r="F51" s="16">
        <f ca="1">IFERROR(__xludf.DUMMYFUNCTION("""COMPUTED_VALUE"""),110)</f>
        <v>110</v>
      </c>
      <c r="G51" s="17">
        <f ca="1">IFERROR(__xludf.DUMMYFUNCTION("""COMPUTED_VALUE"""),9.72)</f>
        <v>9.7200000000000006</v>
      </c>
    </row>
    <row r="52" spans="1:7" ht="28.5" customHeight="1" x14ac:dyDescent="0.15">
      <c r="A52" s="14" t="str">
        <f ca="1">IFERROR(__xludf.DUMMYFUNCTION("""COMPUTED_VALUE"""),"BIODANCE")</f>
        <v>BIODANCE</v>
      </c>
      <c r="B52" s="14" t="str">
        <f ca="1">IFERROR(__xludf.DUMMYFUNCTION("""COMPUTED_VALUE"""),"Маска")</f>
        <v>Маска</v>
      </c>
      <c r="C52" s="14" t="str">
        <f ca="1">IFERROR(__xludf.DUMMYFUNCTION("""COMPUTED_VALUE"""),"МАСКА ДЛЯ ЛИЦА - BIODANCE REFRESHING SEA KELP REAL DEEP MASK")</f>
        <v>МАСКА ДЛЯ ЛИЦА - BIODANCE REFRESHING SEA KELP REAL DEEP MASK</v>
      </c>
      <c r="D52" s="15" t="str">
        <f ca="1">IFERROR(__xludf.DUMMYFUNCTION("""COMPUTED_VALUE"""),"8809937361480")</f>
        <v>8809937361480</v>
      </c>
      <c r="E52" s="16" t="str">
        <f ca="1">IFERROR(__xludf.DUMMYFUNCTION("""COMPUTED_VALUE"""),"34г × 4шт")</f>
        <v>34г × 4шт</v>
      </c>
      <c r="F52" s="16">
        <f ca="1">IFERROR(__xludf.DUMMYFUNCTION("""COMPUTED_VALUE"""),16)</f>
        <v>16</v>
      </c>
      <c r="G52" s="17">
        <f ca="1">IFERROR(__xludf.DUMMYFUNCTION("""COMPUTED_VALUE"""),8.83)</f>
        <v>8.83</v>
      </c>
    </row>
    <row r="53" spans="1:7" ht="28.5" customHeight="1" x14ac:dyDescent="0.15">
      <c r="A53" s="14" t="str">
        <f ca="1">IFERROR(__xludf.DUMMYFUNCTION("""COMPUTED_VALUE"""),"BIOHEAL BOH")</f>
        <v>BIOHEAL BOH</v>
      </c>
      <c r="B53" s="14" t="str">
        <f ca="1">IFERROR(__xludf.DUMMYFUNCTION("""COMPUTED_VALUE"""),"Мист")</f>
        <v>Мист</v>
      </c>
      <c r="C53" s="14" t="str">
        <f ca="1">IFERROR(__xludf.DUMMYFUNCTION("""COMPUTED_VALUE"""),"МИСТ ДЛЯ ЛИЦА - BIOHEAL BOH PANTHECELL REPAIR CICA CREAM MIST")</f>
        <v>МИСТ ДЛЯ ЛИЦА - BIOHEAL BOH PANTHECELL REPAIR CICA CREAM MIST</v>
      </c>
      <c r="D53" s="15" t="str">
        <f ca="1">IFERROR(__xludf.DUMMYFUNCTION("""COMPUTED_VALUE"""),"8809864756700")</f>
        <v>8809864756700</v>
      </c>
      <c r="E53" s="16" t="str">
        <f ca="1">IFERROR(__xludf.DUMMYFUNCTION("""COMPUTED_VALUE"""),"120мл")</f>
        <v>120мл</v>
      </c>
      <c r="F53" s="16">
        <f ca="1">IFERROR(__xludf.DUMMYFUNCTION("""COMPUTED_VALUE"""),194)</f>
        <v>194</v>
      </c>
      <c r="G53" s="17">
        <f ca="1">IFERROR(__xludf.DUMMYFUNCTION("""COMPUTED_VALUE"""),11.18)</f>
        <v>11.18</v>
      </c>
    </row>
    <row r="54" spans="1:7" ht="28.5" customHeight="1" x14ac:dyDescent="0.15">
      <c r="A54" s="14" t="str">
        <f ca="1">IFERROR(__xludf.DUMMYFUNCTION("""COMPUTED_VALUE"""),"BIOHEAL BOH")</f>
        <v>BIOHEAL BOH</v>
      </c>
      <c r="B54" s="14" t="str">
        <f ca="1">IFERROR(__xludf.DUMMYFUNCTION("""COMPUTED_VALUE"""),"Сыворотка")</f>
        <v>Сыворотка</v>
      </c>
      <c r="C54" s="14" t="str">
        <f ca="1">IFERROR(__xludf.DUMMYFUNCTION("""COMPUTED_VALUE"""),"СЫВОРОТКА ДЛЯ ЛИЦА - BIOHEAL BOH NAD-PRIZCELL GLOW POWER SERUM")</f>
        <v>СЫВОРОТКА ДЛЯ ЛИЦА - BIOHEAL BOH NAD-PRIZCELL GLOW POWER SERUM</v>
      </c>
      <c r="D54" s="15" t="str">
        <f ca="1">IFERROR(__xludf.DUMMYFUNCTION("""COMPUTED_VALUE"""),"8800316292678")</f>
        <v>8800316292678</v>
      </c>
      <c r="E54" s="16" t="str">
        <f ca="1">IFERROR(__xludf.DUMMYFUNCTION("""COMPUTED_VALUE"""),"30мл")</f>
        <v>30мл</v>
      </c>
      <c r="F54" s="16">
        <f ca="1">IFERROR(__xludf.DUMMYFUNCTION("""COMPUTED_VALUE"""),227)</f>
        <v>227</v>
      </c>
      <c r="G54" s="17">
        <f ca="1">IFERROR(__xludf.DUMMYFUNCTION("""COMPUTED_VALUE"""),14.63)</f>
        <v>14.63</v>
      </c>
    </row>
    <row r="55" spans="1:7" ht="28.5" customHeight="1" x14ac:dyDescent="0.15">
      <c r="A55" s="14" t="str">
        <f ca="1">IFERROR(__xludf.DUMMYFUNCTION("""COMPUTED_VALUE"""),"BIOHEAL BOH")</f>
        <v>BIOHEAL BOH</v>
      </c>
      <c r="B55" s="14" t="str">
        <f ca="1">IFERROR(__xludf.DUMMYFUNCTION("""COMPUTED_VALUE"""),"Сыворотка")</f>
        <v>Сыворотка</v>
      </c>
      <c r="C55" s="14" t="str">
        <f ca="1">IFERROR(__xludf.DUMMYFUNCTION("""COMPUTED_VALUE"""),"СЫВОРОТКА ДЛЯ ЛИЦА - BIOHEAL BOH PROBIODERM 3D LIFTING AMPOULE")</f>
        <v>СЫВОРОТКА ДЛЯ ЛИЦА - BIOHEAL BOH PROBIODERM 3D LIFTING AMPOULE</v>
      </c>
      <c r="D55" s="15" t="str">
        <f ca="1">IFERROR(__xludf.DUMMYFUNCTION("""COMPUTED_VALUE"""),"8809971480918")</f>
        <v>8809971480918</v>
      </c>
      <c r="E55" s="16" t="str">
        <f ca="1">IFERROR(__xludf.DUMMYFUNCTION("""COMPUTED_VALUE"""),"30мл")</f>
        <v>30мл</v>
      </c>
      <c r="F55" s="16">
        <f ca="1">IFERROR(__xludf.DUMMYFUNCTION("""COMPUTED_VALUE"""),258)</f>
        <v>258</v>
      </c>
      <c r="G55" s="17">
        <f ca="1">IFERROR(__xludf.DUMMYFUNCTION("""COMPUTED_VALUE"""),13.21)</f>
        <v>13.21</v>
      </c>
    </row>
    <row r="56" spans="1:7" ht="28.5" customHeight="1" x14ac:dyDescent="0.15">
      <c r="A56" s="14" t="str">
        <f ca="1">IFERROR(__xludf.DUMMYFUNCTION("""COMPUTED_VALUE"""),"BLITHE")</f>
        <v>BLITHE</v>
      </c>
      <c r="B56" s="14" t="str">
        <f ca="1">IFERROR(__xludf.DUMMYFUNCTION("""COMPUTED_VALUE"""),"Бальзам для умывания")</f>
        <v>Бальзам для умывания</v>
      </c>
      <c r="C56" s="14" t="str">
        <f ca="1">IFERROR(__xludf.DUMMYFUNCTION("""COMPUTED_VALUE"""),"ОЧИЩАЮЩИЙ ЩЕРБЕТ ДЛЯ ЛИЦА - BLITHE ANTI-POLLUAGING PORE CLEANSING BALM")</f>
        <v>ОЧИЩАЮЩИЙ ЩЕРБЕТ ДЛЯ ЛИЦА - BLITHE ANTI-POLLUAGING PORE CLEANSING BALM</v>
      </c>
      <c r="D56" s="15" t="str">
        <f ca="1">IFERROR(__xludf.DUMMYFUNCTION("""COMPUTED_VALUE"""),"8809501660964")</f>
        <v>8809501660964</v>
      </c>
      <c r="E56" s="16" t="str">
        <f ca="1">IFERROR(__xludf.DUMMYFUNCTION("""COMPUTED_VALUE"""),"50мл")</f>
        <v>50мл</v>
      </c>
      <c r="F56" s="16">
        <f ca="1">IFERROR(__xludf.DUMMYFUNCTION("""COMPUTED_VALUE"""),50)</f>
        <v>50</v>
      </c>
      <c r="G56" s="17">
        <f ca="1">IFERROR(__xludf.DUMMYFUNCTION("""COMPUTED_VALUE"""),9.14)</f>
        <v>9.14</v>
      </c>
    </row>
    <row r="57" spans="1:7" ht="28.5" customHeight="1" x14ac:dyDescent="0.15">
      <c r="A57" s="14" t="str">
        <f ca="1">IFERROR(__xludf.DUMMYFUNCTION("""COMPUTED_VALUE"""),"BLITHE")</f>
        <v>BLITHE</v>
      </c>
      <c r="B57" s="14" t="str">
        <f ca="1">IFERROR(__xludf.DUMMYFUNCTION("""COMPUTED_VALUE"""),"Солнцезащитный крем")</f>
        <v>Солнцезащитный крем</v>
      </c>
      <c r="C57" s="14" t="str">
        <f ca="1">IFERROR(__xludf.DUMMYFUNCTION("""COMPUTED_VALUE"""),"СОЛНЦЕЗАЩИТНОЕ СРЕДСТВО - BLITHE HONEST SUNSCREEN FOR PH BALANCE &amp; MILD PROTECTION SPF50+ PA++++")</f>
        <v>СОЛНЦЕЗАЩИТНОЕ СРЕДСТВО - BLITHE HONEST SUNSCREEN FOR PH BALANCE &amp; MILD PROTECTION SPF50+ PA++++</v>
      </c>
      <c r="D57" s="15" t="str">
        <f ca="1">IFERROR(__xludf.DUMMYFUNCTION("""COMPUTED_VALUE"""),"8809501660636")</f>
        <v>8809501660636</v>
      </c>
      <c r="E57" s="16" t="str">
        <f ca="1">IFERROR(__xludf.DUMMYFUNCTION("""COMPUTED_VALUE"""),"50мл")</f>
        <v>50мл</v>
      </c>
      <c r="F57" s="16">
        <f ca="1">IFERROR(__xludf.DUMMYFUNCTION("""COMPUTED_VALUE"""),85)</f>
        <v>85</v>
      </c>
      <c r="G57" s="17">
        <f ca="1">IFERROR(__xludf.DUMMYFUNCTION("""COMPUTED_VALUE"""),9.14)</f>
        <v>9.14</v>
      </c>
    </row>
    <row r="58" spans="1:7" ht="28.5" customHeight="1" x14ac:dyDescent="0.15">
      <c r="A58" s="14" t="str">
        <f ca="1">IFERROR(__xludf.DUMMYFUNCTION("""COMPUTED_VALUE"""),"BLITHE")</f>
        <v>BLITHE</v>
      </c>
      <c r="B58" s="14" t="str">
        <f ca="1">IFERROR(__xludf.DUMMYFUNCTION("""COMPUTED_VALUE"""),"Сыворотка")</f>
        <v>Сыворотка</v>
      </c>
      <c r="C58" s="14" t="str">
        <f ca="1">IFERROR(__xludf.DUMMYFUNCTION("""COMPUTED_VALUE"""),"СЫВОРОТКА ДЛЯ ЛИЦА - BLITHE PRESSED SERUM TUNDRA CHAGA")</f>
        <v>СЫВОРОТКА ДЛЯ ЛИЦА - BLITHE PRESSED SERUM TUNDRA CHAGA</v>
      </c>
      <c r="D58" s="15" t="str">
        <f ca="1">IFERROR(__xludf.DUMMYFUNCTION("""COMPUTED_VALUE"""),"8809501660100")</f>
        <v>8809501660100</v>
      </c>
      <c r="E58" s="16" t="str">
        <f ca="1">IFERROR(__xludf.DUMMYFUNCTION("""COMPUTED_VALUE"""),"50мл")</f>
        <v>50мл</v>
      </c>
      <c r="F58" s="16">
        <f ca="1">IFERROR(__xludf.DUMMYFUNCTION("""COMPUTED_VALUE"""),47)</f>
        <v>47</v>
      </c>
      <c r="G58" s="17">
        <f ca="1">IFERROR(__xludf.DUMMYFUNCTION("""COMPUTED_VALUE"""),13.21)</f>
        <v>13.21</v>
      </c>
    </row>
    <row r="59" spans="1:7" ht="28.5" customHeight="1" x14ac:dyDescent="0.15">
      <c r="A59" s="14" t="str">
        <f ca="1">IFERROR(__xludf.DUMMYFUNCTION("""COMPUTED_VALUE"""),"BY WISHTREND")</f>
        <v>BY WISHTREND</v>
      </c>
      <c r="B59" s="14" t="str">
        <f ca="1">IFERROR(__xludf.DUMMYFUNCTION("""COMPUTED_VALUE"""),"Крем")</f>
        <v>Крем</v>
      </c>
      <c r="C59" s="14" t="str">
        <f ca="1">IFERROR(__xludf.DUMMYFUNCTION("""COMPUTED_VALUE"""),"КРЕМ ДЛЯ ЛИЦА - BY WISHTREND GREEN TEA &amp; CERAMIDE BARRIER CREAM")</f>
        <v>КРЕМ ДЛЯ ЛИЦА - BY WISHTREND GREEN TEA &amp; CERAMIDE BARRIER CREAM</v>
      </c>
      <c r="D59" s="15" t="str">
        <f ca="1">IFERROR(__xludf.DUMMYFUNCTION("""COMPUTED_VALUE"""),"8809572895845")</f>
        <v>8809572895845</v>
      </c>
      <c r="E59" s="16" t="str">
        <f ca="1">IFERROR(__xludf.DUMMYFUNCTION("""COMPUTED_VALUE"""),"50г")</f>
        <v>50г</v>
      </c>
      <c r="F59" s="16">
        <f ca="1">IFERROR(__xludf.DUMMYFUNCTION("""COMPUTED_VALUE"""),194)</f>
        <v>194</v>
      </c>
      <c r="G59" s="17">
        <f ca="1">IFERROR(__xludf.DUMMYFUNCTION("""COMPUTED_VALUE"""),9.55)</f>
        <v>9.5500000000000007</v>
      </c>
    </row>
    <row r="60" spans="1:7" ht="28.5" customHeight="1" x14ac:dyDescent="0.15">
      <c r="A60" s="14" t="str">
        <f ca="1">IFERROR(__xludf.DUMMYFUNCTION("""COMPUTED_VALUE"""),"BY WISHTREND")</f>
        <v>BY WISHTREND</v>
      </c>
      <c r="B60" s="14" t="str">
        <f ca="1">IFERROR(__xludf.DUMMYFUNCTION("""COMPUTED_VALUE"""),"Пудра для умывания")</f>
        <v>Пудра для умывания</v>
      </c>
      <c r="C60" s="14" t="str">
        <f ca="1">IFERROR(__xludf.DUMMYFUNCTION("""COMPUTED_VALUE"""),"ОЧИЩАЮЩАЯ ПУДРА ДЛЯ ЛИЦА - BY WISHTREND GREEN TEA &amp; ENZYME POWDER WASH")</f>
        <v>ОЧИЩАЮЩАЯ ПУДРА ДЛЯ ЛИЦА - BY WISHTREND GREEN TEA &amp; ENZYME POWDER WASH</v>
      </c>
      <c r="D60" s="15" t="str">
        <f ca="1">IFERROR(__xludf.DUMMYFUNCTION("""COMPUTED_VALUE"""),"8809572891168")</f>
        <v>8809572891168</v>
      </c>
      <c r="E60" s="16" t="str">
        <f ca="1">IFERROR(__xludf.DUMMYFUNCTION("""COMPUTED_VALUE"""),"110г")</f>
        <v>110г</v>
      </c>
      <c r="F60" s="16">
        <f ca="1">IFERROR(__xludf.DUMMYFUNCTION("""COMPUTED_VALUE"""),157)</f>
        <v>157</v>
      </c>
      <c r="G60" s="17">
        <f ca="1">IFERROR(__xludf.DUMMYFUNCTION("""COMPUTED_VALUE"""),9.14)</f>
        <v>9.14</v>
      </c>
    </row>
    <row r="61" spans="1:7" ht="28.5" customHeight="1" x14ac:dyDescent="0.15">
      <c r="A61" s="14" t="str">
        <f ca="1">IFERROR(__xludf.DUMMYFUNCTION("""COMPUTED_VALUE"""),"BY WISHTREND")</f>
        <v>BY WISHTREND</v>
      </c>
      <c r="B61" s="14" t="str">
        <f ca="1">IFERROR(__xludf.DUMMYFUNCTION("""COMPUTED_VALUE"""),"Пэды")</f>
        <v>Пэды</v>
      </c>
      <c r="C61" s="14" t="str">
        <f ca="1">IFERROR(__xludf.DUMMYFUNCTION("""COMPUTED_VALUE"""),"ПЭДЫ КОСМЕТИЧЕСКИЕ ДЛЯ ЛИЦА - BY WISHTREND GREEN TEA &amp; CERAMIDE CALMING TONER PAD")</f>
        <v>ПЭДЫ КОСМЕТИЧЕСКИЕ ДЛЯ ЛИЦА - BY WISHTREND GREEN TEA &amp; CERAMIDE CALMING TONER PAD</v>
      </c>
      <c r="D61" s="15" t="str">
        <f ca="1">IFERROR(__xludf.DUMMYFUNCTION("""COMPUTED_VALUE"""),"8809572895883")</f>
        <v>8809572895883</v>
      </c>
      <c r="E61" s="16" t="str">
        <f ca="1">IFERROR(__xludf.DUMMYFUNCTION("""COMPUTED_VALUE"""),"190мл")</f>
        <v>190мл</v>
      </c>
      <c r="F61" s="16">
        <f ca="1">IFERROR(__xludf.DUMMYFUNCTION("""COMPUTED_VALUE"""),156)</f>
        <v>156</v>
      </c>
      <c r="G61" s="17">
        <f ca="1">IFERROR(__xludf.DUMMYFUNCTION("""COMPUTED_VALUE"""),9.96)</f>
        <v>9.9600000000000009</v>
      </c>
    </row>
    <row r="62" spans="1:7" ht="28.5" customHeight="1" x14ac:dyDescent="0.15">
      <c r="A62" s="14" t="str">
        <f ca="1">IFERROR(__xludf.DUMMYFUNCTION("""COMPUTED_VALUE"""),"BY WISHTREND")</f>
        <v>BY WISHTREND</v>
      </c>
      <c r="B62" s="14" t="str">
        <f ca="1">IFERROR(__xludf.DUMMYFUNCTION("""COMPUTED_VALUE"""),"Солнцезащитный крем")</f>
        <v>Солнцезащитный крем</v>
      </c>
      <c r="C62" s="14" t="str">
        <f ca="1">IFERROR(__xludf.DUMMYFUNCTION("""COMPUTED_VALUE"""),"СОЛНЦЕЗАЩИТНОЕ СРЕДСТВО - BY WISHTREND PORE SMOOTHING BAKUCHIOL SUN STICK SPF50+ PA++++")</f>
        <v>СОЛНЦЕЗАЩИТНОЕ СРЕДСТВО - BY WISHTREND PORE SMOOTHING BAKUCHIOL SUN STICK SPF50+ PA++++</v>
      </c>
      <c r="D62" s="15" t="str">
        <f ca="1">IFERROR(__xludf.DUMMYFUNCTION("""COMPUTED_VALUE"""),"8809572892394")</f>
        <v>8809572892394</v>
      </c>
      <c r="E62" s="16" t="str">
        <f ca="1">IFERROR(__xludf.DUMMYFUNCTION("""COMPUTED_VALUE"""),"18г")</f>
        <v>18г</v>
      </c>
      <c r="F62" s="16">
        <f ca="1">IFERROR(__xludf.DUMMYFUNCTION("""COMPUTED_VALUE"""),15)</f>
        <v>15</v>
      </c>
      <c r="G62" s="17">
        <f ca="1">IFERROR(__xludf.DUMMYFUNCTION("""COMPUTED_VALUE"""),9.38)</f>
        <v>9.3800000000000008</v>
      </c>
    </row>
    <row r="63" spans="1:7" ht="28.5" customHeight="1" x14ac:dyDescent="0.15">
      <c r="A63" s="14" t="str">
        <f ca="1">IFERROR(__xludf.DUMMYFUNCTION("""COMPUTED_VALUE"""),"BY WISHTREND")</f>
        <v>BY WISHTREND</v>
      </c>
      <c r="B63" s="14" t="str">
        <f ca="1">IFERROR(__xludf.DUMMYFUNCTION("""COMPUTED_VALUE"""),"Сыворотка")</f>
        <v>Сыворотка</v>
      </c>
      <c r="C63" s="14" t="str">
        <f ca="1">IFERROR(__xludf.DUMMYFUNCTION("""COMPUTED_VALUE"""),"СЫВОРОТКА ДЛЯ ЛИЦА - BY WISHTREND MANDELIC ACID DARK SPOT CORRECTING SERUM")</f>
        <v>СЫВОРОТКА ДЛЯ ЛИЦА - BY WISHTREND MANDELIC ACID DARK SPOT CORRECTING SERUM</v>
      </c>
      <c r="D63" s="15" t="str">
        <f ca="1">IFERROR(__xludf.DUMMYFUNCTION("""COMPUTED_VALUE"""),"8809572895579")</f>
        <v>8809572895579</v>
      </c>
      <c r="E63" s="16" t="str">
        <f ca="1">IFERROR(__xludf.DUMMYFUNCTION("""COMPUTED_VALUE"""),"30мл")</f>
        <v>30мл</v>
      </c>
      <c r="F63" s="16">
        <f ca="1">IFERROR(__xludf.DUMMYFUNCTION("""COMPUTED_VALUE"""),144)</f>
        <v>144</v>
      </c>
      <c r="G63" s="17">
        <f ca="1">IFERROR(__xludf.DUMMYFUNCTION("""COMPUTED_VALUE"""),9.14)</f>
        <v>9.14</v>
      </c>
    </row>
    <row r="64" spans="1:7" ht="28.5" customHeight="1" x14ac:dyDescent="0.15">
      <c r="A64" s="14" t="str">
        <f ca="1">IFERROR(__xludf.DUMMYFUNCTION("""COMPUTED_VALUE"""),"BY WISHTREND")</f>
        <v>BY WISHTREND</v>
      </c>
      <c r="B64" s="14" t="str">
        <f ca="1">IFERROR(__xludf.DUMMYFUNCTION("""COMPUTED_VALUE"""),"Сыворотка")</f>
        <v>Сыворотка</v>
      </c>
      <c r="C64" s="14" t="str">
        <f ca="1">IFERROR(__xludf.DUMMYFUNCTION("""COMPUTED_VALUE"""),"СЫВОРОТКА ДЛЯ ЛИЦА - BY WISHTREND MATCHA &amp; CERAMIDE MILKY SERUM")</f>
        <v>СЫВОРОТКА ДЛЯ ЛИЦА - BY WISHTREND MATCHA &amp; CERAMIDE MILKY SERUM</v>
      </c>
      <c r="D64" s="15" t="str">
        <f ca="1">IFERROR(__xludf.DUMMYFUNCTION("""COMPUTED_VALUE"""),"8809572896422")</f>
        <v>8809572896422</v>
      </c>
      <c r="E64" s="16" t="str">
        <f ca="1">IFERROR(__xludf.DUMMYFUNCTION("""COMPUTED_VALUE"""),"30мл")</f>
        <v>30мл</v>
      </c>
      <c r="F64" s="16">
        <f ca="1">IFERROR(__xludf.DUMMYFUNCTION("""COMPUTED_VALUE"""),165)</f>
        <v>165</v>
      </c>
      <c r="G64" s="17">
        <f ca="1">IFERROR(__xludf.DUMMYFUNCTION("""COMPUTED_VALUE"""),10.77)</f>
        <v>10.77</v>
      </c>
    </row>
    <row r="65" spans="1:7" ht="28.5" customHeight="1" x14ac:dyDescent="0.15">
      <c r="A65" s="14" t="str">
        <f ca="1">IFERROR(__xludf.DUMMYFUNCTION("""COMPUTED_VALUE"""),"BY WISHTREND")</f>
        <v>BY WISHTREND</v>
      </c>
      <c r="B65" s="14" t="str">
        <f ca="1">IFERROR(__xludf.DUMMYFUNCTION("""COMPUTED_VALUE"""),"Тонер")</f>
        <v>Тонер</v>
      </c>
      <c r="C65" s="14" t="str">
        <f ca="1">IFERROR(__xludf.DUMMYFUNCTION("""COMPUTED_VALUE"""),"ТОНЕР ДЛЯ ЛИЦА - BY WISHTREND MANDELIC ACID GENTLE EXFOLIATING TONER")</f>
        <v>ТОНЕР ДЛЯ ЛИЦА - BY WISHTREND MANDELIC ACID GENTLE EXFOLIATING TONER</v>
      </c>
      <c r="D65" s="15" t="str">
        <f ca="1">IFERROR(__xludf.DUMMYFUNCTION("""COMPUTED_VALUE"""),"8809572890352")</f>
        <v>8809572890352</v>
      </c>
      <c r="E65" s="16" t="str">
        <f ca="1">IFERROR(__xludf.DUMMYFUNCTION("""COMPUTED_VALUE"""),"150мл")</f>
        <v>150мл</v>
      </c>
      <c r="F65" s="16">
        <f ca="1">IFERROR(__xludf.DUMMYFUNCTION("""COMPUTED_VALUE"""),242)</f>
        <v>242</v>
      </c>
      <c r="G65" s="17">
        <f ca="1">IFERROR(__xludf.DUMMYFUNCTION("""COMPUTED_VALUE"""),9.55)</f>
        <v>9.5500000000000007</v>
      </c>
    </row>
    <row r="66" spans="1:7" ht="28.5" customHeight="1" x14ac:dyDescent="0.15">
      <c r="A66" s="14" t="str">
        <f ca="1">IFERROR(__xludf.DUMMYFUNCTION("""COMPUTED_VALUE"""),"CELIMAX")</f>
        <v>CELIMAX</v>
      </c>
      <c r="B66" s="14" t="str">
        <f ca="1">IFERROR(__xludf.DUMMYFUNCTION("""COMPUTED_VALUE"""),"Новый SKU")</f>
        <v>Новый SKU</v>
      </c>
      <c r="C66" s="14" t="str">
        <f ca="1">IFERROR(__xludf.DUMMYFUNCTION("""COMPUTED_VALUE"""),"КОСМЕТИЧЕСКОЕ СРЕДСТВО - CELIMAX THE VITA A RETINAL SHOT TIGHTENING BOOSTER")</f>
        <v>КОСМЕТИЧЕСКОЕ СРЕДСТВО - CELIMAX THE VITA A RETINAL SHOT TIGHTENING BOOSTER</v>
      </c>
      <c r="D66" s="15" t="str">
        <f ca="1">IFERROR(__xludf.DUMMYFUNCTION("""COMPUTED_VALUE"""),"8809700320812")</f>
        <v>8809700320812</v>
      </c>
      <c r="E66" s="16" t="str">
        <f ca="1">IFERROR(__xludf.DUMMYFUNCTION("""COMPUTED_VALUE"""),"15мл")</f>
        <v>15мл</v>
      </c>
      <c r="F66" s="16">
        <f ca="1">IFERROR(__xludf.DUMMYFUNCTION("""COMPUTED_VALUE"""),90)</f>
        <v>90</v>
      </c>
      <c r="G66" s="17">
        <f ca="1">IFERROR(__xludf.DUMMYFUNCTION("""COMPUTED_VALUE"""),8.04)</f>
        <v>8.0399999999999991</v>
      </c>
    </row>
    <row r="67" spans="1:7" ht="28.5" customHeight="1" x14ac:dyDescent="0.15">
      <c r="A67" s="14" t="str">
        <f ca="1">IFERROR(__xludf.DUMMYFUNCTION("""COMPUTED_VALUE"""),"CELIMAX")</f>
        <v>CELIMAX</v>
      </c>
      <c r="B67" s="14" t="str">
        <f ca="1">IFERROR(__xludf.DUMMYFUNCTION("""COMPUTED_VALUE"""),"Крем для век")</f>
        <v>Крем для век</v>
      </c>
      <c r="C67" s="14" t="str">
        <f ca="1">IFERROR(__xludf.DUMMYFUNCTION("""COMPUTED_VALUE"""),"КРЕМ ДЛЯ ГЛАЗ - CELIMAX THE REAL NONI ULTIMATE EYE CREAM")</f>
        <v>КРЕМ ДЛЯ ГЛАЗ - CELIMAX THE REAL NONI ULTIMATE EYE CREAM</v>
      </c>
      <c r="D67" s="15" t="str">
        <f ca="1">IFERROR(__xludf.DUMMYFUNCTION("""COMPUTED_VALUE"""),"8809606850666")</f>
        <v>8809606850666</v>
      </c>
      <c r="E67" s="16" t="str">
        <f ca="1">IFERROR(__xludf.DUMMYFUNCTION("""COMPUTED_VALUE"""),"20мл")</f>
        <v>20мл</v>
      </c>
      <c r="F67" s="16">
        <f ca="1">IFERROR(__xludf.DUMMYFUNCTION("""COMPUTED_VALUE"""),287)</f>
        <v>287</v>
      </c>
      <c r="G67" s="17">
        <f ca="1">IFERROR(__xludf.DUMMYFUNCTION("""COMPUTED_VALUE"""),9.75)</f>
        <v>9.75</v>
      </c>
    </row>
    <row r="68" spans="1:7" ht="28.5" customHeight="1" x14ac:dyDescent="0.15">
      <c r="A68" s="14" t="str">
        <f ca="1">IFERROR(__xludf.DUMMYFUNCTION("""COMPUTED_VALUE"""),"CELIMAX")</f>
        <v>CELIMAX</v>
      </c>
      <c r="B68" s="14" t="str">
        <f ca="1">IFERROR(__xludf.DUMMYFUNCTION("""COMPUTED_VALUE"""),"Крем")</f>
        <v>Крем</v>
      </c>
      <c r="C68" s="14" t="str">
        <f ca="1">IFERROR(__xludf.DUMMYFUNCTION("""COMPUTED_VALUE"""),"КРЕМ ДЛЯ ЛИЦА - CELIMAX DUAL BARRIER SKIN WEARABLE CREAM")</f>
        <v>КРЕМ ДЛЯ ЛИЦА - CELIMAX DUAL BARRIER SKIN WEARABLE CREAM</v>
      </c>
      <c r="D68" s="15" t="str">
        <f ca="1">IFERROR(__xludf.DUMMYFUNCTION("""COMPUTED_VALUE"""),"8809606850505")</f>
        <v>8809606850505</v>
      </c>
      <c r="E68" s="16" t="str">
        <f ca="1">IFERROR(__xludf.DUMMYFUNCTION("""COMPUTED_VALUE"""),"50мл")</f>
        <v>50мл</v>
      </c>
      <c r="F68" s="16">
        <f ca="1">IFERROR(__xludf.DUMMYFUNCTION("""COMPUTED_VALUE"""),591)</f>
        <v>591</v>
      </c>
      <c r="G68" s="17">
        <f ca="1">IFERROR(__xludf.DUMMYFUNCTION("""COMPUTED_VALUE"""),9.23)</f>
        <v>9.23</v>
      </c>
    </row>
    <row r="69" spans="1:7" ht="28.5" customHeight="1" x14ac:dyDescent="0.15">
      <c r="A69" s="14" t="str">
        <f ca="1">IFERROR(__xludf.DUMMYFUNCTION("""COMPUTED_VALUE"""),"CELIMAX")</f>
        <v>CELIMAX</v>
      </c>
      <c r="B69" s="14" t="str">
        <f ca="1">IFERROR(__xludf.DUMMYFUNCTION("""COMPUTED_VALUE"""),"Крем")</f>
        <v>Крем</v>
      </c>
      <c r="C69" s="14" t="str">
        <f ca="1">IFERROR(__xludf.DUMMYFUNCTION("""COMPUTED_VALUE"""),"КРЕМ ДЛЯ ЛИЦА - CELIMAX NONI ENERGY REPAIR CREAM")</f>
        <v>КРЕМ ДЛЯ ЛИЦА - CELIMAX NONI ENERGY REPAIR CREAM</v>
      </c>
      <c r="D69" s="15" t="str">
        <f ca="1">IFERROR(__xludf.DUMMYFUNCTION("""COMPUTED_VALUE"""),"8809686386185")</f>
        <v>8809686386185</v>
      </c>
      <c r="E69" s="16" t="str">
        <f ca="1">IFERROR(__xludf.DUMMYFUNCTION("""COMPUTED_VALUE"""),"50мл")</f>
        <v>50мл</v>
      </c>
      <c r="F69" s="16">
        <f ca="1">IFERROR(__xludf.DUMMYFUNCTION("""COMPUTED_VALUE"""),510)</f>
        <v>510</v>
      </c>
      <c r="G69" s="17">
        <f ca="1">IFERROR(__xludf.DUMMYFUNCTION("""COMPUTED_VALUE"""),9.26)</f>
        <v>9.26</v>
      </c>
    </row>
    <row r="70" spans="1:7" ht="28.5" customHeight="1" x14ac:dyDescent="0.15">
      <c r="A70" s="14" t="str">
        <f ca="1">IFERROR(__xludf.DUMMYFUNCTION("""COMPUTED_VALUE"""),"CELIMAX")</f>
        <v>CELIMAX</v>
      </c>
      <c r="B70" s="14" t="str">
        <f ca="1">IFERROR(__xludf.DUMMYFUNCTION("""COMPUTED_VALUE"""),"Крем")</f>
        <v>Крем</v>
      </c>
      <c r="C70" s="14" t="str">
        <f ca="1">IFERROR(__xludf.DUMMYFUNCTION("""COMPUTED_VALUE"""),"КРЕМ ДЛЯ ЛИЦА - CELIMAX OIL CONTROL MOISTURIZING CREAM")</f>
        <v>КРЕМ ДЛЯ ЛИЦА - CELIMAX OIL CONTROL MOISTURIZING CREAM</v>
      </c>
      <c r="D70" s="15" t="str">
        <f ca="1">IFERROR(__xludf.DUMMYFUNCTION("""COMPUTED_VALUE"""),"8809743546880")</f>
        <v>8809743546880</v>
      </c>
      <c r="E70" s="16" t="str">
        <f ca="1">IFERROR(__xludf.DUMMYFUNCTION("""COMPUTED_VALUE"""),"80мл")</f>
        <v>80мл</v>
      </c>
      <c r="F70" s="16">
        <f ca="1">IFERROR(__xludf.DUMMYFUNCTION("""COMPUTED_VALUE"""),341)</f>
        <v>341</v>
      </c>
      <c r="G70" s="17">
        <f ca="1">IFERROR(__xludf.DUMMYFUNCTION("""COMPUTED_VALUE"""),8.54)</f>
        <v>8.5399999999999991</v>
      </c>
    </row>
    <row r="71" spans="1:7" ht="28.5" customHeight="1" x14ac:dyDescent="0.15">
      <c r="A71" s="14" t="str">
        <f ca="1">IFERROR(__xludf.DUMMYFUNCTION("""COMPUTED_VALUE"""),"CELIMAX")</f>
        <v>CELIMAX</v>
      </c>
      <c r="B71" s="14" t="str">
        <f ca="1">IFERROR(__xludf.DUMMYFUNCTION("""COMPUTED_VALUE"""),"Крем")</f>
        <v>Крем</v>
      </c>
      <c r="C71" s="14" t="str">
        <f ca="1">IFERROR(__xludf.DUMMYFUNCTION("""COMPUTED_VALUE"""),"КРЕМ ДЛЯ ЛИЦА - CELIMAX PORE+DARK SPOT BRIGHTENING CREAM")</f>
        <v>КРЕМ ДЛЯ ЛИЦА - CELIMAX PORE+DARK SPOT BRIGHTENING CREAM</v>
      </c>
      <c r="D71" s="15" t="str">
        <f ca="1">IFERROR(__xludf.DUMMYFUNCTION("""COMPUTED_VALUE"""),"8809971484503")</f>
        <v>8809971484503</v>
      </c>
      <c r="E71" s="16" t="str">
        <f ca="1">IFERROR(__xludf.DUMMYFUNCTION("""COMPUTED_VALUE"""),"35мл")</f>
        <v>35мл</v>
      </c>
      <c r="F71" s="16">
        <f ca="1">IFERROR(__xludf.DUMMYFUNCTION("""COMPUTED_VALUE"""),344)</f>
        <v>344</v>
      </c>
      <c r="G71" s="17">
        <f ca="1">IFERROR(__xludf.DUMMYFUNCTION("""COMPUTED_VALUE"""),7.72)</f>
        <v>7.72</v>
      </c>
    </row>
    <row r="72" spans="1:7" ht="28.5" customHeight="1" x14ac:dyDescent="0.15">
      <c r="A72" s="14" t="str">
        <f ca="1">IFERROR(__xludf.DUMMYFUNCTION("""COMPUTED_VALUE"""),"CELIMAX")</f>
        <v>CELIMAX</v>
      </c>
      <c r="B72" s="14" t="str">
        <f ca="1">IFERROR(__xludf.DUMMYFUNCTION("""COMPUTED_VALUE"""),"Крем")</f>
        <v>Крем</v>
      </c>
      <c r="C72" s="14" t="str">
        <f ca="1">IFERROR(__xludf.DUMMYFUNCTION("""COMPUTED_VALUE"""),"КРЕМ ДЛЯ ЛИЦА - CELIMAX THE REAL CICA SOOTHING CREAM")</f>
        <v>КРЕМ ДЛЯ ЛИЦА - CELIMAX THE REAL CICA SOOTHING CREAM</v>
      </c>
      <c r="D72" s="15" t="str">
        <f ca="1">IFERROR(__xludf.DUMMYFUNCTION("""COMPUTED_VALUE"""),"8809782557861")</f>
        <v>8809782557861</v>
      </c>
      <c r="E72" s="16" t="str">
        <f ca="1">IFERROR(__xludf.DUMMYFUNCTION("""COMPUTED_VALUE"""),"50мл")</f>
        <v>50мл</v>
      </c>
      <c r="F72" s="16">
        <f ca="1">IFERROR(__xludf.DUMMYFUNCTION("""COMPUTED_VALUE"""),3)</f>
        <v>3</v>
      </c>
      <c r="G72" s="17">
        <f ca="1">IFERROR(__xludf.DUMMYFUNCTION("""COMPUTED_VALUE"""),6.62)</f>
        <v>6.62</v>
      </c>
    </row>
    <row r="73" spans="1:7" ht="28.5" customHeight="1" x14ac:dyDescent="0.15">
      <c r="A73" s="14" t="str">
        <f ca="1">IFERROR(__xludf.DUMMYFUNCTION("""COMPUTED_VALUE"""),"CELIMAX")</f>
        <v>CELIMAX</v>
      </c>
      <c r="B73" s="14" t="str">
        <f ca="1">IFERROR(__xludf.DUMMYFUNCTION("""COMPUTED_VALUE"""),"Маска")</f>
        <v>Маска</v>
      </c>
      <c r="C73" s="14" t="str">
        <f ca="1">IFERROR(__xludf.DUMMYFUNCTION("""COMPUTED_VALUE"""),"МАСКА ДЛЯ ЛИЦА - CELIMAX JI WOO GAE PHA PEEL 2-STEP GEL MASK")</f>
        <v>МАСКА ДЛЯ ЛИЦА - CELIMAX JI WOO GAE PHA PEEL 2-STEP GEL MASK</v>
      </c>
      <c r="D73" s="15" t="str">
        <f ca="1">IFERROR(__xludf.DUMMYFUNCTION("""COMPUTED_VALUE"""),"8800296557255")</f>
        <v>8800296557255</v>
      </c>
      <c r="E73" s="16" t="str">
        <f ca="1">IFERROR(__xludf.DUMMYFUNCTION("""COMPUTED_VALUE"""),"34г × 4шт")</f>
        <v>34г × 4шт</v>
      </c>
      <c r="F73" s="16">
        <f ca="1">IFERROR(__xludf.DUMMYFUNCTION("""COMPUTED_VALUE"""),86)</f>
        <v>86</v>
      </c>
      <c r="G73" s="17">
        <f ca="1">IFERROR(__xludf.DUMMYFUNCTION("""COMPUTED_VALUE"""),10.16)</f>
        <v>10.16</v>
      </c>
    </row>
    <row r="74" spans="1:7" ht="28.5" customHeight="1" x14ac:dyDescent="0.15">
      <c r="A74" s="14" t="str">
        <f ca="1">IFERROR(__xludf.DUMMYFUNCTION("""COMPUTED_VALUE"""),"CELIMAX")</f>
        <v>CELIMAX</v>
      </c>
      <c r="B74" s="14" t="str">
        <f ca="1">IFERROR(__xludf.DUMMYFUNCTION("""COMPUTED_VALUE"""),"Маска")</f>
        <v>Маска</v>
      </c>
      <c r="C74" s="14" t="str">
        <f ca="1">IFERROR(__xludf.DUMMYFUNCTION("""COMPUTED_VALUE"""),"МАСКА ДЛЯ ЛИЦА - CELIMAX PORE+DARK SPOT BRIGHTENING CREAM MASK")</f>
        <v>МАСКА ДЛЯ ЛИЦА - CELIMAX PORE+DARK SPOT BRIGHTENING CREAM MASK</v>
      </c>
      <c r="D74" s="15" t="str">
        <f ca="1">IFERROR(__xludf.DUMMYFUNCTION("""COMPUTED_VALUE"""),"8800296551567")</f>
        <v>8800296551567</v>
      </c>
      <c r="E74" s="16" t="str">
        <f ca="1">IFERROR(__xludf.DUMMYFUNCTION("""COMPUTED_VALUE"""),"20г × 4шт")</f>
        <v>20г × 4шт</v>
      </c>
      <c r="F74" s="16">
        <f ca="1">IFERROR(__xludf.DUMMYFUNCTION("""COMPUTED_VALUE"""),333)</f>
        <v>333</v>
      </c>
      <c r="G74" s="17">
        <f ca="1">IFERROR(__xludf.DUMMYFUNCTION("""COMPUTED_VALUE"""),7.67)</f>
        <v>7.67</v>
      </c>
    </row>
    <row r="75" spans="1:7" ht="28.5" customHeight="1" x14ac:dyDescent="0.15">
      <c r="A75" s="14" t="str">
        <f ca="1">IFERROR(__xludf.DUMMYFUNCTION("""COMPUTED_VALUE"""),"CELIMAX")</f>
        <v>CELIMAX</v>
      </c>
      <c r="B75" s="14" t="str">
        <f ca="1">IFERROR(__xludf.DUMMYFUNCTION("""COMPUTED_VALUE"""),"Маска")</f>
        <v>Маска</v>
      </c>
      <c r="C75" s="14" t="str">
        <f ca="1">IFERROR(__xludf.DUMMYFUNCTION("""COMPUTED_VALUE"""),"МАСКА ДЛЯ ЛИЦА - CELIMAX PORE+DARK SPOT BRIGHTENING SERUM MASK")</f>
        <v>МАСКА ДЛЯ ЛИЦА - CELIMAX PORE+DARK SPOT BRIGHTENING SERUM MASK</v>
      </c>
      <c r="D75" s="15" t="str">
        <f ca="1">IFERROR(__xludf.DUMMYFUNCTION("""COMPUTED_VALUE"""),"8809750465235")</f>
        <v>8809750465235</v>
      </c>
      <c r="E75" s="16" t="str">
        <f ca="1">IFERROR(__xludf.DUMMYFUNCTION("""COMPUTED_VALUE"""),"27мл × 10шт")</f>
        <v>27мл × 10шт</v>
      </c>
      <c r="F75" s="16">
        <f ca="1">IFERROR(__xludf.DUMMYFUNCTION("""COMPUTED_VALUE"""),219)</f>
        <v>219</v>
      </c>
      <c r="G75" s="17">
        <f ca="1">IFERROR(__xludf.DUMMYFUNCTION("""COMPUTED_VALUE"""),10.95)</f>
        <v>10.95</v>
      </c>
    </row>
    <row r="76" spans="1:7" ht="28.5" customHeight="1" x14ac:dyDescent="0.15">
      <c r="A76" s="14" t="str">
        <f ca="1">IFERROR(__xludf.DUMMYFUNCTION("""COMPUTED_VALUE"""),"CELIMAX")</f>
        <v>CELIMAX</v>
      </c>
      <c r="B76" s="14" t="str">
        <f ca="1">IFERROR(__xludf.DUMMYFUNCTION("""COMPUTED_VALUE"""),"Маска")</f>
        <v>Маска</v>
      </c>
      <c r="C76" s="14" t="str">
        <f ca="1">IFERROR(__xludf.DUMMYFUNCTION("""COMPUTED_VALUE"""),"МАСКА ДЛЯ ЛИЦА - CELIMAX THE REAL NONI REFRESH CLAY MASK")</f>
        <v>МАСКА ДЛЯ ЛИЦА - CELIMAX THE REAL NONI REFRESH CLAY MASK</v>
      </c>
      <c r="D76" s="15" t="str">
        <f ca="1">IFERROR(__xludf.DUMMYFUNCTION("""COMPUTED_VALUE"""),"8809954940354")</f>
        <v>8809954940354</v>
      </c>
      <c r="E76" s="16" t="str">
        <f ca="1">IFERROR(__xludf.DUMMYFUNCTION("""COMPUTED_VALUE"""),"120г")</f>
        <v>120г</v>
      </c>
      <c r="F76" s="16">
        <f ca="1">IFERROR(__xludf.DUMMYFUNCTION("""COMPUTED_VALUE"""),58)</f>
        <v>58</v>
      </c>
      <c r="G76" s="17">
        <f ca="1">IFERROR(__xludf.DUMMYFUNCTION("""COMPUTED_VALUE"""),7.31)</f>
        <v>7.31</v>
      </c>
    </row>
    <row r="77" spans="1:7" ht="28.5" customHeight="1" x14ac:dyDescent="0.15">
      <c r="A77" s="14" t="str">
        <f ca="1">IFERROR(__xludf.DUMMYFUNCTION("""COMPUTED_VALUE"""),"CELIMAX")</f>
        <v>CELIMAX</v>
      </c>
      <c r="B77" s="14" t="str">
        <f ca="1">IFERROR(__xludf.DUMMYFUNCTION("""COMPUTED_VALUE"""),"Мист")</f>
        <v>Мист</v>
      </c>
      <c r="C77" s="14" t="str">
        <f ca="1">IFERROR(__xludf.DUMMYFUNCTION("""COMPUTED_VALUE"""),"МИСТ ДЛЯ ЛИЦА - CELIMAX THE REAL NONI ENERGY AMPOULE MIST")</f>
        <v>МИСТ ДЛЯ ЛИЦА - CELIMAX THE REAL NONI ENERGY AMPOULE MIST</v>
      </c>
      <c r="D77" s="15" t="str">
        <f ca="1">IFERROR(__xludf.DUMMYFUNCTION("""COMPUTED_VALUE"""),"8809954940477")</f>
        <v>8809954940477</v>
      </c>
      <c r="E77" s="16" t="str">
        <f ca="1">IFERROR(__xludf.DUMMYFUNCTION("""COMPUTED_VALUE"""),"50мл")</f>
        <v>50мл</v>
      </c>
      <c r="F77" s="16">
        <f ca="1">IFERROR(__xludf.DUMMYFUNCTION("""COMPUTED_VALUE"""),116)</f>
        <v>116</v>
      </c>
      <c r="G77" s="17">
        <f ca="1">IFERROR(__xludf.DUMMYFUNCTION("""COMPUTED_VALUE"""),6.98)</f>
        <v>6.98</v>
      </c>
    </row>
    <row r="78" spans="1:7" ht="28.5" customHeight="1" x14ac:dyDescent="0.15">
      <c r="A78" s="14" t="str">
        <f ca="1">IFERROR(__xludf.DUMMYFUNCTION("""COMPUTED_VALUE"""),"CELIMAX")</f>
        <v>CELIMAX</v>
      </c>
      <c r="B78" s="14" t="str">
        <f ca="1">IFERROR(__xludf.DUMMYFUNCTION("""COMPUTED_VALUE"""),"Пенка")</f>
        <v>Пенка</v>
      </c>
      <c r="C78" s="14" t="str">
        <f ca="1">IFERROR(__xludf.DUMMYFUNCTION("""COMPUTED_VALUE"""),"ОЧИЩАЮЩАЯ ПЕНКА ДЛЯ ЛИЦА - CELIMAX DERMA NATURE RELIEF MADECICA PH BALANCING FOAM")</f>
        <v>ОЧИЩАЮЩАЯ ПЕНКА ДЛЯ ЛИЦА - CELIMAX DERMA NATURE RELIEF MADECICA PH BALANCING FOAM</v>
      </c>
      <c r="D78" s="15" t="str">
        <f ca="1">IFERROR(__xludf.DUMMYFUNCTION("""COMPUTED_VALUE"""),"8809975194439")</f>
        <v>8809975194439</v>
      </c>
      <c r="E78" s="16" t="str">
        <f ca="1">IFERROR(__xludf.DUMMYFUNCTION("""COMPUTED_VALUE"""),"150мл")</f>
        <v>150мл</v>
      </c>
      <c r="F78" s="16">
        <f ca="1">IFERROR(__xludf.DUMMYFUNCTION("""COMPUTED_VALUE"""),93)</f>
        <v>93</v>
      </c>
      <c r="G78" s="17">
        <f ca="1">IFERROR(__xludf.DUMMYFUNCTION("""COMPUTED_VALUE"""),5.49)</f>
        <v>5.49</v>
      </c>
    </row>
    <row r="79" spans="1:7" ht="28.5" customHeight="1" x14ac:dyDescent="0.15">
      <c r="A79" s="14" t="str">
        <f ca="1">IFERROR(__xludf.DUMMYFUNCTION("""COMPUTED_VALUE"""),"CELIMAX")</f>
        <v>CELIMAX</v>
      </c>
      <c r="B79" s="14" t="str">
        <f ca="1">IFERROR(__xludf.DUMMYFUNCTION("""COMPUTED_VALUE"""),"Пенка")</f>
        <v>Пенка</v>
      </c>
      <c r="C79" s="14" t="str">
        <f ca="1">IFERROR(__xludf.DUMMYFUNCTION("""COMPUTED_VALUE"""),"ОЧИЩАЮЩАЯ ПЕНКА ДЛЯ ЛИЦА - CELIMAX JI WOO GAE BAKING SODA DEEP PORE FOAM CLEANSING")</f>
        <v>ОЧИЩАЮЩАЯ ПЕНКА ДЛЯ ЛИЦА - CELIMAX JI WOO GAE BAKING SODA DEEP PORE FOAM CLEANSING</v>
      </c>
      <c r="D79" s="15" t="str">
        <f ca="1">IFERROR(__xludf.DUMMYFUNCTION("""COMPUTED_VALUE"""),"8809626562921")</f>
        <v>8809626562921</v>
      </c>
      <c r="E79" s="16" t="str">
        <f ca="1">IFERROR(__xludf.DUMMYFUNCTION("""COMPUTED_VALUE"""),"150мл")</f>
        <v>150мл</v>
      </c>
      <c r="F79" s="16">
        <f ca="1">IFERROR(__xludf.DUMMYFUNCTION("""COMPUTED_VALUE"""),54)</f>
        <v>54</v>
      </c>
      <c r="G79" s="17">
        <f ca="1">IFERROR(__xludf.DUMMYFUNCTION("""COMPUTED_VALUE"""),5.49)</f>
        <v>5.49</v>
      </c>
    </row>
    <row r="80" spans="1:7" ht="28.5" customHeight="1" x14ac:dyDescent="0.15">
      <c r="A80" s="14" t="str">
        <f ca="1">IFERROR(__xludf.DUMMYFUNCTION("""COMPUTED_VALUE"""),"CELIMAX")</f>
        <v>CELIMAX</v>
      </c>
      <c r="B80" s="14" t="str">
        <f ca="1">IFERROR(__xludf.DUMMYFUNCTION("""COMPUTED_VALUE"""),"Пенка")</f>
        <v>Пенка</v>
      </c>
      <c r="C80" s="14" t="str">
        <f ca="1">IFERROR(__xludf.DUMMYFUNCTION("""COMPUTED_VALUE"""),"ОЧИЩАЮЩАЯ ПЕНКА ДЛЯ ЛИЦА - CELIMAX JI WOO GAE CICA BHA ACNE FOAM CLEANSING")</f>
        <v>ОЧИЩАЮЩАЯ ПЕНКА ДЛЯ ЛИЦА - CELIMAX JI WOO GAE CICA BHA ACNE FOAM CLEANSING</v>
      </c>
      <c r="D80" s="15" t="str">
        <f ca="1">IFERROR(__xludf.DUMMYFUNCTION("""COMPUTED_VALUE"""),"8809783324097")</f>
        <v>8809783324097</v>
      </c>
      <c r="E80" s="16" t="str">
        <f ca="1">IFERROR(__xludf.DUMMYFUNCTION("""COMPUTED_VALUE"""),"150мл")</f>
        <v>150мл</v>
      </c>
      <c r="F80" s="16">
        <f ca="1">IFERROR(__xludf.DUMMYFUNCTION("""COMPUTED_VALUE"""),85)</f>
        <v>85</v>
      </c>
      <c r="G80" s="17">
        <f ca="1">IFERROR(__xludf.DUMMYFUNCTION("""COMPUTED_VALUE"""),6.44)</f>
        <v>6.44</v>
      </c>
    </row>
    <row r="81" spans="1:7" ht="28.5" customHeight="1" x14ac:dyDescent="0.15">
      <c r="A81" s="14" t="str">
        <f ca="1">IFERROR(__xludf.DUMMYFUNCTION("""COMPUTED_VALUE"""),"CELIMAX")</f>
        <v>CELIMAX</v>
      </c>
      <c r="B81" s="14" t="str">
        <f ca="1">IFERROR(__xludf.DUMMYFUNCTION("""COMPUTED_VALUE"""),"Масло гидрофильное")</f>
        <v>Масло гидрофильное</v>
      </c>
      <c r="C81" s="14" t="str">
        <f ca="1">IFERROR(__xludf.DUMMYFUNCTION("""COMPUTED_VALUE"""),"ОЧИЩАЮЩЕЕ МАСЛО ДЛЯ ЛИЦА - CELIMAX DERMA NATURE FRESH BLACKHEAD JOJOBA CLEANSING OIL")</f>
        <v>ОЧИЩАЮЩЕЕ МАСЛО ДЛЯ ЛИЦА - CELIMAX DERMA NATURE FRESH BLACKHEAD JOJOBA CLEANSING OIL</v>
      </c>
      <c r="D81" s="15" t="str">
        <f ca="1">IFERROR(__xludf.DUMMYFUNCTION("""COMPUTED_VALUE"""),"8806050298525")</f>
        <v>8806050298525</v>
      </c>
      <c r="E81" s="16" t="str">
        <f ca="1">IFERROR(__xludf.DUMMYFUNCTION("""COMPUTED_VALUE"""),"150мл")</f>
        <v>150мл</v>
      </c>
      <c r="F81" s="16">
        <f ca="1">IFERROR(__xludf.DUMMYFUNCTION("""COMPUTED_VALUE"""),209)</f>
        <v>209</v>
      </c>
      <c r="G81" s="17">
        <f ca="1">IFERROR(__xludf.DUMMYFUNCTION("""COMPUTED_VALUE"""),7.72)</f>
        <v>7.72</v>
      </c>
    </row>
    <row r="82" spans="1:7" ht="28.5" customHeight="1" x14ac:dyDescent="0.15">
      <c r="A82" s="14" t="str">
        <f ca="1">IFERROR(__xludf.DUMMYFUNCTION("""COMPUTED_VALUE"""),"CELIMAX")</f>
        <v>CELIMAX</v>
      </c>
      <c r="B82" s="14" t="str">
        <f ca="1">IFERROR(__xludf.DUMMYFUNCTION("""COMPUTED_VALUE"""),"Гель для умывания")</f>
        <v>Гель для умывания</v>
      </c>
      <c r="C82" s="14" t="str">
        <f ca="1">IFERROR(__xludf.DUMMYFUNCTION("""COMPUTED_VALUE"""),"ОЧИЩАЮЩИЙ ГЕЛЬ ДЛЯ ЛИЦА - CELIMAX DUAL BARRIER MILD GEL CLEANSER")</f>
        <v>ОЧИЩАЮЩИЙ ГЕЛЬ ДЛЯ ЛИЦА - CELIMAX DUAL BARRIER MILD GEL CLEANSER</v>
      </c>
      <c r="D82" s="15" t="str">
        <f ca="1">IFERROR(__xludf.DUMMYFUNCTION("""COMPUTED_VALUE"""),"8809606850499")</f>
        <v>8809606850499</v>
      </c>
      <c r="E82" s="16" t="str">
        <f ca="1">IFERROR(__xludf.DUMMYFUNCTION("""COMPUTED_VALUE"""),"200мл")</f>
        <v>200мл</v>
      </c>
      <c r="F82" s="16">
        <f ca="1">IFERROR(__xludf.DUMMYFUNCTION("""COMPUTED_VALUE"""),731)</f>
        <v>731</v>
      </c>
      <c r="G82" s="17">
        <f ca="1">IFERROR(__xludf.DUMMYFUNCTION("""COMPUTED_VALUE"""),8.05)</f>
        <v>8.0500000000000007</v>
      </c>
    </row>
    <row r="83" spans="1:7" ht="28.5" customHeight="1" x14ac:dyDescent="0.15">
      <c r="A83" s="14" t="str">
        <f ca="1">IFERROR(__xludf.DUMMYFUNCTION("""COMPUTED_VALUE"""),"CELIMAX")</f>
        <v>CELIMAX</v>
      </c>
      <c r="B83" s="14" t="str">
        <f ca="1">IFERROR(__xludf.DUMMYFUNCTION("""COMPUTED_VALUE"""),"Бальзам для умывания")</f>
        <v>Бальзам для умывания</v>
      </c>
      <c r="C83" s="14" t="str">
        <f ca="1">IFERROR(__xludf.DUMMYFUNCTION("""COMPUTED_VALUE"""),"ОЧИЩАЮЩИЙ ЩЕРБЕТ ДЛЯ ЛИЦА - CELIMAX DUAL BARRIER PURIFYING CLEANSING BALM")</f>
        <v>ОЧИЩАЮЩИЙ ЩЕРБЕТ ДЛЯ ЛИЦА - CELIMAX DUAL BARRIER PURIFYING CLEANSING BALM</v>
      </c>
      <c r="D83" s="15" t="str">
        <f ca="1">IFERROR(__xludf.DUMMYFUNCTION("""COMPUTED_VALUE"""),"8809606852400")</f>
        <v>8809606852400</v>
      </c>
      <c r="E83" s="16" t="str">
        <f ca="1">IFERROR(__xludf.DUMMYFUNCTION("""COMPUTED_VALUE"""),"50мл")</f>
        <v>50мл</v>
      </c>
      <c r="F83" s="16">
        <f ca="1">IFERROR(__xludf.DUMMYFUNCTION("""COMPUTED_VALUE"""),348)</f>
        <v>348</v>
      </c>
      <c r="G83" s="17">
        <f ca="1">IFERROR(__xludf.DUMMYFUNCTION("""COMPUTED_VALUE"""),9.14)</f>
        <v>9.14</v>
      </c>
    </row>
    <row r="84" spans="1:7" ht="28.5" customHeight="1" x14ac:dyDescent="0.15">
      <c r="A84" s="14" t="str">
        <f ca="1">IFERROR(__xludf.DUMMYFUNCTION("""COMPUTED_VALUE"""),"CELIMAX")</f>
        <v>CELIMAX</v>
      </c>
      <c r="B84" s="14" t="str">
        <f ca="1">IFERROR(__xludf.DUMMYFUNCTION("""COMPUTED_VALUE"""),"Бальзам для умывания")</f>
        <v>Бальзам для умывания</v>
      </c>
      <c r="C84" s="14" t="str">
        <f ca="1">IFERROR(__xludf.DUMMYFUNCTION("""COMPUTED_VALUE"""),"ОЧИЩАЮЩИЙ ЩЕРБЕТ ДЛЯ ЛИЦА - CELIMAX DUAL BARRIER PURIFYING CLEANSING BALM")</f>
        <v>ОЧИЩАЮЩИЙ ЩЕРБЕТ ДЛЯ ЛИЦА - CELIMAX DUAL BARRIER PURIFYING CLEANSING BALM</v>
      </c>
      <c r="D84" s="15" t="str">
        <f ca="1">IFERROR(__xludf.DUMMYFUNCTION("""COMPUTED_VALUE"""),"8809606852578")</f>
        <v>8809606852578</v>
      </c>
      <c r="E84" s="16" t="str">
        <f ca="1">IFERROR(__xludf.DUMMYFUNCTION("""COMPUTED_VALUE"""),"50мл × 2шт")</f>
        <v>50мл × 2шт</v>
      </c>
      <c r="F84" s="16">
        <f ca="1">IFERROR(__xludf.DUMMYFUNCTION("""COMPUTED_VALUE"""),28)</f>
        <v>28</v>
      </c>
      <c r="G84" s="17">
        <f ca="1">IFERROR(__xludf.DUMMYFUNCTION("""COMPUTED_VALUE"""),10.16)</f>
        <v>10.16</v>
      </c>
    </row>
    <row r="85" spans="1:7" ht="28.5" customHeight="1" x14ac:dyDescent="0.15">
      <c r="A85" s="14" t="str">
        <f ca="1">IFERROR(__xludf.DUMMYFUNCTION("""COMPUTED_VALUE"""),"CELIMAX")</f>
        <v>CELIMAX</v>
      </c>
      <c r="B85" s="14" t="str">
        <f ca="1">IFERROR(__xludf.DUMMYFUNCTION("""COMPUTED_VALUE"""),"Пэды")</f>
        <v>Пэды</v>
      </c>
      <c r="C85" s="14" t="str">
        <f ca="1">IFERROR(__xludf.DUMMYFUNCTION("""COMPUTED_VALUE"""),"ПЭДЫ КОСМЕТИЧЕСКИЕ ДЛЯ ЛИЦА - CELIMAX JI WOO GAE ONE STEP MILD CLEANSING PAD")</f>
        <v>ПЭДЫ КОСМЕТИЧЕСКИЕ ДЛЯ ЛИЦА - CELIMAX JI WOO GAE ONE STEP MILD CLEANSING PAD</v>
      </c>
      <c r="D85" s="15" t="str">
        <f ca="1">IFERROR(__xludf.DUMMYFUNCTION("""COMPUTED_VALUE"""),"8809463993889")</f>
        <v>8809463993889</v>
      </c>
      <c r="E85" s="16" t="str">
        <f ca="1">IFERROR(__xludf.DUMMYFUNCTION("""COMPUTED_VALUE"""),"225мл (60шт)")</f>
        <v>225мл (60шт)</v>
      </c>
      <c r="F85" s="16">
        <f ca="1">IFERROR(__xludf.DUMMYFUNCTION("""COMPUTED_VALUE"""),53)</f>
        <v>53</v>
      </c>
      <c r="G85" s="17">
        <f ca="1">IFERROR(__xludf.DUMMYFUNCTION("""COMPUTED_VALUE"""),9.14)</f>
        <v>9.14</v>
      </c>
    </row>
    <row r="86" spans="1:7" ht="28.5" customHeight="1" x14ac:dyDescent="0.15">
      <c r="A86" s="14" t="str">
        <f ca="1">IFERROR(__xludf.DUMMYFUNCTION("""COMPUTED_VALUE"""),"CELIMAX")</f>
        <v>CELIMAX</v>
      </c>
      <c r="B86" s="14" t="str">
        <f ca="1">IFERROR(__xludf.DUMMYFUNCTION("""COMPUTED_VALUE"""),"Пэды")</f>
        <v>Пэды</v>
      </c>
      <c r="C86" s="14" t="str">
        <f ca="1">IFERROR(__xludf.DUMMYFUNCTION("""COMPUTED_VALUE"""),"ПЭДЫ КОСМЕТИЧЕСКИЕ ДЛЯ ЛИЦА - CELIMAX JI WOO HEARTLEAF BHA PEELING PAD")</f>
        <v>ПЭДЫ КОСМЕТИЧЕСКИЕ ДЛЯ ЛИЦА - CELIMAX JI WOO HEARTLEAF BHA PEELING PAD</v>
      </c>
      <c r="D86" s="15" t="str">
        <f ca="1">IFERROR(__xludf.DUMMYFUNCTION("""COMPUTED_VALUE"""),"8809463992615")</f>
        <v>8809463992615</v>
      </c>
      <c r="E86" s="16" t="str">
        <f ca="1">IFERROR(__xludf.DUMMYFUNCTION("""COMPUTED_VALUE"""),"125мл (60шт)")</f>
        <v>125мл (60шт)</v>
      </c>
      <c r="F86" s="16">
        <f ca="1">IFERROR(__xludf.DUMMYFUNCTION("""COMPUTED_VALUE"""),1)</f>
        <v>1</v>
      </c>
      <c r="G86" s="17">
        <f ca="1">IFERROR(__xludf.DUMMYFUNCTION("""COMPUTED_VALUE"""),8.13)</f>
        <v>8.1300000000000008</v>
      </c>
    </row>
    <row r="87" spans="1:7" ht="28.5" customHeight="1" x14ac:dyDescent="0.15">
      <c r="A87" s="14" t="str">
        <f ca="1">IFERROR(__xludf.DUMMYFUNCTION("""COMPUTED_VALUE"""),"CELIMAX")</f>
        <v>CELIMAX</v>
      </c>
      <c r="B87" s="14" t="str">
        <f ca="1">IFERROR(__xludf.DUMMYFUNCTION("""COMPUTED_VALUE"""),"Пэды")</f>
        <v>Пэды</v>
      </c>
      <c r="C87" s="14" t="str">
        <f ca="1">IFERROR(__xludf.DUMMYFUNCTION("""COMPUTED_VALUE"""),"ПЭДЫ КОСМЕТИЧЕСКИЕ ДЛЯ ЛИЦА - CELIMAX PORE+DARK SPOT BRIGHTENING PAD")</f>
        <v>ПЭДЫ КОСМЕТИЧЕСКИЕ ДЛЯ ЛИЦА - CELIMAX PORE+DARK SPOT BRIGHTENING PAD</v>
      </c>
      <c r="D87" s="15" t="str">
        <f ca="1">IFERROR(__xludf.DUMMYFUNCTION("""COMPUTED_VALUE"""),"8809743546323")</f>
        <v>8809743546323</v>
      </c>
      <c r="E87" s="16" t="str">
        <f ca="1">IFERROR(__xludf.DUMMYFUNCTION("""COMPUTED_VALUE"""),"100мл (40шт)")</f>
        <v>100мл (40шт)</v>
      </c>
      <c r="F87" s="16">
        <f ca="1">IFERROR(__xludf.DUMMYFUNCTION("""COMPUTED_VALUE"""),372)</f>
        <v>372</v>
      </c>
      <c r="G87" s="17">
        <f ca="1">IFERROR(__xludf.DUMMYFUNCTION("""COMPUTED_VALUE"""),7.72)</f>
        <v>7.72</v>
      </c>
    </row>
    <row r="88" spans="1:7" ht="28.5" customHeight="1" x14ac:dyDescent="0.15">
      <c r="A88" s="14" t="str">
        <f ca="1">IFERROR(__xludf.DUMMYFUNCTION("""COMPUTED_VALUE"""),"CELIMAX")</f>
        <v>CELIMAX</v>
      </c>
      <c r="B88" s="14" t="str">
        <f ca="1">IFERROR(__xludf.DUMMYFUNCTION("""COMPUTED_VALUE"""),"Пэды")</f>
        <v>Пэды</v>
      </c>
      <c r="C88" s="14" t="str">
        <f ca="1">IFERROR(__xludf.DUMMYFUNCTION("""COMPUTED_VALUE"""),"ПЭДЫ КОСМЕТИЧЕСКИЕ ДЛЯ ЛИЦА - CELIMAX THE REAL NONI CALMING GLOW PAD")</f>
        <v>ПЭДЫ КОСМЕТИЧЕСКИЕ ДЛЯ ЛИЦА - CELIMAX THE REAL NONI CALMING GLOW PAD</v>
      </c>
      <c r="D88" s="15" t="str">
        <f ca="1">IFERROR(__xludf.DUMMYFUNCTION("""COMPUTED_VALUE"""),"8809750465464")</f>
        <v>8809750465464</v>
      </c>
      <c r="E88" s="16" t="str">
        <f ca="1">IFERROR(__xludf.DUMMYFUNCTION("""COMPUTED_VALUE"""),"160мл (50шт)")</f>
        <v>160мл (50шт)</v>
      </c>
      <c r="F88" s="16">
        <f ca="1">IFERROR(__xludf.DUMMYFUNCTION("""COMPUTED_VALUE"""),217)</f>
        <v>217</v>
      </c>
      <c r="G88" s="17">
        <f ca="1">IFERROR(__xludf.DUMMYFUNCTION("""COMPUTED_VALUE"""),9.02)</f>
        <v>9.02</v>
      </c>
    </row>
    <row r="89" spans="1:7" ht="28.5" customHeight="1" x14ac:dyDescent="0.15">
      <c r="A89" s="14" t="str">
        <f ca="1">IFERROR(__xludf.DUMMYFUNCTION("""COMPUTED_VALUE"""),"CELIMAX")</f>
        <v>CELIMAX</v>
      </c>
      <c r="B89" s="14" t="str">
        <f ca="1">IFERROR(__xludf.DUMMYFUNCTION("""COMPUTED_VALUE"""),"Солнцезащитный крем")</f>
        <v>Солнцезащитный крем</v>
      </c>
      <c r="C89" s="14" t="str">
        <f ca="1">IFERROR(__xludf.DUMMYFUNCTION("""COMPUTED_VALUE"""),"СОЛНЦЕЗАЩИТНОЕ СРЕДСТВО - CELIMAX DUAL BARRIER WATERY SUN CREAM SPF50+PA++++")</f>
        <v>СОЛНЦЕЗАЩИТНОЕ СРЕДСТВО - CELIMAX DUAL BARRIER WATERY SUN CREAM SPF50+PA++++</v>
      </c>
      <c r="D89" s="15" t="str">
        <f ca="1">IFERROR(__xludf.DUMMYFUNCTION("""COMPUTED_VALUE"""),"8809686388172")</f>
        <v>8809686388172</v>
      </c>
      <c r="E89" s="16" t="str">
        <f ca="1">IFERROR(__xludf.DUMMYFUNCTION("""COMPUTED_VALUE"""),"40мл")</f>
        <v>40мл</v>
      </c>
      <c r="F89" s="16">
        <f ca="1">IFERROR(__xludf.DUMMYFUNCTION("""COMPUTED_VALUE"""),179)</f>
        <v>179</v>
      </c>
      <c r="G89" s="17">
        <f ca="1">IFERROR(__xludf.DUMMYFUNCTION("""COMPUTED_VALUE"""),8.13)</f>
        <v>8.1300000000000008</v>
      </c>
    </row>
    <row r="90" spans="1:7" ht="28.5" customHeight="1" x14ac:dyDescent="0.15">
      <c r="A90" s="14" t="str">
        <f ca="1">IFERROR(__xludf.DUMMYFUNCTION("""COMPUTED_VALUE"""),"CELIMAX")</f>
        <v>CELIMAX</v>
      </c>
      <c r="B90" s="14" t="str">
        <f ca="1">IFERROR(__xludf.DUMMYFUNCTION("""COMPUTED_VALUE"""),"Солнцезащитный крем")</f>
        <v>Солнцезащитный крем</v>
      </c>
      <c r="C90" s="14" t="str">
        <f ca="1">IFERROR(__xludf.DUMMYFUNCTION("""COMPUTED_VALUE"""),"СОЛНЦЕЗАЩИТНОЕ СРЕДСТВО - CELIMAX OIL CONTROL MATTIFYING SUN STICK SPF50+ PA++++")</f>
        <v>СОЛНЦЕЗАЩИТНОЕ СРЕДСТВО - CELIMAX OIL CONTROL MATTIFYING SUN STICK SPF50+ PA++++</v>
      </c>
      <c r="D90" s="15" t="str">
        <f ca="1">IFERROR(__xludf.DUMMYFUNCTION("""COMPUTED_VALUE"""),"8809971489911")</f>
        <v>8809971489911</v>
      </c>
      <c r="E90" s="16" t="str">
        <f ca="1">IFERROR(__xludf.DUMMYFUNCTION("""COMPUTED_VALUE"""),"19г")</f>
        <v>19г</v>
      </c>
      <c r="F90" s="16">
        <f ca="1">IFERROR(__xludf.DUMMYFUNCTION("""COMPUTED_VALUE"""),120)</f>
        <v>120</v>
      </c>
      <c r="G90" s="17">
        <f ca="1">IFERROR(__xludf.DUMMYFUNCTION("""COMPUTED_VALUE"""),8.13)</f>
        <v>8.1300000000000008</v>
      </c>
    </row>
    <row r="91" spans="1:7" ht="28.5" customHeight="1" x14ac:dyDescent="0.15">
      <c r="A91" s="14" t="str">
        <f ca="1">IFERROR(__xludf.DUMMYFUNCTION("""COMPUTED_VALUE"""),"CELIMAX")</f>
        <v>CELIMAX</v>
      </c>
      <c r="B91" s="14" t="str">
        <f ca="1">IFERROR(__xludf.DUMMYFUNCTION("""COMPUTED_VALUE"""),"Средство для умывания")</f>
        <v>Средство для умывания</v>
      </c>
      <c r="C91" s="14" t="str">
        <f ca="1">IFERROR(__xludf.DUMMYFUNCTION("""COMPUTED_VALUE"""),"СРЕДСТВО ДЛЯ УМЫВАНИЯ ЛИЦА - CELIMAX THE REAL NONI ACNE BUBBLE CLEANSER")</f>
        <v>СРЕДСТВО ДЛЯ УМЫВАНИЯ ЛИЦА - CELIMAX THE REAL NONI ACNE BUBBLE CLEANSER</v>
      </c>
      <c r="D91" s="15" t="str">
        <f ca="1">IFERROR(__xludf.DUMMYFUNCTION("""COMPUTED_VALUE"""),"8809541379468")</f>
        <v>8809541379468</v>
      </c>
      <c r="E91" s="16" t="str">
        <f ca="1">IFERROR(__xludf.DUMMYFUNCTION("""COMPUTED_VALUE"""),"155мл")</f>
        <v>155мл</v>
      </c>
      <c r="F91" s="16">
        <f ca="1">IFERROR(__xludf.DUMMYFUNCTION("""COMPUTED_VALUE"""),91)</f>
        <v>91</v>
      </c>
      <c r="G91" s="17">
        <f ca="1">IFERROR(__xludf.DUMMYFUNCTION("""COMPUTED_VALUE"""),7.46)</f>
        <v>7.46</v>
      </c>
    </row>
    <row r="92" spans="1:7" ht="28.5" customHeight="1" x14ac:dyDescent="0.15">
      <c r="A92" s="14" t="str">
        <f ca="1">IFERROR(__xludf.DUMMYFUNCTION("""COMPUTED_VALUE"""),"CELIMAX")</f>
        <v>CELIMAX</v>
      </c>
      <c r="B92" s="14" t="str">
        <f ca="1">IFERROR(__xludf.DUMMYFUNCTION("""COMPUTED_VALUE"""),"Сыворотка")</f>
        <v>Сыворотка</v>
      </c>
      <c r="C92" s="14" t="str">
        <f ca="1">IFERROR(__xludf.DUMMYFUNCTION("""COMPUTED_VALUE"""),"СЫВОРОТКА ДЛЯ ЛИЦА - CELIMAX DUAL BARRIER BOOSTING SERUM")</f>
        <v>СЫВОРОТКА ДЛЯ ЛИЦА - CELIMAX DUAL BARRIER BOOSTING SERUM</v>
      </c>
      <c r="D92" s="15" t="str">
        <f ca="1">IFERROR(__xludf.DUMMYFUNCTION("""COMPUTED_VALUE"""),"8809606850482")</f>
        <v>8809606850482</v>
      </c>
      <c r="E92" s="16" t="str">
        <f ca="1">IFERROR(__xludf.DUMMYFUNCTION("""COMPUTED_VALUE"""),"30мл")</f>
        <v>30мл</v>
      </c>
      <c r="F92" s="16">
        <f ca="1">IFERROR(__xludf.DUMMYFUNCTION("""COMPUTED_VALUE"""),421)</f>
        <v>421</v>
      </c>
      <c r="G92" s="17">
        <f ca="1">IFERROR(__xludf.DUMMYFUNCTION("""COMPUTED_VALUE"""),8.92)</f>
        <v>8.92</v>
      </c>
    </row>
    <row r="93" spans="1:7" ht="28.5" customHeight="1" x14ac:dyDescent="0.15">
      <c r="A93" s="14" t="str">
        <f ca="1">IFERROR(__xludf.DUMMYFUNCTION("""COMPUTED_VALUE"""),"CELIMAX")</f>
        <v>CELIMAX</v>
      </c>
      <c r="B93" s="14" t="str">
        <f ca="1">IFERROR(__xludf.DUMMYFUNCTION("""COMPUTED_VALUE"""),"Сыворотка")</f>
        <v>Сыворотка</v>
      </c>
      <c r="C93" s="14" t="str">
        <f ca="1">IFERROR(__xludf.DUMMYFUNCTION("""COMPUTED_VALUE"""),"СЫВОРОТКА ДЛЯ ЛИЦА - CELIMAX NONI AMPOULE CALMING RADIANCE")</f>
        <v>СЫВОРОТКА ДЛЯ ЛИЦА - CELIMAX NONI AMPOULE CALMING RADIANCE</v>
      </c>
      <c r="D93" s="15" t="str">
        <f ca="1">IFERROR(__xludf.DUMMYFUNCTION("""COMPUTED_VALUE"""),"8809875907795")</f>
        <v>8809875907795</v>
      </c>
      <c r="E93" s="16" t="str">
        <f ca="1">IFERROR(__xludf.DUMMYFUNCTION("""COMPUTED_VALUE"""),"30мл")</f>
        <v>30мл</v>
      </c>
      <c r="F93" s="16">
        <f ca="1">IFERROR(__xludf.DUMMYFUNCTION("""COMPUTED_VALUE"""),189)</f>
        <v>189</v>
      </c>
      <c r="G93" s="17">
        <f ca="1">IFERROR(__xludf.DUMMYFUNCTION("""COMPUTED_VALUE"""),8.71)</f>
        <v>8.7100000000000009</v>
      </c>
    </row>
    <row r="94" spans="1:7" ht="28.5" customHeight="1" x14ac:dyDescent="0.15">
      <c r="A94" s="14" t="str">
        <f ca="1">IFERROR(__xludf.DUMMYFUNCTION("""COMPUTED_VALUE"""),"CELIMAX")</f>
        <v>CELIMAX</v>
      </c>
      <c r="B94" s="14" t="str">
        <f ca="1">IFERROR(__xludf.DUMMYFUNCTION("""COMPUTED_VALUE"""),"Сыворотка")</f>
        <v>Сыворотка</v>
      </c>
      <c r="C94" s="14" t="str">
        <f ca="1">IFERROR(__xludf.DUMMYFUNCTION("""COMPUTED_VALUE"""),"СЫВОРОТКА ДЛЯ ЛИЦА - CELIMAX PORE+DARK SPOT BRIGHTENING SERUM")</f>
        <v>СЫВОРОТКА ДЛЯ ЛИЦА - CELIMAX PORE+DARK SPOT BRIGHTENING SERUM</v>
      </c>
      <c r="D94" s="15" t="str">
        <f ca="1">IFERROR(__xludf.DUMMYFUNCTION("""COMPUTED_VALUE"""),"8809875907412")</f>
        <v>8809875907412</v>
      </c>
      <c r="E94" s="16" t="str">
        <f ca="1">IFERROR(__xludf.DUMMYFUNCTION("""COMPUTED_VALUE"""),"30мл")</f>
        <v>30мл</v>
      </c>
      <c r="F94" s="16">
        <f ca="1">IFERROR(__xludf.DUMMYFUNCTION("""COMPUTED_VALUE"""),696)</f>
        <v>696</v>
      </c>
      <c r="G94" s="17">
        <f ca="1">IFERROR(__xludf.DUMMYFUNCTION("""COMPUTED_VALUE"""),9.14)</f>
        <v>9.14</v>
      </c>
    </row>
    <row r="95" spans="1:7" ht="28.5" customHeight="1" x14ac:dyDescent="0.15">
      <c r="A95" s="14" t="str">
        <f ca="1">IFERROR(__xludf.DUMMYFUNCTION("""COMPUTED_VALUE"""),"CELIMAX")</f>
        <v>CELIMAX</v>
      </c>
      <c r="B95" s="14" t="str">
        <f ca="1">IFERROR(__xludf.DUMMYFUNCTION("""COMPUTED_VALUE"""),"Сыворотка")</f>
        <v>Сыворотка</v>
      </c>
      <c r="C95" s="14" t="str">
        <f ca="1">IFERROR(__xludf.DUMMYFUNCTION("""COMPUTED_VALUE"""),"СЫВОРОТКА ДЛЯ ЛИЦА - CELIMAX THE REAL CICA NIACINAMIDE AC CALMING SERUM")</f>
        <v>СЫВОРОТКА ДЛЯ ЛИЦА - CELIMAX THE REAL CICA NIACINAMIDE AC CALMING SERUM</v>
      </c>
      <c r="D95" s="15" t="str">
        <f ca="1">IFERROR(__xludf.DUMMYFUNCTION("""COMPUTED_VALUE"""),"8809743544626")</f>
        <v>8809743544626</v>
      </c>
      <c r="E95" s="16" t="str">
        <f ca="1">IFERROR(__xludf.DUMMYFUNCTION("""COMPUTED_VALUE"""),"40мл")</f>
        <v>40мл</v>
      </c>
      <c r="F95" s="16">
        <f ca="1">IFERROR(__xludf.DUMMYFUNCTION("""COMPUTED_VALUE"""),145)</f>
        <v>145</v>
      </c>
      <c r="G95" s="17">
        <f ca="1">IFERROR(__xludf.DUMMYFUNCTION("""COMPUTED_VALUE"""),8.13)</f>
        <v>8.1300000000000008</v>
      </c>
    </row>
    <row r="96" spans="1:7" ht="28.5" customHeight="1" x14ac:dyDescent="0.15">
      <c r="A96" s="14" t="str">
        <f ca="1">IFERROR(__xludf.DUMMYFUNCTION("""COMPUTED_VALUE"""),"CELIMAX")</f>
        <v>CELIMAX</v>
      </c>
      <c r="B96" s="14" t="str">
        <f ca="1">IFERROR(__xludf.DUMMYFUNCTION("""COMPUTED_VALUE"""),"Сыворотка")</f>
        <v>Сыворотка</v>
      </c>
      <c r="C96" s="14" t="str">
        <f ca="1">IFERROR(__xludf.DUMMYFUNCTION("""COMPUTED_VALUE"""),"СЫВОРОТКА ДЛЯ ЛИЦА - CELIMAX THE VITA-A RETINOL SHOT TIGHTENING SERUM")</f>
        <v>СЫВОРОТКА ДЛЯ ЛИЦА - CELIMAX THE VITA-A RETINOL SHOT TIGHTENING SERUM</v>
      </c>
      <c r="D96" s="15" t="str">
        <f ca="1">IFERROR(__xludf.DUMMYFUNCTION("""COMPUTED_VALUE"""),"8809700320805")</f>
        <v>8809700320805</v>
      </c>
      <c r="E96" s="16" t="str">
        <f ca="1">IFERROR(__xludf.DUMMYFUNCTION("""COMPUTED_VALUE"""),"30мл")</f>
        <v>30мл</v>
      </c>
      <c r="F96" s="16">
        <f ca="1">IFERROR(__xludf.DUMMYFUNCTION("""COMPUTED_VALUE"""),1307)</f>
        <v>1307</v>
      </c>
      <c r="G96" s="17">
        <f ca="1">IFERROR(__xludf.DUMMYFUNCTION("""COMPUTED_VALUE"""),7.98)</f>
        <v>7.98</v>
      </c>
    </row>
    <row r="97" spans="1:7" ht="28.5" customHeight="1" x14ac:dyDescent="0.15">
      <c r="A97" s="14" t="str">
        <f ca="1">IFERROR(__xludf.DUMMYFUNCTION("""COMPUTED_VALUE"""),"CELIMAX")</f>
        <v>CELIMAX</v>
      </c>
      <c r="B97" s="14" t="str">
        <f ca="1">IFERROR(__xludf.DUMMYFUNCTION("""COMPUTED_VALUE"""),"Тонер")</f>
        <v>Тонер</v>
      </c>
      <c r="C97" s="14" t="str">
        <f ca="1">IFERROR(__xludf.DUMMYFUNCTION("""COMPUTED_VALUE"""),"ТОНЕР ДЛЯ ЛИЦА - CELIMAX DUAL BARRIER CREAMY TONER")</f>
        <v>ТОНЕР ДЛЯ ЛИЦА - CELIMAX DUAL BARRIER CREAMY TONER</v>
      </c>
      <c r="D97" s="15" t="str">
        <f ca="1">IFERROR(__xludf.DUMMYFUNCTION("""COMPUTED_VALUE"""),"8809606850475")</f>
        <v>8809606850475</v>
      </c>
      <c r="E97" s="16" t="str">
        <f ca="1">IFERROR(__xludf.DUMMYFUNCTION("""COMPUTED_VALUE"""),"150мл")</f>
        <v>150мл</v>
      </c>
      <c r="F97" s="16">
        <f ca="1">IFERROR(__xludf.DUMMYFUNCTION("""COMPUTED_VALUE"""),817)</f>
        <v>817</v>
      </c>
      <c r="G97" s="17">
        <f ca="1">IFERROR(__xludf.DUMMYFUNCTION("""COMPUTED_VALUE"""),8.94)</f>
        <v>8.94</v>
      </c>
    </row>
    <row r="98" spans="1:7" ht="28.5" customHeight="1" x14ac:dyDescent="0.15">
      <c r="A98" s="14" t="str">
        <f ca="1">IFERROR(__xludf.DUMMYFUNCTION("""COMPUTED_VALUE"""),"CELIMAX")</f>
        <v>CELIMAX</v>
      </c>
      <c r="B98" s="14" t="str">
        <f ca="1">IFERROR(__xludf.DUMMYFUNCTION("""COMPUTED_VALUE"""),"Тонер")</f>
        <v>Тонер</v>
      </c>
      <c r="C98" s="14" t="str">
        <f ca="1">IFERROR(__xludf.DUMMYFUNCTION("""COMPUTED_VALUE"""),"ТОНЕР ДЛЯ ЛИЦА - CELIMAX THE REAL NONI MOISTURE BALANCING TONER")</f>
        <v>ТОНЕР ДЛЯ ЛИЦА - CELIMAX THE REAL NONI MOISTURE BALANCING TONER</v>
      </c>
      <c r="D98" s="15" t="str">
        <f ca="1">IFERROR(__xludf.DUMMYFUNCTION("""COMPUTED_VALUE"""),"8809954940132")</f>
        <v>8809954940132</v>
      </c>
      <c r="E98" s="16" t="str">
        <f ca="1">IFERROR(__xludf.DUMMYFUNCTION("""COMPUTED_VALUE"""),"150мл")</f>
        <v>150мл</v>
      </c>
      <c r="F98" s="16">
        <f ca="1">IFERROR(__xludf.DUMMYFUNCTION("""COMPUTED_VALUE"""),138)</f>
        <v>138</v>
      </c>
      <c r="G98" s="17">
        <f ca="1">IFERROR(__xludf.DUMMYFUNCTION("""COMPUTED_VALUE"""),8.9)</f>
        <v>8.9</v>
      </c>
    </row>
    <row r="99" spans="1:7" ht="28.5" customHeight="1" x14ac:dyDescent="0.15">
      <c r="A99" s="14" t="str">
        <f ca="1">IFERROR(__xludf.DUMMYFUNCTION("""COMPUTED_VALUE"""),"CENTELLIAN24")</f>
        <v>CENTELLIAN24</v>
      </c>
      <c r="B99" s="14" t="str">
        <f ca="1">IFERROR(__xludf.DUMMYFUNCTION("""COMPUTED_VALUE"""),"Крем")</f>
        <v>Крем</v>
      </c>
      <c r="C99" s="14" t="str">
        <f ca="1">IFERROR(__xludf.DUMMYFUNCTION("""COMPUTED_VALUE"""),"КРЕМ ДЛЯ ЛИЦА - CENTELLIAN24 ACTIVE RENEW PDRN CREAM")</f>
        <v>КРЕМ ДЛЯ ЛИЦА - CENTELLIAN24 ACTIVE RENEW PDRN CREAM</v>
      </c>
      <c r="D99" s="15" t="str">
        <f ca="1">IFERROR(__xludf.DUMMYFUNCTION("""COMPUTED_VALUE"""),"8806109106733")</f>
        <v>8806109106733</v>
      </c>
      <c r="E99" s="16" t="str">
        <f ca="1">IFERROR(__xludf.DUMMYFUNCTION("""COMPUTED_VALUE"""),"50мл")</f>
        <v>50мл</v>
      </c>
      <c r="F99" s="16">
        <f ca="1">IFERROR(__xludf.DUMMYFUNCTION("""COMPUTED_VALUE"""),23)</f>
        <v>23</v>
      </c>
      <c r="G99" s="17">
        <f ca="1">IFERROR(__xludf.DUMMYFUNCTION("""COMPUTED_VALUE"""),9.14)</f>
        <v>9.14</v>
      </c>
    </row>
    <row r="100" spans="1:7" ht="28.5" customHeight="1" x14ac:dyDescent="0.15">
      <c r="A100" s="14" t="str">
        <f ca="1">IFERROR(__xludf.DUMMYFUNCTION("""COMPUTED_VALUE"""),"CENTELLIAN24")</f>
        <v>CENTELLIAN24</v>
      </c>
      <c r="B100" s="14" t="str">
        <f ca="1">IFERROR(__xludf.DUMMYFUNCTION("""COMPUTED_VALUE"""),"Крем")</f>
        <v>Крем</v>
      </c>
      <c r="C100" s="14" t="str">
        <f ca="1">IFERROR(__xludf.DUMMYFUNCTION("""COMPUTED_VALUE"""),"КРЕМ ДЛЯ ЛИЦА - CENTELLIAN24 MADECA CREAM TIGHT LIFTING")</f>
        <v>КРЕМ ДЛЯ ЛИЦА - CENTELLIAN24 MADECA CREAM TIGHT LIFTING</v>
      </c>
      <c r="D100" s="15" t="str">
        <f ca="1">IFERROR(__xludf.DUMMYFUNCTION("""COMPUTED_VALUE"""),"8806109105071")</f>
        <v>8806109105071</v>
      </c>
      <c r="E100" s="16" t="str">
        <f ca="1">IFERROR(__xludf.DUMMYFUNCTION("""COMPUTED_VALUE"""),"50мл")</f>
        <v>50мл</v>
      </c>
      <c r="F100" s="16">
        <f ca="1">IFERROR(__xludf.DUMMYFUNCTION("""COMPUTED_VALUE"""),9)</f>
        <v>9</v>
      </c>
      <c r="G100" s="17">
        <f ca="1">IFERROR(__xludf.DUMMYFUNCTION("""COMPUTED_VALUE"""),9.14)</f>
        <v>9.14</v>
      </c>
    </row>
    <row r="101" spans="1:7" ht="28.5" customHeight="1" x14ac:dyDescent="0.15">
      <c r="A101" s="14" t="str">
        <f ca="1">IFERROR(__xludf.DUMMYFUNCTION("""COMPUTED_VALUE"""),"CENTELLIAN24")</f>
        <v>CENTELLIAN24</v>
      </c>
      <c r="B101" s="14" t="str">
        <f ca="1">IFERROR(__xludf.DUMMYFUNCTION("""COMPUTED_VALUE"""),"Патчи")</f>
        <v>Патчи</v>
      </c>
      <c r="C101" s="14" t="str">
        <f ca="1">IFERROR(__xludf.DUMMYFUNCTION("""COMPUTED_VALUE"""),"ПАТЧИ КОСМЕТИЧЕСКИЕ - CENTELLIAN24 360º SHOT PDRN GLOWING EYE PATCH")</f>
        <v>ПАТЧИ КОСМЕТИЧЕСКИЕ - CENTELLIAN24 360º SHOT PDRN GLOWING EYE PATCH</v>
      </c>
      <c r="D101" s="15" t="str">
        <f ca="1">IFERROR(__xludf.DUMMYFUNCTION("""COMPUTED_VALUE"""),"8806109107594")</f>
        <v>8806109107594</v>
      </c>
      <c r="E101" s="16" t="str">
        <f ca="1">IFERROR(__xludf.DUMMYFUNCTION("""COMPUTED_VALUE"""),"1уп (6 пар)")</f>
        <v>1уп (6 пар)</v>
      </c>
      <c r="F101" s="16">
        <f ca="1">IFERROR(__xludf.DUMMYFUNCTION("""COMPUTED_VALUE"""),45)</f>
        <v>45</v>
      </c>
      <c r="G101" s="17">
        <f ca="1">IFERROR(__xludf.DUMMYFUNCTION("""COMPUTED_VALUE"""),9.55)</f>
        <v>9.5500000000000007</v>
      </c>
    </row>
    <row r="102" spans="1:7" ht="28.5" customHeight="1" x14ac:dyDescent="0.15">
      <c r="A102" s="14" t="str">
        <f ca="1">IFERROR(__xludf.DUMMYFUNCTION("""COMPUTED_VALUE"""),"CENTELLIAN24")</f>
        <v>CENTELLIAN24</v>
      </c>
      <c r="B102" s="14" t="str">
        <f ca="1">IFERROR(__xludf.DUMMYFUNCTION("""COMPUTED_VALUE"""),"Сыворотка")</f>
        <v>Сыворотка</v>
      </c>
      <c r="C102" s="14" t="str">
        <f ca="1">IFERROR(__xludf.DUMMYFUNCTION("""COMPUTED_VALUE"""),"СЫВОРОТКА ДЛЯ ЛИЦА - CENTELLIAN24 360º SHOT PDRN ACTIVE SERUM")</f>
        <v>СЫВОРОТКА ДЛЯ ЛИЦА - CENTELLIAN24 360º SHOT PDRN ACTIVE SERUM</v>
      </c>
      <c r="D102" s="15" t="str">
        <f ca="1">IFERROR(__xludf.DUMMYFUNCTION("""COMPUTED_VALUE"""),"8806109101158")</f>
        <v>8806109101158</v>
      </c>
      <c r="E102" s="16" t="str">
        <f ca="1">IFERROR(__xludf.DUMMYFUNCTION("""COMPUTED_VALUE"""),"50мл")</f>
        <v>50мл</v>
      </c>
      <c r="F102" s="16">
        <f ca="1">IFERROR(__xludf.DUMMYFUNCTION("""COMPUTED_VALUE"""),66)</f>
        <v>66</v>
      </c>
      <c r="G102" s="17">
        <f ca="1">IFERROR(__xludf.DUMMYFUNCTION("""COMPUTED_VALUE"""),13.82)</f>
        <v>13.82</v>
      </c>
    </row>
    <row r="103" spans="1:7" ht="28.5" customHeight="1" x14ac:dyDescent="0.15">
      <c r="A103" s="14" t="str">
        <f ca="1">IFERROR(__xludf.DUMMYFUNCTION("""COMPUTED_VALUE"""),"DR.ALTHEA")</f>
        <v>DR.ALTHEA</v>
      </c>
      <c r="B103" s="14" t="str">
        <f ca="1">IFERROR(__xludf.DUMMYFUNCTION("""COMPUTED_VALUE"""),"Новый SKU")</f>
        <v>Новый SKU</v>
      </c>
      <c r="C103" s="14" t="str">
        <f ca="1">IFERROR(__xludf.DUMMYFUNCTION("""COMPUTED_VALUE"""),"КОСМЕТИЧЕСКОЕ СРЕДСТВО - DR.ALTHEA 15% CALAMINE SPOT POWDER")</f>
        <v>КОСМЕТИЧЕСКОЕ СРЕДСТВО - DR.ALTHEA 15% CALAMINE SPOT POWDER</v>
      </c>
      <c r="D103" s="15" t="str">
        <f ca="1">IFERROR(__xludf.DUMMYFUNCTION("""COMPUTED_VALUE"""),"8809447255033")</f>
        <v>8809447255033</v>
      </c>
      <c r="E103" s="16" t="str">
        <f ca="1">IFERROR(__xludf.DUMMYFUNCTION("""COMPUTED_VALUE"""),"15мл")</f>
        <v>15мл</v>
      </c>
      <c r="F103" s="16">
        <f ca="1">IFERROR(__xludf.DUMMYFUNCTION("""COMPUTED_VALUE"""),282)</f>
        <v>282</v>
      </c>
      <c r="G103" s="17">
        <f ca="1">IFERROR(__xludf.DUMMYFUNCTION("""COMPUTED_VALUE"""),5.09)</f>
        <v>5.09</v>
      </c>
    </row>
    <row r="104" spans="1:7" ht="28.5" customHeight="1" x14ac:dyDescent="0.15">
      <c r="A104" s="14" t="str">
        <f ca="1">IFERROR(__xludf.DUMMYFUNCTION("""COMPUTED_VALUE"""),"DR.ALTHEA")</f>
        <v>DR.ALTHEA</v>
      </c>
      <c r="B104" s="14" t="str">
        <f ca="1">IFERROR(__xludf.DUMMYFUNCTION("""COMPUTED_VALUE"""),"Новый SKU")</f>
        <v>Новый SKU</v>
      </c>
      <c r="C104" s="14" t="str">
        <f ca="1">IFERROR(__xludf.DUMMYFUNCTION("""COMPUTED_VALUE"""),"КОСМЕТИЧЕСКОЕ СРЕДСТВО - DR.ALTHEA 345 RELIEF SPOT POWDER")</f>
        <v>КОСМЕТИЧЕСКОЕ СРЕДСТВО - DR.ALTHEA 345 RELIEF SPOT POWDER</v>
      </c>
      <c r="D104" s="15" t="str">
        <f ca="1">IFERROR(__xludf.DUMMYFUNCTION("""COMPUTED_VALUE"""),"8809447257495")</f>
        <v>8809447257495</v>
      </c>
      <c r="E104" s="16" t="str">
        <f ca="1">IFERROR(__xludf.DUMMYFUNCTION("""COMPUTED_VALUE"""),"15мл")</f>
        <v>15мл</v>
      </c>
      <c r="F104" s="16">
        <f ca="1">IFERROR(__xludf.DUMMYFUNCTION("""COMPUTED_VALUE"""),257)</f>
        <v>257</v>
      </c>
      <c r="G104" s="17">
        <f ca="1">IFERROR(__xludf.DUMMYFUNCTION("""COMPUTED_VALUE"""),5.49)</f>
        <v>5.49</v>
      </c>
    </row>
    <row r="105" spans="1:7" ht="28.5" customHeight="1" x14ac:dyDescent="0.15">
      <c r="A105" s="14" t="str">
        <f ca="1">IFERROR(__xludf.DUMMYFUNCTION("""COMPUTED_VALUE"""),"DR.ALTHEA")</f>
        <v>DR.ALTHEA</v>
      </c>
      <c r="B105" s="14" t="str">
        <f ca="1">IFERROR(__xludf.DUMMYFUNCTION("""COMPUTED_VALUE"""),"Крем для век")</f>
        <v>Крем для век</v>
      </c>
      <c r="C105" s="14" t="str">
        <f ca="1">IFERROR(__xludf.DUMMYFUNCTION("""COMPUTED_VALUE"""),"КРЕМ ДЛЯ ГЛАЗ - DR.ALTHEA RETINOL FLAT IRON EYE ROLLER")</f>
        <v>КРЕМ ДЛЯ ГЛАЗ - DR.ALTHEA RETINOL FLAT IRON EYE ROLLER</v>
      </c>
      <c r="D105" s="15" t="str">
        <f ca="1">IFERROR(__xludf.DUMMYFUNCTION("""COMPUTED_VALUE"""),"8809447256658")</f>
        <v>8809447256658</v>
      </c>
      <c r="E105" s="16" t="str">
        <f ca="1">IFERROR(__xludf.DUMMYFUNCTION("""COMPUTED_VALUE"""),"25мл")</f>
        <v>25мл</v>
      </c>
      <c r="F105" s="16">
        <f ca="1">IFERROR(__xludf.DUMMYFUNCTION("""COMPUTED_VALUE"""),147)</f>
        <v>147</v>
      </c>
      <c r="G105" s="17">
        <f ca="1">IFERROR(__xludf.DUMMYFUNCTION("""COMPUTED_VALUE"""),8.94)</f>
        <v>8.94</v>
      </c>
    </row>
    <row r="106" spans="1:7" ht="28.5" customHeight="1" x14ac:dyDescent="0.15">
      <c r="A106" s="14" t="str">
        <f ca="1">IFERROR(__xludf.DUMMYFUNCTION("""COMPUTED_VALUE"""),"DR.ALTHEA")</f>
        <v>DR.ALTHEA</v>
      </c>
      <c r="B106" s="14" t="str">
        <f ca="1">IFERROR(__xludf.DUMMYFUNCTION("""COMPUTED_VALUE"""),"Крем")</f>
        <v>Крем</v>
      </c>
      <c r="C106" s="14" t="str">
        <f ca="1">IFERROR(__xludf.DUMMYFUNCTION("""COMPUTED_VALUE"""),"КРЕМ ДЛЯ ЛИЦА - DR.ALTHEA 147 BARRIER CREAM")</f>
        <v>КРЕМ ДЛЯ ЛИЦА - DR.ALTHEA 147 BARRIER CREAM</v>
      </c>
      <c r="D106" s="15" t="str">
        <f ca="1">IFERROR(__xludf.DUMMYFUNCTION("""COMPUTED_VALUE"""),"8809447256795")</f>
        <v>8809447256795</v>
      </c>
      <c r="E106" s="16" t="str">
        <f ca="1">IFERROR(__xludf.DUMMYFUNCTION("""COMPUTED_VALUE"""),"50мл")</f>
        <v>50мл</v>
      </c>
      <c r="F106" s="16">
        <f ca="1">IFERROR(__xludf.DUMMYFUNCTION("""COMPUTED_VALUE"""),245)</f>
        <v>245</v>
      </c>
      <c r="G106" s="17">
        <f ca="1">IFERROR(__xludf.DUMMYFUNCTION("""COMPUTED_VALUE"""),11.13)</f>
        <v>11.13</v>
      </c>
    </row>
    <row r="107" spans="1:7" ht="28.5" customHeight="1" x14ac:dyDescent="0.15">
      <c r="A107" s="14" t="str">
        <f ca="1">IFERROR(__xludf.DUMMYFUNCTION("""COMPUTED_VALUE"""),"DR.ALTHEA")</f>
        <v>DR.ALTHEA</v>
      </c>
      <c r="B107" s="14" t="str">
        <f ca="1">IFERROR(__xludf.DUMMYFUNCTION("""COMPUTED_VALUE"""),"Крем")</f>
        <v>Крем</v>
      </c>
      <c r="C107" s="14" t="str">
        <f ca="1">IFERROR(__xludf.DUMMYFUNCTION("""COMPUTED_VALUE"""),"КРЕМ ДЛЯ ЛИЦА - DR.ALTHEA 345 RELIEF CREAM")</f>
        <v>КРЕМ ДЛЯ ЛИЦА - DR.ALTHEA 345 RELIEF CREAM</v>
      </c>
      <c r="D107" s="15" t="str">
        <f ca="1">IFERROR(__xludf.DUMMYFUNCTION("""COMPUTED_VALUE"""),"8809447256221")</f>
        <v>8809447256221</v>
      </c>
      <c r="E107" s="16" t="str">
        <f ca="1">IFERROR(__xludf.DUMMYFUNCTION("""COMPUTED_VALUE"""),"50мл")</f>
        <v>50мл</v>
      </c>
      <c r="F107" s="16">
        <f ca="1">IFERROR(__xludf.DUMMYFUNCTION("""COMPUTED_VALUE"""),790)</f>
        <v>790</v>
      </c>
      <c r="G107" s="17">
        <f ca="1">IFERROR(__xludf.DUMMYFUNCTION("""COMPUTED_VALUE"""),10.38)</f>
        <v>10.38</v>
      </c>
    </row>
    <row r="108" spans="1:7" ht="28.5" customHeight="1" x14ac:dyDescent="0.15">
      <c r="A108" s="14" t="str">
        <f ca="1">IFERROR(__xludf.DUMMYFUNCTION("""COMPUTED_VALUE"""),"DR.ALTHEA")</f>
        <v>DR.ALTHEA</v>
      </c>
      <c r="B108" s="14" t="str">
        <f ca="1">IFERROR(__xludf.DUMMYFUNCTION("""COMPUTED_VALUE"""),"Крем")</f>
        <v>Крем</v>
      </c>
      <c r="C108" s="14" t="str">
        <f ca="1">IFERROR(__xludf.DUMMYFUNCTION("""COMPUTED_VALUE"""),"КРЕМ ДЛЯ ЛИЦА - DR.ALTHEA AQUA MARINE WATERY CREAM")</f>
        <v>КРЕМ ДЛЯ ЛИЦА - DR.ALTHEA AQUA MARINE WATERY CREAM</v>
      </c>
      <c r="D108" s="15" t="str">
        <f ca="1">IFERROR(__xludf.DUMMYFUNCTION("""COMPUTED_VALUE"""),"8809447256085")</f>
        <v>8809447256085</v>
      </c>
      <c r="E108" s="16" t="str">
        <f ca="1">IFERROR(__xludf.DUMMYFUNCTION("""COMPUTED_VALUE"""),"50мл")</f>
        <v>50мл</v>
      </c>
      <c r="F108" s="16">
        <f ca="1">IFERROR(__xludf.DUMMYFUNCTION("""COMPUTED_VALUE"""),368)</f>
        <v>368</v>
      </c>
      <c r="G108" s="17">
        <f ca="1">IFERROR(__xludf.DUMMYFUNCTION("""COMPUTED_VALUE"""),7.11)</f>
        <v>7.11</v>
      </c>
    </row>
    <row r="109" spans="1:7" ht="28.5" customHeight="1" x14ac:dyDescent="0.15">
      <c r="A109" s="14" t="str">
        <f ca="1">IFERROR(__xludf.DUMMYFUNCTION("""COMPUTED_VALUE"""),"DR.ALTHEA")</f>
        <v>DR.ALTHEA</v>
      </c>
      <c r="B109" s="14" t="str">
        <f ca="1">IFERROR(__xludf.DUMMYFUNCTION("""COMPUTED_VALUE"""),"Крем")</f>
        <v>Крем</v>
      </c>
      <c r="C109" s="14" t="str">
        <f ca="1">IFERROR(__xludf.DUMMYFUNCTION("""COMPUTED_VALUE"""),"КРЕМ ДЛЯ ЛИЦА - DR.ALTHEA MELACLEAR CREAM")</f>
        <v>КРЕМ ДЛЯ ЛИЦА - DR.ALTHEA MELACLEAR CREAM</v>
      </c>
      <c r="D109" s="15" t="str">
        <f ca="1">IFERROR(__xludf.DUMMYFUNCTION("""COMPUTED_VALUE"""),"8809447256702")</f>
        <v>8809447256702</v>
      </c>
      <c r="E109" s="16" t="str">
        <f ca="1">IFERROR(__xludf.DUMMYFUNCTION("""COMPUTED_VALUE"""),"20г")</f>
        <v>20г</v>
      </c>
      <c r="F109" s="16">
        <f ca="1">IFERROR(__xludf.DUMMYFUNCTION("""COMPUTED_VALUE"""),270)</f>
        <v>270</v>
      </c>
      <c r="G109" s="17">
        <f ca="1">IFERROR(__xludf.DUMMYFUNCTION("""COMPUTED_VALUE"""),9.35)</f>
        <v>9.35</v>
      </c>
    </row>
    <row r="110" spans="1:7" ht="28.5" customHeight="1" x14ac:dyDescent="0.15">
      <c r="A110" s="14" t="str">
        <f ca="1">IFERROR(__xludf.DUMMYFUNCTION("""COMPUTED_VALUE"""),"DR.ALTHEA")</f>
        <v>DR.ALTHEA</v>
      </c>
      <c r="B110" s="14" t="str">
        <f ca="1">IFERROR(__xludf.DUMMYFUNCTION("""COMPUTED_VALUE"""),"Крем")</f>
        <v>Крем</v>
      </c>
      <c r="C110" s="14" t="str">
        <f ca="1">IFERROR(__xludf.DUMMYFUNCTION("""COMPUTED_VALUE"""),"КРЕМ ДЛЯ ЛИЦА - DR.ALTHEA NIATHIONE CREAM")</f>
        <v>КРЕМ ДЛЯ ЛИЦА - DR.ALTHEA NIATHIONE CREAM</v>
      </c>
      <c r="D110" s="15" t="str">
        <f ca="1">IFERROR(__xludf.DUMMYFUNCTION("""COMPUTED_VALUE"""),"8809447255040")</f>
        <v>8809447255040</v>
      </c>
      <c r="E110" s="16" t="str">
        <f ca="1">IFERROR(__xludf.DUMMYFUNCTION("""COMPUTED_VALUE"""),"30мл")</f>
        <v>30мл</v>
      </c>
      <c r="F110" s="16">
        <f ca="1">IFERROR(__xludf.DUMMYFUNCTION("""COMPUTED_VALUE"""),32)</f>
        <v>32</v>
      </c>
      <c r="G110" s="17">
        <f ca="1">IFERROR(__xludf.DUMMYFUNCTION("""COMPUTED_VALUE"""),10.16)</f>
        <v>10.16</v>
      </c>
    </row>
    <row r="111" spans="1:7" ht="28.5" customHeight="1" x14ac:dyDescent="0.15">
      <c r="A111" s="14" t="str">
        <f ca="1">IFERROR(__xludf.DUMMYFUNCTION("""COMPUTED_VALUE"""),"DR.ALTHEA")</f>
        <v>DR.ALTHEA</v>
      </c>
      <c r="B111" s="14" t="str">
        <f ca="1">IFERROR(__xludf.DUMMYFUNCTION("""COMPUTED_VALUE"""),"Крем")</f>
        <v>Крем</v>
      </c>
      <c r="C111" s="14" t="str">
        <f ca="1">IFERROR(__xludf.DUMMYFUNCTION("""COMPUTED_VALUE"""),"КРЕМ ДЛЯ ЛИЦА - DR.ALTHEA PDRN REJU 10000 CREAM")</f>
        <v>КРЕМ ДЛЯ ЛИЦА - DR.ALTHEA PDRN REJU 10000 CREAM</v>
      </c>
      <c r="D111" s="15" t="str">
        <f ca="1">IFERROR(__xludf.DUMMYFUNCTION("""COMPUTED_VALUE"""),"8809447257389")</f>
        <v>8809447257389</v>
      </c>
      <c r="E111" s="16" t="str">
        <f ca="1">IFERROR(__xludf.DUMMYFUNCTION("""COMPUTED_VALUE"""),"20г")</f>
        <v>20г</v>
      </c>
      <c r="F111" s="16">
        <f ca="1">IFERROR(__xludf.DUMMYFUNCTION("""COMPUTED_VALUE"""),230)</f>
        <v>230</v>
      </c>
      <c r="G111" s="17">
        <f ca="1">IFERROR(__xludf.DUMMYFUNCTION("""COMPUTED_VALUE"""),11.18)</f>
        <v>11.18</v>
      </c>
    </row>
    <row r="112" spans="1:7" ht="28.5" customHeight="1" x14ac:dyDescent="0.15">
      <c r="A112" s="14" t="str">
        <f ca="1">IFERROR(__xludf.DUMMYFUNCTION("""COMPUTED_VALUE"""),"DR.ALTHEA")</f>
        <v>DR.ALTHEA</v>
      </c>
      <c r="B112" s="14" t="str">
        <f ca="1">IFERROR(__xludf.DUMMYFUNCTION("""COMPUTED_VALUE"""),"Крем")</f>
        <v>Крем</v>
      </c>
      <c r="C112" s="14" t="str">
        <f ca="1">IFERROR(__xludf.DUMMYFUNCTION("""COMPUTED_VALUE"""),"КРЕМ ДЛЯ ЛИЦА - DR.ALTHEA PDRN REJU 2000 CREAM")</f>
        <v>КРЕМ ДЛЯ ЛИЦА - DR.ALTHEA PDRN REJU 2000 CREAM</v>
      </c>
      <c r="D112" s="15" t="str">
        <f ca="1">IFERROR(__xludf.DUMMYFUNCTION("""COMPUTED_VALUE"""),"8809447257129")</f>
        <v>8809447257129</v>
      </c>
      <c r="E112" s="16" t="str">
        <f ca="1">IFERROR(__xludf.DUMMYFUNCTION("""COMPUTED_VALUE"""),"20г")</f>
        <v>20г</v>
      </c>
      <c r="F112" s="16">
        <f ca="1">IFERROR(__xludf.DUMMYFUNCTION("""COMPUTED_VALUE"""),741)</f>
        <v>741</v>
      </c>
      <c r="G112" s="17">
        <f ca="1">IFERROR(__xludf.DUMMYFUNCTION("""COMPUTED_VALUE"""),8.13)</f>
        <v>8.1300000000000008</v>
      </c>
    </row>
    <row r="113" spans="1:7" ht="28.5" customHeight="1" x14ac:dyDescent="0.15">
      <c r="A113" s="14" t="str">
        <f ca="1">IFERROR(__xludf.DUMMYFUNCTION("""COMPUTED_VALUE"""),"DR.ALTHEA")</f>
        <v>DR.ALTHEA</v>
      </c>
      <c r="B113" s="14" t="str">
        <f ca="1">IFERROR(__xludf.DUMMYFUNCTION("""COMPUTED_VALUE"""),"Крем")</f>
        <v>Крем</v>
      </c>
      <c r="C113" s="14" t="str">
        <f ca="1">IFERROR(__xludf.DUMMYFUNCTION("""COMPUTED_VALUE"""),"КРЕМ ДЛЯ ЛИЦА - DR.ALTHEA PURE RETINOL 0.15% CREAM")</f>
        <v>КРЕМ ДЛЯ ЛИЦА - DR.ALTHEA PURE RETINOL 0.15% CREAM</v>
      </c>
      <c r="D113" s="15" t="str">
        <f ca="1">IFERROR(__xludf.DUMMYFUNCTION("""COMPUTED_VALUE"""),"8809447257068")</f>
        <v>8809447257068</v>
      </c>
      <c r="E113" s="16" t="str">
        <f ca="1">IFERROR(__xludf.DUMMYFUNCTION("""COMPUTED_VALUE"""),"20г")</f>
        <v>20г</v>
      </c>
      <c r="F113" s="16">
        <f ca="1">IFERROR(__xludf.DUMMYFUNCTION("""COMPUTED_VALUE"""),38)</f>
        <v>38</v>
      </c>
      <c r="G113" s="17">
        <f ca="1">IFERROR(__xludf.DUMMYFUNCTION("""COMPUTED_VALUE"""),10.16)</f>
        <v>10.16</v>
      </c>
    </row>
    <row r="114" spans="1:7" ht="28.5" customHeight="1" x14ac:dyDescent="0.15">
      <c r="A114" s="14" t="str">
        <f ca="1">IFERROR(__xludf.DUMMYFUNCTION("""COMPUTED_VALUE"""),"DR.ALTHEA")</f>
        <v>DR.ALTHEA</v>
      </c>
      <c r="B114" s="14" t="str">
        <f ca="1">IFERROR(__xludf.DUMMYFUNCTION("""COMPUTED_VALUE"""),"Крем")</f>
        <v>Крем</v>
      </c>
      <c r="C114" s="14" t="str">
        <f ca="1">IFERROR(__xludf.DUMMYFUNCTION("""COMPUTED_VALUE"""),"КРЕМ ДЛЯ ЛИЦА - DR.ALTHEA RAPID FIRM SCULPTING CREAM")</f>
        <v>КРЕМ ДЛЯ ЛИЦА - DR.ALTHEA RAPID FIRM SCULPTING CREAM</v>
      </c>
      <c r="D114" s="15" t="str">
        <f ca="1">IFERROR(__xludf.DUMMYFUNCTION("""COMPUTED_VALUE"""),"8809447251745")</f>
        <v>8809447251745</v>
      </c>
      <c r="E114" s="16" t="str">
        <f ca="1">IFERROR(__xludf.DUMMYFUNCTION("""COMPUTED_VALUE"""),"45мл")</f>
        <v>45мл</v>
      </c>
      <c r="F114" s="16">
        <f ca="1">IFERROR(__xludf.DUMMYFUNCTION("""COMPUTED_VALUE"""),40)</f>
        <v>40</v>
      </c>
      <c r="G114" s="17">
        <f ca="1">IFERROR(__xludf.DUMMYFUNCTION("""COMPUTED_VALUE"""),13)</f>
        <v>13</v>
      </c>
    </row>
    <row r="115" spans="1:7" ht="28.5" customHeight="1" x14ac:dyDescent="0.15">
      <c r="A115" s="14" t="str">
        <f ca="1">IFERROR(__xludf.DUMMYFUNCTION("""COMPUTED_VALUE"""),"DR.ALTHEA")</f>
        <v>DR.ALTHEA</v>
      </c>
      <c r="B115" s="14" t="str">
        <f ca="1">IFERROR(__xludf.DUMMYFUNCTION("""COMPUTED_VALUE"""),"Крем")</f>
        <v>Крем</v>
      </c>
      <c r="C115" s="14" t="str">
        <f ca="1">IFERROR(__xludf.DUMMYFUNCTION("""COMPUTED_VALUE"""),"КРЕМ ДЛЯ ЛИЦА - DR.ALTHEA REJU 5000 CREAM")</f>
        <v>КРЕМ ДЛЯ ЛИЦА - DR.ALTHEA REJU 5000 CREAM</v>
      </c>
      <c r="D115" s="15" t="str">
        <f ca="1">IFERROR(__xludf.DUMMYFUNCTION("""COMPUTED_VALUE"""),"8809447256412")</f>
        <v>8809447256412</v>
      </c>
      <c r="E115" s="16" t="str">
        <f ca="1">IFERROR(__xludf.DUMMYFUNCTION("""COMPUTED_VALUE"""),"20г")</f>
        <v>20г</v>
      </c>
      <c r="F115" s="16">
        <f ca="1">IFERROR(__xludf.DUMMYFUNCTION("""COMPUTED_VALUE"""),793)</f>
        <v>793</v>
      </c>
      <c r="G115" s="17">
        <f ca="1">IFERROR(__xludf.DUMMYFUNCTION("""COMPUTED_VALUE"""),8.9)</f>
        <v>8.9</v>
      </c>
    </row>
    <row r="116" spans="1:7" ht="28.5" customHeight="1" x14ac:dyDescent="0.15">
      <c r="A116" s="14" t="str">
        <f ca="1">IFERROR(__xludf.DUMMYFUNCTION("""COMPUTED_VALUE"""),"DR.ALTHEA")</f>
        <v>DR.ALTHEA</v>
      </c>
      <c r="B116" s="14" t="str">
        <f ca="1">IFERROR(__xludf.DUMMYFUNCTION("""COMPUTED_VALUE"""),"Маска")</f>
        <v>Маска</v>
      </c>
      <c r="C116" s="14" t="str">
        <f ca="1">IFERROR(__xludf.DUMMYFUNCTION("""COMPUTED_VALUE"""),"МАСКА ДЛЯ ЛИЦА - DR.ALTHEA 345 RELIEF CREAM MASK")</f>
        <v>МАСКА ДЛЯ ЛИЦА - DR.ALTHEA 345 RELIEF CREAM MASK</v>
      </c>
      <c r="D116" s="15" t="str">
        <f ca="1">IFERROR(__xludf.DUMMYFUNCTION("""COMPUTED_VALUE"""),"8809447256290")</f>
        <v>8809447256290</v>
      </c>
      <c r="E116" s="16" t="str">
        <f ca="1">IFERROR(__xludf.DUMMYFUNCTION("""COMPUTED_VALUE"""),"25г × 4шт")</f>
        <v>25г × 4шт</v>
      </c>
      <c r="F116" s="16">
        <f ca="1">IFERROR(__xludf.DUMMYFUNCTION("""COMPUTED_VALUE"""),592)</f>
        <v>592</v>
      </c>
      <c r="G116" s="17">
        <f ca="1">IFERROR(__xludf.DUMMYFUNCTION("""COMPUTED_VALUE"""),7.11)</f>
        <v>7.11</v>
      </c>
    </row>
    <row r="117" spans="1:7" ht="28.5" customHeight="1" x14ac:dyDescent="0.15">
      <c r="A117" s="14" t="str">
        <f ca="1">IFERROR(__xludf.DUMMYFUNCTION("""COMPUTED_VALUE"""),"DR.ALTHEA")</f>
        <v>DR.ALTHEA</v>
      </c>
      <c r="B117" s="14" t="str">
        <f ca="1">IFERROR(__xludf.DUMMYFUNCTION("""COMPUTED_VALUE"""),"Мист")</f>
        <v>Мист</v>
      </c>
      <c r="C117" s="14" t="str">
        <f ca="1">IFERROR(__xludf.DUMMYFUNCTION("""COMPUTED_VALUE"""),"МИСТ ДЛЯ ЛИЦА - DR.ALTHEA 345 RELIEF CREAM MIST")</f>
        <v>МИСТ ДЛЯ ЛИЦА - DR.ALTHEA 345 RELIEF CREAM MIST</v>
      </c>
      <c r="D117" s="15" t="str">
        <f ca="1">IFERROR(__xludf.DUMMYFUNCTION("""COMPUTED_VALUE"""),"8809447256115")</f>
        <v>8809447256115</v>
      </c>
      <c r="E117" s="16" t="str">
        <f ca="1">IFERROR(__xludf.DUMMYFUNCTION("""COMPUTED_VALUE"""),"100мл")</f>
        <v>100мл</v>
      </c>
      <c r="F117" s="16">
        <f ca="1">IFERROR(__xludf.DUMMYFUNCTION("""COMPUTED_VALUE"""),1204)</f>
        <v>1204</v>
      </c>
      <c r="G117" s="17">
        <f ca="1">IFERROR(__xludf.DUMMYFUNCTION("""COMPUTED_VALUE"""),8.74)</f>
        <v>8.74</v>
      </c>
    </row>
    <row r="118" spans="1:7" ht="28.5" customHeight="1" x14ac:dyDescent="0.15">
      <c r="A118" s="14" t="str">
        <f ca="1">IFERROR(__xludf.DUMMYFUNCTION("""COMPUTED_VALUE"""),"DR.ALTHEA")</f>
        <v>DR.ALTHEA</v>
      </c>
      <c r="B118" s="14" t="str">
        <f ca="1">IFERROR(__xludf.DUMMYFUNCTION("""COMPUTED_VALUE"""),"Мист")</f>
        <v>Мист</v>
      </c>
      <c r="C118" s="14" t="str">
        <f ca="1">IFERROR(__xludf.DUMMYFUNCTION("""COMPUTED_VALUE"""),"МИСТ ДЛЯ ЛИЦА - DR.ALTHEA 345 RELIEF CREAM MIST")</f>
        <v>МИСТ ДЛЯ ЛИЦА - DR.ALTHEA 345 RELIEF CREAM MIST</v>
      </c>
      <c r="D118" s="15" t="str">
        <f ca="1">IFERROR(__xludf.DUMMYFUNCTION("""COMPUTED_VALUE"""),"8809447256122")</f>
        <v>8809447256122</v>
      </c>
      <c r="E118" s="16" t="str">
        <f ca="1">IFERROR(__xludf.DUMMYFUNCTION("""COMPUTED_VALUE"""),"60мл")</f>
        <v>60мл</v>
      </c>
      <c r="F118" s="16">
        <f ca="1">IFERROR(__xludf.DUMMYFUNCTION("""COMPUTED_VALUE"""),1411)</f>
        <v>1411</v>
      </c>
      <c r="G118" s="17">
        <f ca="1">IFERROR(__xludf.DUMMYFUNCTION("""COMPUTED_VALUE"""),6.09)</f>
        <v>6.09</v>
      </c>
    </row>
    <row r="119" spans="1:7" ht="28.5" customHeight="1" x14ac:dyDescent="0.15">
      <c r="A119" s="14" t="str">
        <f ca="1">IFERROR(__xludf.DUMMYFUNCTION("""COMPUTED_VALUE"""),"DR.ALTHEA")</f>
        <v>DR.ALTHEA</v>
      </c>
      <c r="B119" s="14" t="str">
        <f ca="1">IFERROR(__xludf.DUMMYFUNCTION("""COMPUTED_VALUE"""),"Мист")</f>
        <v>Мист</v>
      </c>
      <c r="C119" s="14" t="str">
        <f ca="1">IFERROR(__xludf.DUMMYFUNCTION("""COMPUTED_VALUE"""),"МИСТ ДЛЯ ЛИЦА - DR.ALTHEA AQUA MARINE JELLY MIST")</f>
        <v>МИСТ ДЛЯ ЛИЦА - DR.ALTHEA AQUA MARINE JELLY MIST</v>
      </c>
      <c r="D119" s="15" t="str">
        <f ca="1">IFERROR(__xludf.DUMMYFUNCTION("""COMPUTED_VALUE"""),"8809447256184")</f>
        <v>8809447256184</v>
      </c>
      <c r="E119" s="16" t="str">
        <f ca="1">IFERROR(__xludf.DUMMYFUNCTION("""COMPUTED_VALUE"""),"100мл")</f>
        <v>100мл</v>
      </c>
      <c r="F119" s="16">
        <f ca="1">IFERROR(__xludf.DUMMYFUNCTION("""COMPUTED_VALUE"""),489)</f>
        <v>489</v>
      </c>
      <c r="G119" s="17">
        <f ca="1">IFERROR(__xludf.DUMMYFUNCTION("""COMPUTED_VALUE"""),8.94)</f>
        <v>8.94</v>
      </c>
    </row>
    <row r="120" spans="1:7" ht="28.5" customHeight="1" x14ac:dyDescent="0.15">
      <c r="A120" s="14" t="str">
        <f ca="1">IFERROR(__xludf.DUMMYFUNCTION("""COMPUTED_VALUE"""),"DR.ALTHEA")</f>
        <v>DR.ALTHEA</v>
      </c>
      <c r="B120" s="14" t="str">
        <f ca="1">IFERROR(__xludf.DUMMYFUNCTION("""COMPUTED_VALUE"""),"Мист")</f>
        <v>Мист</v>
      </c>
      <c r="C120" s="14" t="str">
        <f ca="1">IFERROR(__xludf.DUMMYFUNCTION("""COMPUTED_VALUE"""),"МИСТ ДЛЯ ЛИЦА - DR.ALTHEA RAPID HYPOCHLOROUS ACID RESCUE MIST")</f>
        <v>МИСТ ДЛЯ ЛИЦА - DR.ALTHEA RAPID HYPOCHLOROUS ACID RESCUE MIST</v>
      </c>
      <c r="D120" s="15" t="str">
        <f ca="1">IFERROR(__xludf.DUMMYFUNCTION("""COMPUTED_VALUE"""),"8809447257440")</f>
        <v>8809447257440</v>
      </c>
      <c r="E120" s="16" t="str">
        <f ca="1">IFERROR(__xludf.DUMMYFUNCTION("""COMPUTED_VALUE"""),"100мл")</f>
        <v>100мл</v>
      </c>
      <c r="F120" s="16">
        <f ca="1">IFERROR(__xludf.DUMMYFUNCTION("""COMPUTED_VALUE"""),246)</f>
        <v>246</v>
      </c>
      <c r="G120" s="17">
        <f ca="1">IFERROR(__xludf.DUMMYFUNCTION("""COMPUTED_VALUE"""),9.75)</f>
        <v>9.75</v>
      </c>
    </row>
    <row r="121" spans="1:7" ht="28.5" customHeight="1" x14ac:dyDescent="0.15">
      <c r="A121" s="14" t="str">
        <f ca="1">IFERROR(__xludf.DUMMYFUNCTION("""COMPUTED_VALUE"""),"DR.ALTHEA")</f>
        <v>DR.ALTHEA</v>
      </c>
      <c r="B121" s="14" t="str">
        <f ca="1">IFERROR(__xludf.DUMMYFUNCTION("""COMPUTED_VALUE"""),"Набор")</f>
        <v>Набор</v>
      </c>
      <c r="C121" s="14" t="str">
        <f ca="1">IFERROR(__xludf.DUMMYFUNCTION("""COMPUTED_VALUE"""),"НАБОР - DR.ALTHEA 345 TRAVEL SET")</f>
        <v>НАБОР - DR.ALTHEA 345 TRAVEL SET</v>
      </c>
      <c r="D121" s="15" t="str">
        <f ca="1">IFERROR(__xludf.DUMMYFUNCTION("""COMPUTED_VALUE"""),"8809447257396")</f>
        <v>8809447257396</v>
      </c>
      <c r="E121" s="16" t="str">
        <f ca="1">IFERROR(__xludf.DUMMYFUNCTION("""COMPUTED_VALUE"""),"15мл + 60мл")</f>
        <v>15мл + 60мл</v>
      </c>
      <c r="F121" s="16">
        <f ca="1">IFERROR(__xludf.DUMMYFUNCTION("""COMPUTED_VALUE"""),150)</f>
        <v>150</v>
      </c>
      <c r="G121" s="17">
        <f ca="1">IFERROR(__xludf.DUMMYFUNCTION("""COMPUTED_VALUE"""),13.21)</f>
        <v>13.21</v>
      </c>
    </row>
    <row r="122" spans="1:7" ht="28.5" customHeight="1" x14ac:dyDescent="0.15">
      <c r="A122" s="14" t="str">
        <f ca="1">IFERROR(__xludf.DUMMYFUNCTION("""COMPUTED_VALUE"""),"DR.ALTHEA")</f>
        <v>DR.ALTHEA</v>
      </c>
      <c r="B122" s="14" t="str">
        <f ca="1">IFERROR(__xludf.DUMMYFUNCTION("""COMPUTED_VALUE"""),"Масло гидрофильное")</f>
        <v>Масло гидрофильное</v>
      </c>
      <c r="C122" s="14" t="str">
        <f ca="1">IFERROR(__xludf.DUMMYFUNCTION("""COMPUTED_VALUE"""),"ОЧИЩАЮЩЕЕ МАСЛО ДЛЯ ЛИЦА - DR.ALTHEA GENTLE PORE VEGAN CLEANSING OIL")</f>
        <v>ОЧИЩАЮЩЕЕ МАСЛО ДЛЯ ЛИЦА - DR.ALTHEA GENTLE PORE VEGAN CLEANSING OIL</v>
      </c>
      <c r="D122" s="15" t="str">
        <f ca="1">IFERROR(__xludf.DUMMYFUNCTION("""COMPUTED_VALUE"""),"8809447255583")</f>
        <v>8809447255583</v>
      </c>
      <c r="E122" s="16" t="str">
        <f ca="1">IFERROR(__xludf.DUMMYFUNCTION("""COMPUTED_VALUE"""),"150мл")</f>
        <v>150мл</v>
      </c>
      <c r="F122" s="16">
        <f ca="1">IFERROR(__xludf.DUMMYFUNCTION("""COMPUTED_VALUE"""),757)</f>
        <v>757</v>
      </c>
      <c r="G122" s="17">
        <f ca="1">IFERROR(__xludf.DUMMYFUNCTION("""COMPUTED_VALUE"""),8.5)</f>
        <v>8.5</v>
      </c>
    </row>
    <row r="123" spans="1:7" ht="28.5" customHeight="1" x14ac:dyDescent="0.15">
      <c r="A123" s="14" t="str">
        <f ca="1">IFERROR(__xludf.DUMMYFUNCTION("""COMPUTED_VALUE"""),"DR.ALTHEA")</f>
        <v>DR.ALTHEA</v>
      </c>
      <c r="B123" s="14" t="str">
        <f ca="1">IFERROR(__xludf.DUMMYFUNCTION("""COMPUTED_VALUE"""),"Гель для умывания")</f>
        <v>Гель для умывания</v>
      </c>
      <c r="C123" s="14" t="str">
        <f ca="1">IFERROR(__xludf.DUMMYFUNCTION("""COMPUTED_VALUE"""),"ОЧИЩАЮЩИЙ ГЕЛЬ ДЛЯ ЛИЦА - DR.ALTHEA GREEN RELIEF AMINO GEL CLEANSER")</f>
        <v>ОЧИЩАЮЩИЙ ГЕЛЬ ДЛЯ ЛИЦА - DR.ALTHEA GREEN RELIEF AMINO GEL CLEANSER</v>
      </c>
      <c r="D123" s="15" t="str">
        <f ca="1">IFERROR(__xludf.DUMMYFUNCTION("""COMPUTED_VALUE"""),"8809447254708")</f>
        <v>8809447254708</v>
      </c>
      <c r="E123" s="16" t="str">
        <f ca="1">IFERROR(__xludf.DUMMYFUNCTION("""COMPUTED_VALUE"""),"100мл")</f>
        <v>100мл</v>
      </c>
      <c r="F123" s="16">
        <f ca="1">IFERROR(__xludf.DUMMYFUNCTION("""COMPUTED_VALUE"""),74)</f>
        <v>74</v>
      </c>
      <c r="G123" s="17">
        <f ca="1">IFERROR(__xludf.DUMMYFUNCTION("""COMPUTED_VALUE"""),6.28)</f>
        <v>6.28</v>
      </c>
    </row>
    <row r="124" spans="1:7" ht="28.5" customHeight="1" x14ac:dyDescent="0.15">
      <c r="A124" s="14" t="str">
        <f ca="1">IFERROR(__xludf.DUMMYFUNCTION("""COMPUTED_VALUE"""),"DR.ALTHEA")</f>
        <v>DR.ALTHEA</v>
      </c>
      <c r="B124" s="14" t="str">
        <f ca="1">IFERROR(__xludf.DUMMYFUNCTION("""COMPUTED_VALUE"""),"Бальзам для умывания")</f>
        <v>Бальзам для умывания</v>
      </c>
      <c r="C124" s="14" t="str">
        <f ca="1">IFERROR(__xludf.DUMMYFUNCTION("""COMPUTED_VALUE"""),"ОЧИЩАЮЩИЙ ЩЕРБЕТ ДЛЯ ЛИЦА - DR.ALTHEA PORE REFRESH GRINDING CLEANSING BALM")</f>
        <v>ОЧИЩАЮЩИЙ ЩЕРБЕТ ДЛЯ ЛИЦА - DR.ALTHEA PORE REFRESH GRINDING CLEANSING BALM</v>
      </c>
      <c r="D124" s="15" t="str">
        <f ca="1">IFERROR(__xludf.DUMMYFUNCTION("""COMPUTED_VALUE"""),"8809447255620")</f>
        <v>8809447255620</v>
      </c>
      <c r="E124" s="16" t="str">
        <f ca="1">IFERROR(__xludf.DUMMYFUNCTION("""COMPUTED_VALUE"""),"50мл")</f>
        <v>50мл</v>
      </c>
      <c r="F124" s="16">
        <f ca="1">IFERROR(__xludf.DUMMYFUNCTION("""COMPUTED_VALUE"""),1090)</f>
        <v>1090</v>
      </c>
      <c r="G124" s="17">
        <f ca="1">IFERROR(__xludf.DUMMYFUNCTION("""COMPUTED_VALUE"""),7.19)</f>
        <v>7.19</v>
      </c>
    </row>
    <row r="125" spans="1:7" ht="28.5" customHeight="1" x14ac:dyDescent="0.15">
      <c r="A125" s="14" t="str">
        <f ca="1">IFERROR(__xludf.DUMMYFUNCTION("""COMPUTED_VALUE"""),"DR.ALTHEA")</f>
        <v>DR.ALTHEA</v>
      </c>
      <c r="B125" s="14" t="str">
        <f ca="1">IFERROR(__xludf.DUMMYFUNCTION("""COMPUTED_VALUE"""),"Бальзам для умывания")</f>
        <v>Бальзам для умывания</v>
      </c>
      <c r="C125" s="14" t="str">
        <f ca="1">IFERROR(__xludf.DUMMYFUNCTION("""COMPUTED_VALUE"""),"ОЧИЩАЮЩИЙ ЩЕРБЕТ ДЛЯ ЛИЦА - DR.ALTHEA PURE GRINDING CLEANSING BALM")</f>
        <v>ОЧИЩАЮЩИЙ ЩЕРБЕТ ДЛЯ ЛИЦА - DR.ALTHEA PURE GRINDING CLEANSING BALM</v>
      </c>
      <c r="D125" s="15" t="str">
        <f ca="1">IFERROR(__xludf.DUMMYFUNCTION("""COMPUTED_VALUE"""),"8809447255071")</f>
        <v>8809447255071</v>
      </c>
      <c r="E125" s="16" t="str">
        <f ca="1">IFERROR(__xludf.DUMMYFUNCTION("""COMPUTED_VALUE"""),"50мл")</f>
        <v>50мл</v>
      </c>
      <c r="F125" s="16">
        <f ca="1">IFERROR(__xludf.DUMMYFUNCTION("""COMPUTED_VALUE"""),319)</f>
        <v>319</v>
      </c>
      <c r="G125" s="17">
        <f ca="1">IFERROR(__xludf.DUMMYFUNCTION("""COMPUTED_VALUE"""),7.21)</f>
        <v>7.21</v>
      </c>
    </row>
    <row r="126" spans="1:7" ht="28.5" customHeight="1" x14ac:dyDescent="0.15">
      <c r="A126" s="14" t="str">
        <f ca="1">IFERROR(__xludf.DUMMYFUNCTION("""COMPUTED_VALUE"""),"DR.ALTHEA")</f>
        <v>DR.ALTHEA</v>
      </c>
      <c r="B126" s="14" t="str">
        <f ca="1">IFERROR(__xludf.DUMMYFUNCTION("""COMPUTED_VALUE"""),"Пэды")</f>
        <v>Пэды</v>
      </c>
      <c r="C126" s="14" t="str">
        <f ca="1">IFERROR(__xludf.DUMMYFUNCTION("""COMPUTED_VALUE"""),"ПЭДЫ КОСМЕТИЧЕСКИЕ ДЛЯ ЛИЦА - DR.ALTHEA 2% SALICYLIC ACID CLEAR PAD")</f>
        <v>ПЭДЫ КОСМЕТИЧЕСКИЕ ДЛЯ ЛИЦА - DR.ALTHEA 2% SALICYLIC ACID CLEAR PAD</v>
      </c>
      <c r="D126" s="15" t="str">
        <f ca="1">IFERROR(__xludf.DUMMYFUNCTION("""COMPUTED_VALUE"""),"8809447255293")</f>
        <v>8809447255293</v>
      </c>
      <c r="E126" s="16" t="str">
        <f ca="1">IFERROR(__xludf.DUMMYFUNCTION("""COMPUTED_VALUE"""),"1уп (60шт/170г)")</f>
        <v>1уп (60шт/170г)</v>
      </c>
      <c r="F126" s="16">
        <f ca="1">IFERROR(__xludf.DUMMYFUNCTION("""COMPUTED_VALUE"""),360)</f>
        <v>360</v>
      </c>
      <c r="G126" s="17">
        <f ca="1">IFERROR(__xludf.DUMMYFUNCTION("""COMPUTED_VALUE"""),9.14)</f>
        <v>9.14</v>
      </c>
    </row>
    <row r="127" spans="1:7" ht="28.5" customHeight="1" x14ac:dyDescent="0.15">
      <c r="A127" s="14" t="str">
        <f ca="1">IFERROR(__xludf.DUMMYFUNCTION("""COMPUTED_VALUE"""),"DR.ALTHEA")</f>
        <v>DR.ALTHEA</v>
      </c>
      <c r="B127" s="14" t="str">
        <f ca="1">IFERROR(__xludf.DUMMYFUNCTION("""COMPUTED_VALUE"""),"Пэды")</f>
        <v>Пэды</v>
      </c>
      <c r="C127" s="14" t="str">
        <f ca="1">IFERROR(__xludf.DUMMYFUNCTION("""COMPUTED_VALUE"""),"ПЭДЫ КОСМЕТИЧЕСКИЕ ДЛЯ ЛИЦА - DR.ALTHEA STRETCHFIT CALMING PAD")</f>
        <v>ПЭДЫ КОСМЕТИЧЕСКИЕ ДЛЯ ЛИЦА - DR.ALTHEA STRETCHFIT CALMING PAD</v>
      </c>
      <c r="D127" s="15" t="str">
        <f ca="1">IFERROR(__xludf.DUMMYFUNCTION("""COMPUTED_VALUE"""),"8809447256306")</f>
        <v>8809447256306</v>
      </c>
      <c r="E127" s="16" t="str">
        <f ca="1">IFERROR(__xludf.DUMMYFUNCTION("""COMPUTED_VALUE"""),"250г")</f>
        <v>250г</v>
      </c>
      <c r="F127" s="16">
        <f ca="1">IFERROR(__xludf.DUMMYFUNCTION("""COMPUTED_VALUE"""),350)</f>
        <v>350</v>
      </c>
      <c r="G127" s="17">
        <f ca="1">IFERROR(__xludf.DUMMYFUNCTION("""COMPUTED_VALUE"""),9.14)</f>
        <v>9.14</v>
      </c>
    </row>
    <row r="128" spans="1:7" ht="28.5" customHeight="1" x14ac:dyDescent="0.15">
      <c r="A128" s="14" t="str">
        <f ca="1">IFERROR(__xludf.DUMMYFUNCTION("""COMPUTED_VALUE"""),"DR.ALTHEA")</f>
        <v>DR.ALTHEA</v>
      </c>
      <c r="B128" s="14" t="str">
        <f ca="1">IFERROR(__xludf.DUMMYFUNCTION("""COMPUTED_VALUE"""),"Солнцезащитный крем")</f>
        <v>Солнцезащитный крем</v>
      </c>
      <c r="C128" s="14" t="str">
        <f ca="1">IFERROR(__xludf.DUMMYFUNCTION("""COMPUTED_VALUE"""),"СОЛНЦЕЗАЩИТНОЕ СРЕДСТВО - DR.ALTHEA AQUA GLOWING SUNSCREEN SPF50+ PA++++")</f>
        <v>СОЛНЦЕЗАЩИТНОЕ СРЕДСТВО - DR.ALTHEA AQUA GLOWING SUNSCREEN SPF50+ PA++++</v>
      </c>
      <c r="D128" s="15" t="str">
        <f ca="1">IFERROR(__xludf.DUMMYFUNCTION("""COMPUTED_VALUE"""),"8809447255972")</f>
        <v>8809447255972</v>
      </c>
      <c r="E128" s="16" t="str">
        <f ca="1">IFERROR(__xludf.DUMMYFUNCTION("""COMPUTED_VALUE"""),"45мл")</f>
        <v>45мл</v>
      </c>
      <c r="F128" s="16">
        <f ca="1">IFERROR(__xludf.DUMMYFUNCTION("""COMPUTED_VALUE"""),207)</f>
        <v>207</v>
      </c>
      <c r="G128" s="17">
        <f ca="1">IFERROR(__xludf.DUMMYFUNCTION("""COMPUTED_VALUE"""),7.02)</f>
        <v>7.02</v>
      </c>
    </row>
    <row r="129" spans="1:7" ht="28.5" customHeight="1" x14ac:dyDescent="0.15">
      <c r="A129" s="14" t="str">
        <f ca="1">IFERROR(__xludf.DUMMYFUNCTION("""COMPUTED_VALUE"""),"DR.ALTHEA")</f>
        <v>DR.ALTHEA</v>
      </c>
      <c r="B129" s="14" t="str">
        <f ca="1">IFERROR(__xludf.DUMMYFUNCTION("""COMPUTED_VALUE"""),"Солнцезащитный крем")</f>
        <v>Солнцезащитный крем</v>
      </c>
      <c r="C129" s="14" t="str">
        <f ca="1">IFERROR(__xludf.DUMMYFUNCTION("""COMPUTED_VALUE"""),"СОЛНЦЕЗАЩИТНОЕ СРЕДСТВО - DR.ALTHEA GREEN TEA FRESH SUNSCREEN SPF50+ PA++++")</f>
        <v>СОЛНЦЕЗАЩИТНОЕ СРЕДСТВО - DR.ALTHEA GREEN TEA FRESH SUNSCREEN SPF50+ PA++++</v>
      </c>
      <c r="D129" s="15" t="str">
        <f ca="1">IFERROR(__xludf.DUMMYFUNCTION("""COMPUTED_VALUE"""),"8809447255989")</f>
        <v>8809447255989</v>
      </c>
      <c r="E129" s="16" t="str">
        <f ca="1">IFERROR(__xludf.DUMMYFUNCTION("""COMPUTED_VALUE"""),"45мл")</f>
        <v>45мл</v>
      </c>
      <c r="F129" s="16">
        <f ca="1">IFERROR(__xludf.DUMMYFUNCTION("""COMPUTED_VALUE"""),167)</f>
        <v>167</v>
      </c>
      <c r="G129" s="17">
        <f ca="1">IFERROR(__xludf.DUMMYFUNCTION("""COMPUTED_VALUE"""),7.02)</f>
        <v>7.02</v>
      </c>
    </row>
    <row r="130" spans="1:7" ht="28.5" customHeight="1" x14ac:dyDescent="0.15">
      <c r="A130" s="14" t="str">
        <f ca="1">IFERROR(__xludf.DUMMYFUNCTION("""COMPUTED_VALUE"""),"DR.ALTHEA")</f>
        <v>DR.ALTHEA</v>
      </c>
      <c r="B130" s="14" t="str">
        <f ca="1">IFERROR(__xludf.DUMMYFUNCTION("""COMPUTED_VALUE"""),"Средство для умывания")</f>
        <v>Средство для умывания</v>
      </c>
      <c r="C130" s="14" t="str">
        <f ca="1">IFERROR(__xludf.DUMMYFUNCTION("""COMPUTED_VALUE"""),"СРЕДСТВО ДЛЯ УМЫВАНИЯ ЛИЦА - DR.ALTHEA AMINO ACID GENTLE BUBBLE CLEANSER")</f>
        <v>СРЕДСТВО ДЛЯ УМЫВАНИЯ ЛИЦА - DR.ALTHEA AMINO ACID GENTLE BUBBLE CLEANSER</v>
      </c>
      <c r="D130" s="15" t="str">
        <f ca="1">IFERROR(__xludf.DUMMYFUNCTION("""COMPUTED_VALUE"""),"8809447251400")</f>
        <v>8809447251400</v>
      </c>
      <c r="E130" s="16" t="str">
        <f ca="1">IFERROR(__xludf.DUMMYFUNCTION("""COMPUTED_VALUE"""),"140мл")</f>
        <v>140мл</v>
      </c>
      <c r="F130" s="16">
        <f ca="1">IFERROR(__xludf.DUMMYFUNCTION("""COMPUTED_VALUE"""),583)</f>
        <v>583</v>
      </c>
      <c r="G130" s="17">
        <f ca="1">IFERROR(__xludf.DUMMYFUNCTION("""COMPUTED_VALUE"""),6.97)</f>
        <v>6.97</v>
      </c>
    </row>
    <row r="131" spans="1:7" ht="28.5" customHeight="1" x14ac:dyDescent="0.15">
      <c r="A131" s="14" t="str">
        <f ca="1">IFERROR(__xludf.DUMMYFUNCTION("""COMPUTED_VALUE"""),"DR.ALTHEA")</f>
        <v>DR.ALTHEA</v>
      </c>
      <c r="B131" s="14" t="str">
        <f ca="1">IFERROR(__xludf.DUMMYFUNCTION("""COMPUTED_VALUE"""),"Средство для умывания")</f>
        <v>Средство для умывания</v>
      </c>
      <c r="C131" s="14" t="str">
        <f ca="1">IFERROR(__xludf.DUMMYFUNCTION("""COMPUTED_VALUE"""),"СРЕДСТВО ДЛЯ УМЫВАНИЯ ЛИЦА - DR.ALTHEA PREMIUM QUICK STEP SEBUM CLEANSER")</f>
        <v>СРЕДСТВО ДЛЯ УМЫВАНИЯ ЛИЦА - DR.ALTHEA PREMIUM QUICK STEP SEBUM CLEANSER</v>
      </c>
      <c r="D131" s="15" t="str">
        <f ca="1">IFERROR(__xludf.DUMMYFUNCTION("""COMPUTED_VALUE"""),"8809447253756")</f>
        <v>8809447253756</v>
      </c>
      <c r="E131" s="16" t="str">
        <f ca="1">IFERROR(__xludf.DUMMYFUNCTION("""COMPUTED_VALUE"""),"150мл")</f>
        <v>150мл</v>
      </c>
      <c r="F131" s="16">
        <f ca="1">IFERROR(__xludf.DUMMYFUNCTION("""COMPUTED_VALUE"""),142)</f>
        <v>142</v>
      </c>
      <c r="G131" s="17">
        <f ca="1">IFERROR(__xludf.DUMMYFUNCTION("""COMPUTED_VALUE"""),7.72)</f>
        <v>7.72</v>
      </c>
    </row>
    <row r="132" spans="1:7" ht="28.5" customHeight="1" x14ac:dyDescent="0.15">
      <c r="A132" s="14" t="str">
        <f ca="1">IFERROR(__xludf.DUMMYFUNCTION("""COMPUTED_VALUE"""),"DR.ALTHEA")</f>
        <v>DR.ALTHEA</v>
      </c>
      <c r="B132" s="14" t="str">
        <f ca="1">IFERROR(__xludf.DUMMYFUNCTION("""COMPUTED_VALUE"""),"Сыворотка")</f>
        <v>Сыворотка</v>
      </c>
      <c r="C132" s="14" t="str">
        <f ca="1">IFERROR(__xludf.DUMMYFUNCTION("""COMPUTED_VALUE"""),"СЫВОРОТКА ДЛЯ ЛИЦА - DR.ALTHEA 0.1% GENTLE RETINOL SERUM")</f>
        <v>СЫВОРОТКА ДЛЯ ЛИЦА - DR.ALTHEA 0.1% GENTLE RETINOL SERUM</v>
      </c>
      <c r="D132" s="15" t="str">
        <f ca="1">IFERROR(__xludf.DUMMYFUNCTION("""COMPUTED_VALUE"""),"8809447255286")</f>
        <v>8809447255286</v>
      </c>
      <c r="E132" s="16" t="str">
        <f ca="1">IFERROR(__xludf.DUMMYFUNCTION("""COMPUTED_VALUE"""),"30мл")</f>
        <v>30мл</v>
      </c>
      <c r="F132" s="16">
        <f ca="1">IFERROR(__xludf.DUMMYFUNCTION("""COMPUTED_VALUE"""),154)</f>
        <v>154</v>
      </c>
      <c r="G132" s="17">
        <f ca="1">IFERROR(__xludf.DUMMYFUNCTION("""COMPUTED_VALUE"""),8.6)</f>
        <v>8.6</v>
      </c>
    </row>
    <row r="133" spans="1:7" ht="28.5" customHeight="1" x14ac:dyDescent="0.15">
      <c r="A133" s="14" t="str">
        <f ca="1">IFERROR(__xludf.DUMMYFUNCTION("""COMPUTED_VALUE"""),"DR.ALTHEA")</f>
        <v>DR.ALTHEA</v>
      </c>
      <c r="B133" s="14" t="str">
        <f ca="1">IFERROR(__xludf.DUMMYFUNCTION("""COMPUTED_VALUE"""),"Сыворотка")</f>
        <v>Сыворотка</v>
      </c>
      <c r="C133" s="14" t="str">
        <f ca="1">IFERROR(__xludf.DUMMYFUNCTION("""COMPUTED_VALUE"""),"СЫВОРОТКА ДЛЯ ЛИЦА - DR.ALTHEA 20% GENTLE VITAMIN C SERUM")</f>
        <v>СЫВОРОТКА ДЛЯ ЛИЦА - DR.ALTHEA 20% GENTLE VITAMIN C SERUM</v>
      </c>
      <c r="D133" s="15" t="str">
        <f ca="1">IFERROR(__xludf.DUMMYFUNCTION("""COMPUTED_VALUE"""),"8809447255101")</f>
        <v>8809447255101</v>
      </c>
      <c r="E133" s="16" t="str">
        <f ca="1">IFERROR(__xludf.DUMMYFUNCTION("""COMPUTED_VALUE"""),"30мл")</f>
        <v>30мл</v>
      </c>
      <c r="F133" s="16">
        <f ca="1">IFERROR(__xludf.DUMMYFUNCTION("""COMPUTED_VALUE"""),178)</f>
        <v>178</v>
      </c>
      <c r="G133" s="17">
        <f ca="1">IFERROR(__xludf.DUMMYFUNCTION("""COMPUTED_VALUE"""),8.27)</f>
        <v>8.27</v>
      </c>
    </row>
    <row r="134" spans="1:7" ht="28.5" customHeight="1" x14ac:dyDescent="0.15">
      <c r="A134" s="14" t="str">
        <f ca="1">IFERROR(__xludf.DUMMYFUNCTION("""COMPUTED_VALUE"""),"DR.ALTHEA")</f>
        <v>DR.ALTHEA</v>
      </c>
      <c r="B134" s="14" t="str">
        <f ca="1">IFERROR(__xludf.DUMMYFUNCTION("""COMPUTED_VALUE"""),"Сыворотка")</f>
        <v>Сыворотка</v>
      </c>
      <c r="C134" s="14" t="str">
        <f ca="1">IFERROR(__xludf.DUMMYFUNCTION("""COMPUTED_VALUE"""),"СЫВОРОТКА ДЛЯ ЛИЦА - DR.ALTHEA 345 RELIEF SERUM")</f>
        <v>СЫВОРОТКА ДЛЯ ЛИЦА - DR.ALTHEA 345 RELIEF SERUM</v>
      </c>
      <c r="D134" s="15" t="str">
        <f ca="1">IFERROR(__xludf.DUMMYFUNCTION("""COMPUTED_VALUE"""),"8809447257051")</f>
        <v>8809447257051</v>
      </c>
      <c r="E134" s="16" t="str">
        <f ca="1">IFERROR(__xludf.DUMMYFUNCTION("""COMPUTED_VALUE"""),"30мл")</f>
        <v>30мл</v>
      </c>
      <c r="F134" s="16">
        <f ca="1">IFERROR(__xludf.DUMMYFUNCTION("""COMPUTED_VALUE"""),1117)</f>
        <v>1117</v>
      </c>
      <c r="G134" s="17">
        <f ca="1">IFERROR(__xludf.DUMMYFUNCTION("""COMPUTED_VALUE"""),9.14)</f>
        <v>9.14</v>
      </c>
    </row>
    <row r="135" spans="1:7" ht="28.5" customHeight="1" x14ac:dyDescent="0.15">
      <c r="A135" s="14" t="str">
        <f ca="1">IFERROR(__xludf.DUMMYFUNCTION("""COMPUTED_VALUE"""),"DR.ALTHEA")</f>
        <v>DR.ALTHEA</v>
      </c>
      <c r="B135" s="14" t="str">
        <f ca="1">IFERROR(__xludf.DUMMYFUNCTION("""COMPUTED_VALUE"""),"Сыворотка")</f>
        <v>Сыворотка</v>
      </c>
      <c r="C135" s="14" t="str">
        <f ca="1">IFERROR(__xludf.DUMMYFUNCTION("""COMPUTED_VALUE"""),"СЫВОРОТКА ДЛЯ ЛИЦА - DR.ALTHEA 63% BOOSTING VITAMIN C SERUM")</f>
        <v>СЫВОРОТКА ДЛЯ ЛИЦА - DR.ALTHEA 63% BOOSTING VITAMIN C SERUM</v>
      </c>
      <c r="D135" s="15" t="str">
        <f ca="1">IFERROR(__xludf.DUMMYFUNCTION("""COMPUTED_VALUE"""),"8809447255385")</f>
        <v>8809447255385</v>
      </c>
      <c r="E135" s="16" t="str">
        <f ca="1">IFERROR(__xludf.DUMMYFUNCTION("""COMPUTED_VALUE"""),"30мл")</f>
        <v>30мл</v>
      </c>
      <c r="F135" s="16">
        <f ca="1">IFERROR(__xludf.DUMMYFUNCTION("""COMPUTED_VALUE"""),821)</f>
        <v>821</v>
      </c>
      <c r="G135" s="17">
        <f ca="1">IFERROR(__xludf.DUMMYFUNCTION("""COMPUTED_VALUE"""),8.27)</f>
        <v>8.27</v>
      </c>
    </row>
    <row r="136" spans="1:7" ht="28.5" customHeight="1" x14ac:dyDescent="0.15">
      <c r="A136" s="14" t="str">
        <f ca="1">IFERROR(__xludf.DUMMYFUNCTION("""COMPUTED_VALUE"""),"DR.ALTHEA")</f>
        <v>DR.ALTHEA</v>
      </c>
      <c r="B136" s="14" t="str">
        <f ca="1">IFERROR(__xludf.DUMMYFUNCTION("""COMPUTED_VALUE"""),"Сыворотка")</f>
        <v>Сыворотка</v>
      </c>
      <c r="C136" s="14" t="str">
        <f ca="1">IFERROR(__xludf.DUMMYFUNCTION("""COMPUTED_VALUE"""),"СЫВОРОТКА ДЛЯ ЛИЦА - DR.ALTHEA ABC GLOW WHIPPED SERUM")</f>
        <v>СЫВОРОТКА ДЛЯ ЛИЦА - DR.ALTHEA ABC GLOW WHIPPED SERUM</v>
      </c>
      <c r="D136" s="15" t="str">
        <f ca="1">IFERROR(__xludf.DUMMYFUNCTION("""COMPUTED_VALUE"""),"8809447256238")</f>
        <v>8809447256238</v>
      </c>
      <c r="E136" s="16" t="str">
        <f ca="1">IFERROR(__xludf.DUMMYFUNCTION("""COMPUTED_VALUE"""),"100мл")</f>
        <v>100мл</v>
      </c>
      <c r="F136" s="16">
        <f ca="1">IFERROR(__xludf.DUMMYFUNCTION("""COMPUTED_VALUE"""),41)</f>
        <v>41</v>
      </c>
      <c r="G136" s="17">
        <f ca="1">IFERROR(__xludf.DUMMYFUNCTION("""COMPUTED_VALUE"""),8.81)</f>
        <v>8.81</v>
      </c>
    </row>
    <row r="137" spans="1:7" ht="28.5" customHeight="1" x14ac:dyDescent="0.15">
      <c r="A137" s="14" t="str">
        <f ca="1">IFERROR(__xludf.DUMMYFUNCTION("""COMPUTED_VALUE"""),"DR.ALTHEA")</f>
        <v>DR.ALTHEA</v>
      </c>
      <c r="B137" s="14" t="str">
        <f ca="1">IFERROR(__xludf.DUMMYFUNCTION("""COMPUTED_VALUE"""),"Сыворотка")</f>
        <v>Сыворотка</v>
      </c>
      <c r="C137" s="14" t="str">
        <f ca="1">IFERROR(__xludf.DUMMYFUNCTION("""COMPUTED_VALUE"""),"СЫВОРОТКА ДЛЯ ЛИЦА - DR.ALTHEA AQUA MARINE DEEP SERUM")</f>
        <v>СЫВОРОТКА ДЛЯ ЛИЦА - DR.ALTHEA AQUA MARINE DEEP SERUM</v>
      </c>
      <c r="D137" s="15" t="str">
        <f ca="1">IFERROR(__xludf.DUMMYFUNCTION("""COMPUTED_VALUE"""),"8809447256191")</f>
        <v>8809447256191</v>
      </c>
      <c r="E137" s="16" t="str">
        <f ca="1">IFERROR(__xludf.DUMMYFUNCTION("""COMPUTED_VALUE"""),"30мл")</f>
        <v>30мл</v>
      </c>
      <c r="F137" s="16">
        <f ca="1">IFERROR(__xludf.DUMMYFUNCTION("""COMPUTED_VALUE"""),127)</f>
        <v>127</v>
      </c>
      <c r="G137" s="17">
        <f ca="1">IFERROR(__xludf.DUMMYFUNCTION("""COMPUTED_VALUE"""),6.84)</f>
        <v>6.84</v>
      </c>
    </row>
    <row r="138" spans="1:7" ht="28.5" customHeight="1" x14ac:dyDescent="0.15">
      <c r="A138" s="14" t="str">
        <f ca="1">IFERROR(__xludf.DUMMYFUNCTION("""COMPUTED_VALUE"""),"DR.ALTHEA")</f>
        <v>DR.ALTHEA</v>
      </c>
      <c r="B138" s="14" t="str">
        <f ca="1">IFERROR(__xludf.DUMMYFUNCTION("""COMPUTED_VALUE"""),"Сыворотка")</f>
        <v>Сыворотка</v>
      </c>
      <c r="C138" s="14" t="str">
        <f ca="1">IFERROR(__xludf.DUMMYFUNCTION("""COMPUTED_VALUE"""),"СЫВОРОТКА ДЛЯ ЛИЦА - DR.ALTHEA LASH BOOST SERUM")</f>
        <v>СЫВОРОТКА ДЛЯ ЛИЦА - DR.ALTHEA LASH BOOST SERUM</v>
      </c>
      <c r="D138" s="15" t="str">
        <f ca="1">IFERROR(__xludf.DUMMYFUNCTION("""COMPUTED_VALUE"""),"8809447256672")</f>
        <v>8809447256672</v>
      </c>
      <c r="E138" s="16" t="str">
        <f ca="1">IFERROR(__xludf.DUMMYFUNCTION("""COMPUTED_VALUE"""),"9мл")</f>
        <v>9мл</v>
      </c>
      <c r="F138" s="16">
        <f ca="1">IFERROR(__xludf.DUMMYFUNCTION("""COMPUTED_VALUE"""),123)</f>
        <v>123</v>
      </c>
      <c r="G138" s="17">
        <f ca="1">IFERROR(__xludf.DUMMYFUNCTION("""COMPUTED_VALUE"""),7.52)</f>
        <v>7.52</v>
      </c>
    </row>
    <row r="139" spans="1:7" ht="28.5" customHeight="1" x14ac:dyDescent="0.15">
      <c r="A139" s="14" t="str">
        <f ca="1">IFERROR(__xludf.DUMMYFUNCTION("""COMPUTED_VALUE"""),"DR.REJU-ALL")</f>
        <v>DR.REJU-ALL</v>
      </c>
      <c r="B139" s="14" t="str">
        <f ca="1">IFERROR(__xludf.DUMMYFUNCTION("""COMPUTED_VALUE"""),"Крем")</f>
        <v>Крем</v>
      </c>
      <c r="C139" s="14" t="str">
        <f ca="1">IFERROR(__xludf.DUMMYFUNCTION("""COMPUTED_VALUE"""),"КРЕМ ДЛЯ ЛИЦА - DR.REJU-ALL ADVANCED LC CERAMIDE BARRIER CREAM")</f>
        <v>КРЕМ ДЛЯ ЛИЦА - DR.REJU-ALL ADVANCED LC CERAMIDE BARRIER CREAM</v>
      </c>
      <c r="D139" s="15" t="str">
        <f ca="1">IFERROR(__xludf.DUMMYFUNCTION("""COMPUTED_VALUE"""),"8800330330110")</f>
        <v>8800330330110</v>
      </c>
      <c r="E139" s="16" t="str">
        <f ca="1">IFERROR(__xludf.DUMMYFUNCTION("""COMPUTED_VALUE"""),"50мл")</f>
        <v>50мл</v>
      </c>
      <c r="F139" s="16">
        <f ca="1">IFERROR(__xludf.DUMMYFUNCTION("""COMPUTED_VALUE"""),15)</f>
        <v>15</v>
      </c>
      <c r="G139" s="17">
        <f ca="1">IFERROR(__xludf.DUMMYFUNCTION("""COMPUTED_VALUE"""),13.82)</f>
        <v>13.82</v>
      </c>
    </row>
    <row r="140" spans="1:7" ht="28.5" customHeight="1" x14ac:dyDescent="0.15">
      <c r="A140" s="14" t="str">
        <f ca="1">IFERROR(__xludf.DUMMYFUNCTION("""COMPUTED_VALUE"""),"DR.REJU-ALL")</f>
        <v>DR.REJU-ALL</v>
      </c>
      <c r="B140" s="14" t="str">
        <f ca="1">IFERROR(__xludf.DUMMYFUNCTION("""COMPUTED_VALUE"""),"Сыворотка")</f>
        <v>Сыворотка</v>
      </c>
      <c r="C140" s="14" t="str">
        <f ca="1">IFERROR(__xludf.DUMMYFUNCTION("""COMPUTED_VALUE"""),"СЫВОРОТКА ДЛЯ ЛИЦА - DR.REJU-ALL ADVANCED RETINO-MELA SERUM")</f>
        <v>СЫВОРОТКА ДЛЯ ЛИЦА - DR.REJU-ALL ADVANCED RETINO-MELA SERUM</v>
      </c>
      <c r="D140" s="15" t="str">
        <f ca="1">IFERROR(__xludf.DUMMYFUNCTION("""COMPUTED_VALUE"""),"8800330330097")</f>
        <v>8800330330097</v>
      </c>
      <c r="E140" s="16" t="str">
        <f ca="1">IFERROR(__xludf.DUMMYFUNCTION("""COMPUTED_VALUE"""),"30мл")</f>
        <v>30мл</v>
      </c>
      <c r="F140" s="16">
        <f ca="1">IFERROR(__xludf.DUMMYFUNCTION("""COMPUTED_VALUE"""),50)</f>
        <v>50</v>
      </c>
      <c r="G140" s="17">
        <f ca="1">IFERROR(__xludf.DUMMYFUNCTION("""COMPUTED_VALUE"""),16.46)</f>
        <v>16.46</v>
      </c>
    </row>
    <row r="141" spans="1:7" ht="28.5" customHeight="1" x14ac:dyDescent="0.15">
      <c r="A141" s="14" t="str">
        <f ca="1">IFERROR(__xludf.DUMMYFUNCTION("""COMPUTED_VALUE"""),"ISNTREE")</f>
        <v>ISNTREE</v>
      </c>
      <c r="B141" s="14" t="str">
        <f ca="1">IFERROR(__xludf.DUMMYFUNCTION("""COMPUTED_VALUE"""),"Новый SKU")</f>
        <v>Новый SKU</v>
      </c>
      <c r="C141" s="14" t="str">
        <f ca="1">IFERROR(__xludf.DUMMYFUNCTION("""COMPUTED_VALUE"""),"КОСМЕТИЧЕСКОЕ СРЕДСТВО - ISNTREE ONION NEWPAIR BOOSTER SHOT 2000")</f>
        <v>КОСМЕТИЧЕСКОЕ СРЕДСТВО - ISNTREE ONION NEWPAIR BOOSTER SHOT 2000</v>
      </c>
      <c r="D141" s="15" t="str">
        <f ca="1">IFERROR(__xludf.DUMMYFUNCTION("""COMPUTED_VALUE"""),"8809800941221")</f>
        <v>8809800941221</v>
      </c>
      <c r="E141" s="16" t="str">
        <f ca="1">IFERROR(__xludf.DUMMYFUNCTION("""COMPUTED_VALUE"""),"30мл")</f>
        <v>30мл</v>
      </c>
      <c r="F141" s="16">
        <f ca="1">IFERROR(__xludf.DUMMYFUNCTION("""COMPUTED_VALUE"""),149)</f>
        <v>149</v>
      </c>
      <c r="G141" s="17">
        <f ca="1">IFERROR(__xludf.DUMMYFUNCTION("""COMPUTED_VALUE"""),11.28)</f>
        <v>11.28</v>
      </c>
    </row>
    <row r="142" spans="1:7" ht="28.5" customHeight="1" x14ac:dyDescent="0.15">
      <c r="A142" s="14" t="str">
        <f ca="1">IFERROR(__xludf.DUMMYFUNCTION("""COMPUTED_VALUE"""),"ISNTREE")</f>
        <v>ISNTREE</v>
      </c>
      <c r="B142" s="14" t="str">
        <f ca="1">IFERROR(__xludf.DUMMYFUNCTION("""COMPUTED_VALUE"""),"Новый SKU")</f>
        <v>Новый SKU</v>
      </c>
      <c r="C142" s="14" t="str">
        <f ca="1">IFERROR(__xludf.DUMMYFUNCTION("""COMPUTED_VALUE"""),"КОСМЕТИЧЕСКОЕ СРЕДСТВО - ISNTREE PLUM PEPTIDE BOOSTER 2000S")</f>
        <v>КОСМЕТИЧЕСКОЕ СРЕДСТВО - ISNTREE PLUM PEPTIDE BOOSTER 2000S</v>
      </c>
      <c r="D142" s="15" t="str">
        <f ca="1">IFERROR(__xludf.DUMMYFUNCTION("""COMPUTED_VALUE"""),"8809800941597")</f>
        <v>8809800941597</v>
      </c>
      <c r="E142" s="16" t="str">
        <f ca="1">IFERROR(__xludf.DUMMYFUNCTION("""COMPUTED_VALUE"""),"50мл")</f>
        <v>50мл</v>
      </c>
      <c r="F142" s="16">
        <f ca="1">IFERROR(__xludf.DUMMYFUNCTION("""COMPUTED_VALUE"""),145)</f>
        <v>145</v>
      </c>
      <c r="G142" s="17">
        <f ca="1">IFERROR(__xludf.DUMMYFUNCTION("""COMPUTED_VALUE"""),11.28)</f>
        <v>11.28</v>
      </c>
    </row>
    <row r="143" spans="1:7" ht="28.5" customHeight="1" x14ac:dyDescent="0.15">
      <c r="A143" s="14" t="str">
        <f ca="1">IFERROR(__xludf.DUMMYFUNCTION("""COMPUTED_VALUE"""),"ISNTREE")</f>
        <v>ISNTREE</v>
      </c>
      <c r="B143" s="14" t="str">
        <f ca="1">IFERROR(__xludf.DUMMYFUNCTION("""COMPUTED_VALUE"""),"Крем")</f>
        <v>Крем</v>
      </c>
      <c r="C143" s="14" t="str">
        <f ca="1">IFERROR(__xludf.DUMMYFUNCTION("""COMPUTED_VALUE"""),"КРЕМ ДЛЯ ЛИЦА - ISNTREE HYALURONIC ACID MOIST CREAM")</f>
        <v>КРЕМ ДЛЯ ЛИЦА - ISNTREE HYALURONIC ACID MOIST CREAM</v>
      </c>
      <c r="D143" s="15" t="str">
        <f ca="1">IFERROR(__xludf.DUMMYFUNCTION("""COMPUTED_VALUE"""),"8809686383559")</f>
        <v>8809686383559</v>
      </c>
      <c r="E143" s="16" t="str">
        <f ca="1">IFERROR(__xludf.DUMMYFUNCTION("""COMPUTED_VALUE"""),"100мл")</f>
        <v>100мл</v>
      </c>
      <c r="F143" s="16">
        <f ca="1">IFERROR(__xludf.DUMMYFUNCTION("""COMPUTED_VALUE"""),81)</f>
        <v>81</v>
      </c>
      <c r="G143" s="17">
        <f ca="1">IFERROR(__xludf.DUMMYFUNCTION("""COMPUTED_VALUE"""),7.93)</f>
        <v>7.93</v>
      </c>
    </row>
    <row r="144" spans="1:7" ht="28.5" customHeight="1" x14ac:dyDescent="0.15">
      <c r="A144" s="14" t="str">
        <f ca="1">IFERROR(__xludf.DUMMYFUNCTION("""COMPUTED_VALUE"""),"ISNTREE")</f>
        <v>ISNTREE</v>
      </c>
      <c r="B144" s="14" t="str">
        <f ca="1">IFERROR(__xludf.DUMMYFUNCTION("""COMPUTED_VALUE"""),"Маска")</f>
        <v>Маска</v>
      </c>
      <c r="C144" s="14" t="str">
        <f ca="1">IFERROR(__xludf.DUMMYFUNCTION("""COMPUTED_VALUE"""),"МАСКА ДЛЯ ЛИЦА - ISNTREE GIM PDRN DEEP SLEEP MASK")</f>
        <v>МАСКА ДЛЯ ЛИЦА - ISNTREE GIM PDRN DEEP SLEEP MASK</v>
      </c>
      <c r="D144" s="15" t="str">
        <f ca="1">IFERROR(__xludf.DUMMYFUNCTION("""COMPUTED_VALUE"""),"8809800941924")</f>
        <v>8809800941924</v>
      </c>
      <c r="E144" s="16" t="str">
        <f ca="1">IFERROR(__xludf.DUMMYFUNCTION("""COMPUTED_VALUE"""),"100мл")</f>
        <v>100мл</v>
      </c>
      <c r="F144" s="16">
        <f ca="1">IFERROR(__xludf.DUMMYFUNCTION("""COMPUTED_VALUE"""),58)</f>
        <v>58</v>
      </c>
      <c r="G144" s="17">
        <f ca="1">IFERROR(__xludf.DUMMYFUNCTION("""COMPUTED_VALUE"""),8.34)</f>
        <v>8.34</v>
      </c>
    </row>
    <row r="145" spans="1:7" ht="28.5" customHeight="1" x14ac:dyDescent="0.15">
      <c r="A145" s="14" t="str">
        <f ca="1">IFERROR(__xludf.DUMMYFUNCTION("""COMPUTED_VALUE"""),"ISNTREE")</f>
        <v>ISNTREE</v>
      </c>
      <c r="B145" s="14" t="str">
        <f ca="1">IFERROR(__xludf.DUMMYFUNCTION("""COMPUTED_VALUE"""),"Пенка")</f>
        <v>Пенка</v>
      </c>
      <c r="C145" s="14" t="str">
        <f ca="1">IFERROR(__xludf.DUMMYFUNCTION("""COMPUTED_VALUE"""),"ОЧИЩАЮЩАЯ ПЕНКА ДЛЯ ЛИЦА - ISNTREE HYALURONIC ACID LOW PH CLEANSING FOAM")</f>
        <v>ОЧИЩАЮЩАЯ ПЕНКА ДЛЯ ЛИЦА - ISNTREE HYALURONIC ACID LOW PH CLEANSING FOAM</v>
      </c>
      <c r="D145" s="15" t="str">
        <f ca="1">IFERROR(__xludf.DUMMYFUNCTION("""COMPUTED_VALUE"""),"8809686389391")</f>
        <v>8809686389391</v>
      </c>
      <c r="E145" s="16" t="str">
        <f ca="1">IFERROR(__xludf.DUMMYFUNCTION("""COMPUTED_VALUE"""),"150мл")</f>
        <v>150мл</v>
      </c>
      <c r="F145" s="16">
        <f ca="1">IFERROR(__xludf.DUMMYFUNCTION("""COMPUTED_VALUE"""),50)</f>
        <v>50</v>
      </c>
      <c r="G145" s="17">
        <f ca="1">IFERROR(__xludf.DUMMYFUNCTION("""COMPUTED_VALUE"""),7.32)</f>
        <v>7.32</v>
      </c>
    </row>
    <row r="146" spans="1:7" ht="28.5" customHeight="1" x14ac:dyDescent="0.15">
      <c r="A146" s="14" t="str">
        <f ca="1">IFERROR(__xludf.DUMMYFUNCTION("""COMPUTED_VALUE"""),"ISNTREE")</f>
        <v>ISNTREE</v>
      </c>
      <c r="B146" s="14" t="str">
        <f ca="1">IFERROR(__xludf.DUMMYFUNCTION("""COMPUTED_VALUE"""),"Пэды")</f>
        <v>Пэды</v>
      </c>
      <c r="C146" s="14" t="str">
        <f ca="1">IFERROR(__xludf.DUMMYFUNCTION("""COMPUTED_VALUE"""),"ПЭДЫ КОСМЕТИЧЕСКИЕ ДЛЯ ЛИЦА - ISNTREE GIM PDRN BOOSTING GLOW PAD")</f>
        <v>ПЭДЫ КОСМЕТИЧЕСКИЕ ДЛЯ ЛИЦА - ISNTREE GIM PDRN BOOSTING GLOW PAD</v>
      </c>
      <c r="D146" s="15" t="str">
        <f ca="1">IFERROR(__xludf.DUMMYFUNCTION("""COMPUTED_VALUE"""),"8809800942440")</f>
        <v>8809800942440</v>
      </c>
      <c r="E146" s="16" t="str">
        <f ca="1">IFERROR(__xludf.DUMMYFUNCTION("""COMPUTED_VALUE"""),"200мл (70шт)")</f>
        <v>200мл (70шт)</v>
      </c>
      <c r="F146" s="16">
        <f ca="1">IFERROR(__xludf.DUMMYFUNCTION("""COMPUTED_VALUE"""),90)</f>
        <v>90</v>
      </c>
      <c r="G146" s="17">
        <f ca="1">IFERROR(__xludf.DUMMYFUNCTION("""COMPUTED_VALUE"""),10.57)</f>
        <v>10.57</v>
      </c>
    </row>
    <row r="147" spans="1:7" ht="28.5" customHeight="1" x14ac:dyDescent="0.15">
      <c r="A147" s="14" t="str">
        <f ca="1">IFERROR(__xludf.DUMMYFUNCTION("""COMPUTED_VALUE"""),"LAGOM")</f>
        <v>LAGOM</v>
      </c>
      <c r="B147" s="14" t="str">
        <f ca="1">IFERROR(__xludf.DUMMYFUNCTION("""COMPUTED_VALUE"""),"Крем")</f>
        <v>Крем</v>
      </c>
      <c r="C147" s="14" t="str">
        <f ca="1">IFERROR(__xludf.DUMMYFUNCTION("""COMPUTED_VALUE"""),"КРЕМ ДЛЯ ЛИЦА - LAGOM CELLUS MILD MOISTURE CREAM")</f>
        <v>КРЕМ ДЛЯ ЛИЦА - LAGOM CELLUS MILD MOISTURE CREAM</v>
      </c>
      <c r="D147" s="15" t="str">
        <f ca="1">IFERROR(__xludf.DUMMYFUNCTION("""COMPUTED_VALUE"""),"8809450980038")</f>
        <v>8809450980038</v>
      </c>
      <c r="E147" s="16" t="str">
        <f ca="1">IFERROR(__xludf.DUMMYFUNCTION("""COMPUTED_VALUE"""),"80мл")</f>
        <v>80мл</v>
      </c>
      <c r="F147" s="16">
        <f ca="1">IFERROR(__xludf.DUMMYFUNCTION("""COMPUTED_VALUE"""),502)</f>
        <v>502</v>
      </c>
      <c r="G147" s="17">
        <f ca="1">IFERROR(__xludf.DUMMYFUNCTION("""COMPUTED_VALUE"""),12.28)</f>
        <v>12.28</v>
      </c>
    </row>
    <row r="148" spans="1:7" ht="28.5" customHeight="1" x14ac:dyDescent="0.15">
      <c r="A148" s="14" t="str">
        <f ca="1">IFERROR(__xludf.DUMMYFUNCTION("""COMPUTED_VALUE"""),"LAGOM")</f>
        <v>LAGOM</v>
      </c>
      <c r="B148" s="14" t="str">
        <f ca="1">IFERROR(__xludf.DUMMYFUNCTION("""COMPUTED_VALUE"""),"Крем")</f>
        <v>Крем</v>
      </c>
      <c r="C148" s="14" t="str">
        <f ca="1">IFERROR(__xludf.DUMMYFUNCTION("""COMPUTED_VALUE"""),"КРЕМ ДЛЯ ЛИЦА - LAGOM COLLAGEN LIFTING NECK CREAM")</f>
        <v>КРЕМ ДЛЯ ЛИЦА - LAGOM COLLAGEN LIFTING NECK CREAM</v>
      </c>
      <c r="D148" s="15" t="str">
        <f ca="1">IFERROR(__xludf.DUMMYFUNCTION("""COMPUTED_VALUE"""),"8809450982261")</f>
        <v>8809450982261</v>
      </c>
      <c r="E148" s="16" t="str">
        <f ca="1">IFERROR(__xludf.DUMMYFUNCTION("""COMPUTED_VALUE"""),"50мл")</f>
        <v>50мл</v>
      </c>
      <c r="F148" s="16">
        <f ca="1">IFERROR(__xludf.DUMMYFUNCTION("""COMPUTED_VALUE"""),28)</f>
        <v>28</v>
      </c>
      <c r="G148" s="17">
        <f ca="1">IFERROR(__xludf.DUMMYFUNCTION("""COMPUTED_VALUE"""),13.21)</f>
        <v>13.21</v>
      </c>
    </row>
    <row r="149" spans="1:7" ht="28.5" customHeight="1" x14ac:dyDescent="0.15">
      <c r="A149" s="14" t="str">
        <f ca="1">IFERROR(__xludf.DUMMYFUNCTION("""COMPUTED_VALUE"""),"LAGOM")</f>
        <v>LAGOM</v>
      </c>
      <c r="B149" s="14" t="str">
        <f ca="1">IFERROR(__xludf.DUMMYFUNCTION("""COMPUTED_VALUE"""),"Крем")</f>
        <v>Крем</v>
      </c>
      <c r="C149" s="14" t="str">
        <f ca="1">IFERROR(__xludf.DUMMYFUNCTION("""COMPUTED_VALUE"""),"КРЕМ ДЛЯ ЛИЦА - LAGOM WHITE MOISTURE CREAM")</f>
        <v>КРЕМ ДЛЯ ЛИЦА - LAGOM WHITE MOISTURE CREAM</v>
      </c>
      <c r="D149" s="15" t="str">
        <f ca="1">IFERROR(__xludf.DUMMYFUNCTION("""COMPUTED_VALUE"""),"8809450982056")</f>
        <v>8809450982056</v>
      </c>
      <c r="E149" s="16" t="str">
        <f ca="1">IFERROR(__xludf.DUMMYFUNCTION("""COMPUTED_VALUE"""),"50мл")</f>
        <v>50мл</v>
      </c>
      <c r="F149" s="16">
        <f ca="1">IFERROR(__xludf.DUMMYFUNCTION("""COMPUTED_VALUE"""),194)</f>
        <v>194</v>
      </c>
      <c r="G149" s="17">
        <f ca="1">IFERROR(__xludf.DUMMYFUNCTION("""COMPUTED_VALUE"""),11.78)</f>
        <v>11.78</v>
      </c>
    </row>
    <row r="150" spans="1:7" ht="28.5" customHeight="1" x14ac:dyDescent="0.15">
      <c r="A150" s="14" t="str">
        <f ca="1">IFERROR(__xludf.DUMMYFUNCTION("""COMPUTED_VALUE"""),"LAGOM")</f>
        <v>LAGOM</v>
      </c>
      <c r="B150" s="14" t="str">
        <f ca="1">IFERROR(__xludf.DUMMYFUNCTION("""COMPUTED_VALUE"""),"Маска")</f>
        <v>Маска</v>
      </c>
      <c r="C150" s="14" t="str">
        <f ca="1">IFERROR(__xludf.DUMMYFUNCTION("""COMPUTED_VALUE"""),"МАСКА ДЛЯ ЛИЦА - LAGOM WHITE KAOLIN MUD MASK")</f>
        <v>МАСКА ДЛЯ ЛИЦА - LAGOM WHITE KAOLIN MUD MASK</v>
      </c>
      <c r="D150" s="15" t="str">
        <f ca="1">IFERROR(__xludf.DUMMYFUNCTION("""COMPUTED_VALUE"""),"8809450982179")</f>
        <v>8809450982179</v>
      </c>
      <c r="E150" s="16" t="str">
        <f ca="1">IFERROR(__xludf.DUMMYFUNCTION("""COMPUTED_VALUE"""),"110мл")</f>
        <v>110мл</v>
      </c>
      <c r="F150" s="16">
        <f ca="1">IFERROR(__xludf.DUMMYFUNCTION("""COMPUTED_VALUE"""),109)</f>
        <v>109</v>
      </c>
      <c r="G150" s="17">
        <f ca="1">IFERROR(__xludf.DUMMYFUNCTION("""COMPUTED_VALUE"""),11.53)</f>
        <v>11.53</v>
      </c>
    </row>
    <row r="151" spans="1:7" ht="28.5" customHeight="1" x14ac:dyDescent="0.15">
      <c r="A151" s="14" t="str">
        <f ca="1">IFERROR(__xludf.DUMMYFUNCTION("""COMPUTED_VALUE"""),"LAGOM")</f>
        <v>LAGOM</v>
      </c>
      <c r="B151" s="14" t="str">
        <f ca="1">IFERROR(__xludf.DUMMYFUNCTION("""COMPUTED_VALUE"""),"Мицеллярная вода")</f>
        <v>Мицеллярная вода</v>
      </c>
      <c r="C151" s="14" t="str">
        <f ca="1">IFERROR(__xludf.DUMMYFUNCTION("""COMPUTED_VALUE"""),"МИЦЕЛЛЯРНАЯ ВОДА ДЛЯ ЛИЦА - LAGOM CELLUP MICRO CLEANSING WATER")</f>
        <v>МИЦЕЛЛЯРНАЯ ВОДА ДЛЯ ЛИЦА - LAGOM CELLUP MICRO CLEANSING WATER</v>
      </c>
      <c r="D151" s="15" t="str">
        <f ca="1">IFERROR(__xludf.DUMMYFUNCTION("""COMPUTED_VALUE"""),"8809450981530")</f>
        <v>8809450981530</v>
      </c>
      <c r="E151" s="16" t="str">
        <f ca="1">IFERROR(__xludf.DUMMYFUNCTION("""COMPUTED_VALUE"""),"350мл")</f>
        <v>350мл</v>
      </c>
      <c r="F151" s="16">
        <f ca="1">IFERROR(__xludf.DUMMYFUNCTION("""COMPUTED_VALUE"""),39)</f>
        <v>39</v>
      </c>
      <c r="G151" s="17">
        <f ca="1">IFERROR(__xludf.DUMMYFUNCTION("""COMPUTED_VALUE"""),9.75)</f>
        <v>9.75</v>
      </c>
    </row>
    <row r="152" spans="1:7" ht="28.5" customHeight="1" x14ac:dyDescent="0.15">
      <c r="A152" s="14" t="str">
        <f ca="1">IFERROR(__xludf.DUMMYFUNCTION("""COMPUTED_VALUE"""),"LAGOM")</f>
        <v>LAGOM</v>
      </c>
      <c r="B152" s="14" t="str">
        <f ca="1">IFERROR(__xludf.DUMMYFUNCTION("""COMPUTED_VALUE"""),"Пенка")</f>
        <v>Пенка</v>
      </c>
      <c r="C152" s="14" t="str">
        <f ca="1">IFERROR(__xludf.DUMMYFUNCTION("""COMPUTED_VALUE"""),"ОЧИЩАЮЩАЯ ПЕНКА ДЛЯ ЛИЦА - LAGOM CELLUP MICRO FOAM CLEANSER")</f>
        <v>ОЧИЩАЮЩАЯ ПЕНКА ДЛЯ ЛИЦА - LAGOM CELLUP MICRO FOAM CLEANSER</v>
      </c>
      <c r="D152" s="15" t="str">
        <f ca="1">IFERROR(__xludf.DUMMYFUNCTION("""COMPUTED_VALUE"""),"8809450981233")</f>
        <v>8809450981233</v>
      </c>
      <c r="E152" s="16" t="str">
        <f ca="1">IFERROR(__xludf.DUMMYFUNCTION("""COMPUTED_VALUE"""),"120мл")</f>
        <v>120мл</v>
      </c>
      <c r="F152" s="16">
        <f ca="1">IFERROR(__xludf.DUMMYFUNCTION("""COMPUTED_VALUE"""),213)</f>
        <v>213</v>
      </c>
      <c r="G152" s="17">
        <f ca="1">IFERROR(__xludf.DUMMYFUNCTION("""COMPUTED_VALUE"""),7.11)</f>
        <v>7.11</v>
      </c>
    </row>
    <row r="153" spans="1:7" ht="28.5" customHeight="1" x14ac:dyDescent="0.15">
      <c r="A153" s="14" t="str">
        <f ca="1">IFERROR(__xludf.DUMMYFUNCTION("""COMPUTED_VALUE"""),"LAGOM")</f>
        <v>LAGOM</v>
      </c>
      <c r="B153" s="14" t="str">
        <f ca="1">IFERROR(__xludf.DUMMYFUNCTION("""COMPUTED_VALUE"""),"Пенка")</f>
        <v>Пенка</v>
      </c>
      <c r="C153" s="14" t="str">
        <f ca="1">IFERROR(__xludf.DUMMYFUNCTION("""COMPUTED_VALUE"""),"ОЧИЩАЮЩАЯ ПЕНКА ДЛЯ ЛИЦА - LAGOM CELLUP PH CURE FOAM CLEANSER")</f>
        <v>ОЧИЩАЮЩАЯ ПЕНКА ДЛЯ ЛИЦА - LAGOM CELLUP PH CURE FOAM CLEANSER</v>
      </c>
      <c r="D153" s="15" t="str">
        <f ca="1">IFERROR(__xludf.DUMMYFUNCTION("""COMPUTED_VALUE"""),"8809450980762")</f>
        <v>8809450980762</v>
      </c>
      <c r="E153" s="16" t="str">
        <f ca="1">IFERROR(__xludf.DUMMYFUNCTION("""COMPUTED_VALUE"""),"120мл")</f>
        <v>120мл</v>
      </c>
      <c r="F153" s="16">
        <f ca="1">IFERROR(__xludf.DUMMYFUNCTION("""COMPUTED_VALUE"""),481)</f>
        <v>481</v>
      </c>
      <c r="G153" s="17">
        <f ca="1">IFERROR(__xludf.DUMMYFUNCTION("""COMPUTED_VALUE"""),5.97)</f>
        <v>5.97</v>
      </c>
    </row>
    <row r="154" spans="1:7" ht="28.5" customHeight="1" x14ac:dyDescent="0.15">
      <c r="A154" s="14" t="str">
        <f ca="1">IFERROR(__xludf.DUMMYFUNCTION("""COMPUTED_VALUE"""),"LAGOM")</f>
        <v>LAGOM</v>
      </c>
      <c r="B154" s="14" t="str">
        <f ca="1">IFERROR(__xludf.DUMMYFUNCTION("""COMPUTED_VALUE"""),"Пэды")</f>
        <v>Пэды</v>
      </c>
      <c r="C154" s="14" t="str">
        <f ca="1">IFERROR(__xludf.DUMMYFUNCTION("""COMPUTED_VALUE"""),"ПЭДЫ КОСМЕТИЧЕСКИЕ ДЛЯ ЛИЦА - LAGOM AQUA SEAWEED ESSENCE PAD")</f>
        <v>ПЭДЫ КОСМЕТИЧЕСКИЕ ДЛЯ ЛИЦА - LAGOM AQUA SEAWEED ESSENCE PAD</v>
      </c>
      <c r="D154" s="15" t="str">
        <f ca="1">IFERROR(__xludf.DUMMYFUNCTION("""COMPUTED_VALUE"""),"8809450982896")</f>
        <v>8809450982896</v>
      </c>
      <c r="E154" s="16" t="str">
        <f ca="1">IFERROR(__xludf.DUMMYFUNCTION("""COMPUTED_VALUE"""),"155мл (70шт)")</f>
        <v>155мл (70шт)</v>
      </c>
      <c r="F154" s="16">
        <f ca="1">IFERROR(__xludf.DUMMYFUNCTION("""COMPUTED_VALUE"""),58)</f>
        <v>58</v>
      </c>
      <c r="G154" s="17">
        <f ca="1">IFERROR(__xludf.DUMMYFUNCTION("""COMPUTED_VALUE"""),9.14)</f>
        <v>9.14</v>
      </c>
    </row>
    <row r="155" spans="1:7" ht="28.5" customHeight="1" x14ac:dyDescent="0.15">
      <c r="A155" s="14" t="str">
        <f ca="1">IFERROR(__xludf.DUMMYFUNCTION("""COMPUTED_VALUE"""),"LAGOM")</f>
        <v>LAGOM</v>
      </c>
      <c r="B155" s="14" t="str">
        <f ca="1">IFERROR(__xludf.DUMMYFUNCTION("""COMPUTED_VALUE"""),"Пэды")</f>
        <v>Пэды</v>
      </c>
      <c r="C155" s="14" t="str">
        <f ca="1">IFERROR(__xludf.DUMMYFUNCTION("""COMPUTED_VALUE"""),"ПЭДЫ КОСМЕТИЧЕСКИЕ ДЛЯ ЛИЦА - LAGOM ENZYME CLEANSING PAD")</f>
        <v>ПЭДЫ КОСМЕТИЧЕСКИЕ ДЛЯ ЛИЦА - LAGOM ENZYME CLEANSING PAD</v>
      </c>
      <c r="D155" s="15" t="str">
        <f ca="1">IFERROR(__xludf.DUMMYFUNCTION("""COMPUTED_VALUE"""),"8809450983152")</f>
        <v>8809450983152</v>
      </c>
      <c r="E155" s="16" t="str">
        <f ca="1">IFERROR(__xludf.DUMMYFUNCTION("""COMPUTED_VALUE"""),"175мл (70шт)")</f>
        <v>175мл (70шт)</v>
      </c>
      <c r="F155" s="16">
        <f ca="1">IFERROR(__xludf.DUMMYFUNCTION("""COMPUTED_VALUE"""),7)</f>
        <v>7</v>
      </c>
      <c r="G155" s="17">
        <f ca="1">IFERROR(__xludf.DUMMYFUNCTION("""COMPUTED_VALUE"""),7.93)</f>
        <v>7.93</v>
      </c>
    </row>
    <row r="156" spans="1:7" ht="28.5" customHeight="1" x14ac:dyDescent="0.15">
      <c r="A156" s="14" t="str">
        <f ca="1">IFERROR(__xludf.DUMMYFUNCTION("""COMPUTED_VALUE"""),"LAGOM")</f>
        <v>LAGOM</v>
      </c>
      <c r="B156" s="14" t="str">
        <f ca="1">IFERROR(__xludf.DUMMYFUNCTION("""COMPUTED_VALUE"""),"Средство для умывания")</f>
        <v>Средство для умывания</v>
      </c>
      <c r="C156" s="14" t="str">
        <f ca="1">IFERROR(__xludf.DUMMYFUNCTION("""COMPUTED_VALUE"""),"СРЕДСТВО ДЛЯ УМЫВАНИЯ ЛИЦА - LAGOM CELLUP GEL TO WATER CLEANSER")</f>
        <v>СРЕДСТВО ДЛЯ УМЫВАНИЯ ЛИЦА - LAGOM CELLUP GEL TO WATER CLEANSER</v>
      </c>
      <c r="D156" s="15" t="str">
        <f ca="1">IFERROR(__xludf.DUMMYFUNCTION("""COMPUTED_VALUE"""),"8809450981240")</f>
        <v>8809450981240</v>
      </c>
      <c r="E156" s="16" t="str">
        <f ca="1">IFERROR(__xludf.DUMMYFUNCTION("""COMPUTED_VALUE"""),"170мл")</f>
        <v>170мл</v>
      </c>
      <c r="F156" s="16">
        <f ca="1">IFERROR(__xludf.DUMMYFUNCTION("""COMPUTED_VALUE"""),330)</f>
        <v>330</v>
      </c>
      <c r="G156" s="17">
        <f ca="1">IFERROR(__xludf.DUMMYFUNCTION("""COMPUTED_VALUE"""),6.62)</f>
        <v>6.62</v>
      </c>
    </row>
    <row r="157" spans="1:7" ht="28.5" customHeight="1" x14ac:dyDescent="0.15">
      <c r="A157" s="14" t="str">
        <f ca="1">IFERROR(__xludf.DUMMYFUNCTION("""COMPUTED_VALUE"""),"LAGOM")</f>
        <v>LAGOM</v>
      </c>
      <c r="B157" s="14" t="str">
        <f ca="1">IFERROR(__xludf.DUMMYFUNCTION("""COMPUTED_VALUE"""),"Сыворотка")</f>
        <v>Сыворотка</v>
      </c>
      <c r="C157" s="14" t="str">
        <f ca="1">IFERROR(__xludf.DUMMYFUNCTION("""COMPUTED_VALUE"""),"СЫВОРОТКА ДЛЯ ЛИЦА - LAGOM CELLUS REFINING PURPLE SERUM")</f>
        <v>СЫВОРОТКА ДЛЯ ЛИЦА - LAGOM CELLUS REFINING PURPLE SERUM</v>
      </c>
      <c r="D157" s="15" t="str">
        <f ca="1">IFERROR(__xludf.DUMMYFUNCTION("""COMPUTED_VALUE"""),"8809450982865")</f>
        <v>8809450982865</v>
      </c>
      <c r="E157" s="16" t="str">
        <f ca="1">IFERROR(__xludf.DUMMYFUNCTION("""COMPUTED_VALUE"""),"35мл")</f>
        <v>35мл</v>
      </c>
      <c r="F157" s="16">
        <f ca="1">IFERROR(__xludf.DUMMYFUNCTION("""COMPUTED_VALUE"""),90)</f>
        <v>90</v>
      </c>
      <c r="G157" s="17">
        <f ca="1">IFERROR(__xludf.DUMMYFUNCTION("""COMPUTED_VALUE"""),9.15)</f>
        <v>9.15</v>
      </c>
    </row>
    <row r="158" spans="1:7" ht="28.5" customHeight="1" x14ac:dyDescent="0.15">
      <c r="A158" s="14" t="str">
        <f ca="1">IFERROR(__xludf.DUMMYFUNCTION("""COMPUTED_VALUE"""),"MEDICUBE")</f>
        <v>MEDICUBE</v>
      </c>
      <c r="B158" s="14" t="str">
        <f ca="1">IFERROR(__xludf.DUMMYFUNCTION("""COMPUTED_VALUE"""),"Гель")</f>
        <v>Гель</v>
      </c>
      <c r="C158" s="14" t="str">
        <f ca="1">IFERROR(__xludf.DUMMYFUNCTION("""COMPUTED_VALUE"""),"ГЕЛЬ ДЛЯ ЛИЦА - MEDICUBE PDRN BOOSTER GEL")</f>
        <v>ГЕЛЬ ДЛЯ ЛИЦА - MEDICUBE PDRN BOOSTER GEL</v>
      </c>
      <c r="D158" s="15" t="str">
        <f ca="1">IFERROR(__xludf.DUMMYFUNCTION("""COMPUTED_VALUE"""),"8800256114979")</f>
        <v>8800256114979</v>
      </c>
      <c r="E158" s="16" t="str">
        <f ca="1">IFERROR(__xludf.DUMMYFUNCTION("""COMPUTED_VALUE"""),"300мл")</f>
        <v>300мл</v>
      </c>
      <c r="F158" s="16">
        <f ca="1">IFERROR(__xludf.DUMMYFUNCTION("""COMPUTED_VALUE"""),237)</f>
        <v>237</v>
      </c>
      <c r="G158" s="17">
        <f ca="1">IFERROR(__xludf.DUMMYFUNCTION("""COMPUTED_VALUE"""),9.11)</f>
        <v>9.11</v>
      </c>
    </row>
    <row r="159" spans="1:7" ht="28.5" customHeight="1" x14ac:dyDescent="0.15">
      <c r="A159" s="14" t="str">
        <f ca="1">IFERROR(__xludf.DUMMYFUNCTION("""COMPUTED_VALUE"""),"MEDICUBE")</f>
        <v>MEDICUBE</v>
      </c>
      <c r="B159" s="14" t="str">
        <f ca="1">IFERROR(__xludf.DUMMYFUNCTION("""COMPUTED_VALUE"""),"Кондиционер")</f>
        <v>Кондиционер</v>
      </c>
      <c r="C159" s="14" t="str">
        <f ca="1">IFERROR(__xludf.DUMMYFUNCTION("""COMPUTED_VALUE"""),"КОНДИЦИОНЕР ДЛЯ ВОЛОС - MEDICUBE ROSEMARY PDRN HAIR&amp;SCALP CONDITIONER")</f>
        <v>КОНДИЦИОНЕР ДЛЯ ВОЛОС - MEDICUBE ROSEMARY PDRN HAIR&amp;SCALP CONDITIONER</v>
      </c>
      <c r="D159" s="15" t="str">
        <f ca="1">IFERROR(__xludf.DUMMYFUNCTION("""COMPUTED_VALUE"""),"8800289461989")</f>
        <v>8800289461989</v>
      </c>
      <c r="E159" s="16" t="str">
        <f ca="1">IFERROR(__xludf.DUMMYFUNCTION("""COMPUTED_VALUE"""),"250мл")</f>
        <v>250мл</v>
      </c>
      <c r="F159" s="16">
        <f ca="1">IFERROR(__xludf.DUMMYFUNCTION("""COMPUTED_VALUE"""),36)</f>
        <v>36</v>
      </c>
      <c r="G159" s="17">
        <f ca="1">IFERROR(__xludf.DUMMYFUNCTION("""COMPUTED_VALUE"""),10.77)</f>
        <v>10.77</v>
      </c>
    </row>
    <row r="160" spans="1:7" ht="28.5" customHeight="1" x14ac:dyDescent="0.15">
      <c r="A160" s="14" t="str">
        <f ca="1">IFERROR(__xludf.DUMMYFUNCTION("""COMPUTED_VALUE"""),"MEDICUBE")</f>
        <v>MEDICUBE</v>
      </c>
      <c r="B160" s="14" t="str">
        <f ca="1">IFERROR(__xludf.DUMMYFUNCTION("""COMPUTED_VALUE"""),"Крем-маска")</f>
        <v>Крем-маска</v>
      </c>
      <c r="C160" s="14" t="str">
        <f ca="1">IFERROR(__xludf.DUMMYFUNCTION("""COMPUTED_VALUE"""),"КОСМЕТИЧЕСКАЯ МАСКА ДЛЯ ЛИЦА - MEDICUBE PDRN PINK CAFFEINE NIGHT WRAPPING MASK")</f>
        <v>КОСМЕТИЧЕСКАЯ МАСКА ДЛЯ ЛИЦА - MEDICUBE PDRN PINK CAFFEINE NIGHT WRAPPING MASK</v>
      </c>
      <c r="D160" s="15" t="str">
        <f ca="1">IFERROR(__xludf.DUMMYFUNCTION("""COMPUTED_VALUE"""),"8800289474774")</f>
        <v>8800289474774</v>
      </c>
      <c r="E160" s="16" t="str">
        <f ca="1">IFERROR(__xludf.DUMMYFUNCTION("""COMPUTED_VALUE"""),"75мл")</f>
        <v>75мл</v>
      </c>
      <c r="F160" s="16">
        <f ca="1">IFERROR(__xludf.DUMMYFUNCTION("""COMPUTED_VALUE"""),11)</f>
        <v>11</v>
      </c>
      <c r="G160" s="17">
        <f ca="1">IFERROR(__xludf.DUMMYFUNCTION("""COMPUTED_VALUE"""),11.18)</f>
        <v>11.18</v>
      </c>
    </row>
    <row r="161" spans="1:7" ht="28.5" customHeight="1" x14ac:dyDescent="0.15">
      <c r="A161" s="14" t="str">
        <f ca="1">IFERROR(__xludf.DUMMYFUNCTION("""COMPUTED_VALUE"""),"MEDICUBE")</f>
        <v>MEDICUBE</v>
      </c>
      <c r="B161" s="14" t="str">
        <f ca="1">IFERROR(__xludf.DUMMYFUNCTION("""COMPUTED_VALUE"""),"Аксессуар")</f>
        <v>Аксессуар</v>
      </c>
      <c r="C161" s="14" t="str">
        <f ca="1">IFERROR(__xludf.DUMMYFUNCTION("""COMPUTED_VALUE"""),"КОСМЕТИЧЕСКИЙ АКСЕССУАР - MEDICUBE AGE-R BOOSTER PRO X2 PINK")</f>
        <v>КОСМЕТИЧЕСКИЙ АКСЕССУАР - MEDICUBE AGE-R BOOSTER PRO X2 PINK</v>
      </c>
      <c r="D161" s="15" t="str">
        <f ca="1">IFERROR(__xludf.DUMMYFUNCTION("""COMPUTED_VALUE"""),"8800289468759")</f>
        <v>8800289468759</v>
      </c>
      <c r="E161" s="16"/>
      <c r="F161" s="16">
        <f ca="1">IFERROR(__xludf.DUMMYFUNCTION("""COMPUTED_VALUE"""),58)</f>
        <v>58</v>
      </c>
      <c r="G161" s="17">
        <f ca="1">IFERROR(__xludf.DUMMYFUNCTION("""COMPUTED_VALUE"""),172.66)</f>
        <v>172.66</v>
      </c>
    </row>
    <row r="162" spans="1:7" ht="28.5" customHeight="1" x14ac:dyDescent="0.15">
      <c r="A162" s="14" t="str">
        <f ca="1">IFERROR(__xludf.DUMMYFUNCTION("""COMPUTED_VALUE"""),"MEDICUBE")</f>
        <v>MEDICUBE</v>
      </c>
      <c r="B162" s="14" t="str">
        <f ca="1">IFERROR(__xludf.DUMMYFUNCTION("""COMPUTED_VALUE"""),"Аксессуар")</f>
        <v>Аксессуар</v>
      </c>
      <c r="C162" s="14" t="str">
        <f ca="1">IFERROR(__xludf.DUMMYFUNCTION("""COMPUTED_VALUE"""),"КОСМЕТИЧЕСКИЙ АКСЕССУАР - MEDICUBE AGE-R BOOSTER PRO X2 WHITE")</f>
        <v>КОСМЕТИЧЕСКИЙ АКСЕССУАР - MEDICUBE AGE-R BOOSTER PRO X2 WHITE</v>
      </c>
      <c r="D162" s="15" t="str">
        <f ca="1">IFERROR(__xludf.DUMMYFUNCTION("""COMPUTED_VALUE"""),"8800289468674")</f>
        <v>8800289468674</v>
      </c>
      <c r="E162" s="16"/>
      <c r="F162" s="16">
        <f ca="1">IFERROR(__xludf.DUMMYFUNCTION("""COMPUTED_VALUE"""),12)</f>
        <v>12</v>
      </c>
      <c r="G162" s="17">
        <f ca="1">IFERROR(__xludf.DUMMYFUNCTION("""COMPUTED_VALUE"""),172.66)</f>
        <v>172.66</v>
      </c>
    </row>
    <row r="163" spans="1:7" ht="28.5" customHeight="1" x14ac:dyDescent="0.15">
      <c r="A163" s="14" t="str">
        <f ca="1">IFERROR(__xludf.DUMMYFUNCTION("""COMPUTED_VALUE"""),"MEDICUBE")</f>
        <v>MEDICUBE</v>
      </c>
      <c r="B163" s="14" t="str">
        <f ca="1">IFERROR(__xludf.DUMMYFUNCTION("""COMPUTED_VALUE"""),"Крем для век")</f>
        <v>Крем для век</v>
      </c>
      <c r="C163" s="14" t="str">
        <f ca="1">IFERROR(__xludf.DUMMYFUNCTION("""COMPUTED_VALUE"""),"КРЕМ ДЛЯ ГЛАЗ - MEDICUBE DEEP LIFTING PEPTIDE EYE CREAM")</f>
        <v>КРЕМ ДЛЯ ГЛАЗ - MEDICUBE DEEP LIFTING PEPTIDE EYE CREAM</v>
      </c>
      <c r="D163" s="15" t="str">
        <f ca="1">IFERROR(__xludf.DUMMYFUNCTION("""COMPUTED_VALUE"""),"8800240579838")</f>
        <v>8800240579838</v>
      </c>
      <c r="E163" s="16" t="str">
        <f ca="1">IFERROR(__xludf.DUMMYFUNCTION("""COMPUTED_VALUE"""),"30мл")</f>
        <v>30мл</v>
      </c>
      <c r="F163" s="16">
        <f ca="1">IFERROR(__xludf.DUMMYFUNCTION("""COMPUTED_VALUE"""),1)</f>
        <v>1</v>
      </c>
      <c r="G163" s="17">
        <f ca="1">IFERROR(__xludf.DUMMYFUNCTION("""COMPUTED_VALUE"""),12.73)</f>
        <v>12.73</v>
      </c>
    </row>
    <row r="164" spans="1:7" ht="28.5" customHeight="1" x14ac:dyDescent="0.15">
      <c r="A164" s="14" t="str">
        <f ca="1">IFERROR(__xludf.DUMMYFUNCTION("""COMPUTED_VALUE"""),"MEDICUBE")</f>
        <v>MEDICUBE</v>
      </c>
      <c r="B164" s="14" t="str">
        <f ca="1">IFERROR(__xludf.DUMMYFUNCTION("""COMPUTED_VALUE"""),"Крем для век")</f>
        <v>Крем для век</v>
      </c>
      <c r="C164" s="14" t="str">
        <f ca="1">IFERROR(__xludf.DUMMYFUNCTION("""COMPUTED_VALUE"""),"КРЕМ ДЛЯ ГЛАЗ - MEDICUBE PDRN PINK PEPTIDE EYE CREAM")</f>
        <v>КРЕМ ДЛЯ ГЛАЗ - MEDICUBE PDRN PINK PEPTIDE EYE CREAM</v>
      </c>
      <c r="D164" s="15" t="str">
        <f ca="1">IFERROR(__xludf.DUMMYFUNCTION("""COMPUTED_VALUE"""),"8800256119042")</f>
        <v>8800256119042</v>
      </c>
      <c r="E164" s="16" t="str">
        <f ca="1">IFERROR(__xludf.DUMMYFUNCTION("""COMPUTED_VALUE"""),"30мл")</f>
        <v>30мл</v>
      </c>
      <c r="F164" s="16">
        <f ca="1">IFERROR(__xludf.DUMMYFUNCTION("""COMPUTED_VALUE"""),20)</f>
        <v>20</v>
      </c>
      <c r="G164" s="17">
        <f ca="1">IFERROR(__xludf.DUMMYFUNCTION("""COMPUTED_VALUE"""),8.94)</f>
        <v>8.94</v>
      </c>
    </row>
    <row r="165" spans="1:7" ht="28.5" customHeight="1" x14ac:dyDescent="0.15">
      <c r="A165" s="14" t="str">
        <f ca="1">IFERROR(__xludf.DUMMYFUNCTION("""COMPUTED_VALUE"""),"MEDICUBE")</f>
        <v>MEDICUBE</v>
      </c>
      <c r="B165" s="14" t="str">
        <f ca="1">IFERROR(__xludf.DUMMYFUNCTION("""COMPUTED_VALUE"""),"Крем")</f>
        <v>Крем</v>
      </c>
      <c r="C165" s="14" t="str">
        <f ca="1">IFERROR(__xludf.DUMMYFUNCTION("""COMPUTED_VALUE"""),"КРЕМ ДЛЯ ЛИЦА - MEDICUBE COLLAGEN FIRMING SUNCREAM")</f>
        <v>КРЕМ ДЛЯ ЛИЦА - MEDICUBE COLLAGEN FIRMING SUNCREAM</v>
      </c>
      <c r="D165" s="15" t="str">
        <f ca="1">IFERROR(__xludf.DUMMYFUNCTION("""COMPUTED_VALUE"""),"8800240576608")</f>
        <v>8800240576608</v>
      </c>
      <c r="E165" s="16" t="str">
        <f ca="1">IFERROR(__xludf.DUMMYFUNCTION("""COMPUTED_VALUE"""),"50мл")</f>
        <v>50мл</v>
      </c>
      <c r="F165" s="16">
        <f ca="1">IFERROR(__xludf.DUMMYFUNCTION("""COMPUTED_VALUE"""),475)</f>
        <v>475</v>
      </c>
      <c r="G165" s="17">
        <f ca="1">IFERROR(__xludf.DUMMYFUNCTION("""COMPUTED_VALUE"""),10.93)</f>
        <v>10.93</v>
      </c>
    </row>
    <row r="166" spans="1:7" ht="28.5" customHeight="1" x14ac:dyDescent="0.15">
      <c r="A166" s="14" t="str">
        <f ca="1">IFERROR(__xludf.DUMMYFUNCTION("""COMPUTED_VALUE"""),"MEDICUBE")</f>
        <v>MEDICUBE</v>
      </c>
      <c r="B166" s="14" t="str">
        <f ca="1">IFERROR(__xludf.DUMMYFUNCTION("""COMPUTED_VALUE"""),"Крем")</f>
        <v>Крем</v>
      </c>
      <c r="C166" s="14" t="str">
        <f ca="1">IFERROR(__xludf.DUMMYFUNCTION("""COMPUTED_VALUE"""),"КРЕМ ДЛЯ ЛИЦА - MEDICUBE COLLAGEN JELLY CREAM")</f>
        <v>КРЕМ ДЛЯ ЛИЦА - MEDICUBE COLLAGEN JELLY CREAM</v>
      </c>
      <c r="D166" s="15" t="str">
        <f ca="1">IFERROR(__xludf.DUMMYFUNCTION("""COMPUTED_VALUE"""),"8809982769903")</f>
        <v>8809982769903</v>
      </c>
      <c r="E166" s="16" t="str">
        <f ca="1">IFERROR(__xludf.DUMMYFUNCTION("""COMPUTED_VALUE"""),"110мл")</f>
        <v>110мл</v>
      </c>
      <c r="F166" s="16">
        <f ca="1">IFERROR(__xludf.DUMMYFUNCTION("""COMPUTED_VALUE"""),40)</f>
        <v>40</v>
      </c>
      <c r="G166" s="17">
        <f ca="1">IFERROR(__xludf.DUMMYFUNCTION("""COMPUTED_VALUE"""),11.18)</f>
        <v>11.18</v>
      </c>
    </row>
    <row r="167" spans="1:7" ht="28.5" customHeight="1" x14ac:dyDescent="0.15">
      <c r="A167" s="14" t="str">
        <f ca="1">IFERROR(__xludf.DUMMYFUNCTION("""COMPUTED_VALUE"""),"MEDICUBE")</f>
        <v>MEDICUBE</v>
      </c>
      <c r="B167" s="14" t="str">
        <f ca="1">IFERROR(__xludf.DUMMYFUNCTION("""COMPUTED_VALUE"""),"Крем")</f>
        <v>Крем</v>
      </c>
      <c r="C167" s="14" t="str">
        <f ca="1">IFERROR(__xludf.DUMMYFUNCTION("""COMPUTED_VALUE"""),"КРЕМ ДЛЯ ЛИЦА - MEDICUBE COLLAGEN JELLY CREAM")</f>
        <v>КРЕМ ДЛЯ ЛИЦА - MEDICUBE COLLAGEN JELLY CREAM</v>
      </c>
      <c r="D167" s="15" t="str">
        <f ca="1">IFERROR(__xludf.DUMMYFUNCTION("""COMPUTED_VALUE"""),"8800256112227")</f>
        <v>8800256112227</v>
      </c>
      <c r="E167" s="16" t="str">
        <f ca="1">IFERROR(__xludf.DUMMYFUNCTION("""COMPUTED_VALUE"""),"50мл")</f>
        <v>50мл</v>
      </c>
      <c r="F167" s="16">
        <f ca="1">IFERROR(__xludf.DUMMYFUNCTION("""COMPUTED_VALUE"""),50)</f>
        <v>50</v>
      </c>
      <c r="G167" s="17">
        <f ca="1">IFERROR(__xludf.DUMMYFUNCTION("""COMPUTED_VALUE"""),9.14)</f>
        <v>9.14</v>
      </c>
    </row>
    <row r="168" spans="1:7" ht="28.5" customHeight="1" x14ac:dyDescent="0.15">
      <c r="A168" s="14" t="str">
        <f ca="1">IFERROR(__xludf.DUMMYFUNCTION("""COMPUTED_VALUE"""),"MEDICUBE")</f>
        <v>MEDICUBE</v>
      </c>
      <c r="B168" s="14" t="str">
        <f ca="1">IFERROR(__xludf.DUMMYFUNCTION("""COMPUTED_VALUE"""),"Крем")</f>
        <v>Крем</v>
      </c>
      <c r="C168" s="14" t="str">
        <f ca="1">IFERROR(__xludf.DUMMYFUNCTION("""COMPUTED_VALUE"""),"КРЕМ ДЛЯ ЛИЦА - MEDICUBE DEEP VITA C CAPSULE CREAM")</f>
        <v>КРЕМ ДЛЯ ЛИЦА - MEDICUBE DEEP VITA C CAPSULE CREAM</v>
      </c>
      <c r="D168" s="15" t="str">
        <f ca="1">IFERROR(__xludf.DUMMYFUNCTION("""COMPUTED_VALUE"""),"8809982769866")</f>
        <v>8809982769866</v>
      </c>
      <c r="E168" s="16" t="str">
        <f ca="1">IFERROR(__xludf.DUMMYFUNCTION("""COMPUTED_VALUE"""),"55г")</f>
        <v>55г</v>
      </c>
      <c r="F168" s="16">
        <f ca="1">IFERROR(__xludf.DUMMYFUNCTION("""COMPUTED_VALUE"""),66)</f>
        <v>66</v>
      </c>
      <c r="G168" s="17">
        <f ca="1">IFERROR(__xludf.DUMMYFUNCTION("""COMPUTED_VALUE"""),11.78)</f>
        <v>11.78</v>
      </c>
    </row>
    <row r="169" spans="1:7" ht="28.5" customHeight="1" x14ac:dyDescent="0.15">
      <c r="A169" s="14" t="str">
        <f ca="1">IFERROR(__xludf.DUMMYFUNCTION("""COMPUTED_VALUE"""),"MEDICUBE")</f>
        <v>MEDICUBE</v>
      </c>
      <c r="B169" s="14" t="str">
        <f ca="1">IFERROR(__xludf.DUMMYFUNCTION("""COMPUTED_VALUE"""),"Крем")</f>
        <v>Крем</v>
      </c>
      <c r="C169" s="14" t="str">
        <f ca="1">IFERROR(__xludf.DUMMYFUNCTION("""COMPUTED_VALUE"""),"КРЕМ ДЛЯ ЛИЦА - MEDICUBE HYALURONIC CERAMIDE JELLY CREAM")</f>
        <v>КРЕМ ДЛЯ ЛИЦА - MEDICUBE HYALURONIC CERAMIDE JELLY CREAM</v>
      </c>
      <c r="D169" s="15" t="str">
        <f ca="1">IFERROR(__xludf.DUMMYFUNCTION("""COMPUTED_VALUE"""),"8800289477423")</f>
        <v>8800289477423</v>
      </c>
      <c r="E169" s="16" t="str">
        <f ca="1">IFERROR(__xludf.DUMMYFUNCTION("""COMPUTED_VALUE"""),"50мл")</f>
        <v>50мл</v>
      </c>
      <c r="F169" s="16">
        <f ca="1">IFERROR(__xludf.DUMMYFUNCTION("""COMPUTED_VALUE"""),93)</f>
        <v>93</v>
      </c>
      <c r="G169" s="17">
        <f ca="1">IFERROR(__xludf.DUMMYFUNCTION("""COMPUTED_VALUE"""),9.14)</f>
        <v>9.14</v>
      </c>
    </row>
    <row r="170" spans="1:7" ht="28.5" customHeight="1" x14ac:dyDescent="0.15">
      <c r="A170" s="14" t="str">
        <f ca="1">IFERROR(__xludf.DUMMYFUNCTION("""COMPUTED_VALUE"""),"MEDICUBE")</f>
        <v>MEDICUBE</v>
      </c>
      <c r="B170" s="14" t="str">
        <f ca="1">IFERROR(__xludf.DUMMYFUNCTION("""COMPUTED_VALUE"""),"Крем")</f>
        <v>Крем</v>
      </c>
      <c r="C170" s="14" t="str">
        <f ca="1">IFERROR(__xludf.DUMMYFUNCTION("""COMPUTED_VALUE"""),"КРЕМ ДЛЯ ЛИЦА - MEDICUBE KOJIC ACID TURMERIC VITA CAPSULE CREAM")</f>
        <v>КРЕМ ДЛЯ ЛИЦА - MEDICUBE KOJIC ACID TURMERIC VITA CAPSULE CREAM</v>
      </c>
      <c r="D170" s="15" t="str">
        <f ca="1">IFERROR(__xludf.DUMMYFUNCTION("""COMPUTED_VALUE"""),"8800289479588")</f>
        <v>8800289479588</v>
      </c>
      <c r="E170" s="16" t="str">
        <f ca="1">IFERROR(__xludf.DUMMYFUNCTION("""COMPUTED_VALUE"""),"53г")</f>
        <v>53г</v>
      </c>
      <c r="F170" s="16">
        <f ca="1">IFERROR(__xludf.DUMMYFUNCTION("""COMPUTED_VALUE"""),80)</f>
        <v>80</v>
      </c>
      <c r="G170" s="17">
        <f ca="1">IFERROR(__xludf.DUMMYFUNCTION("""COMPUTED_VALUE"""),12.19)</f>
        <v>12.19</v>
      </c>
    </row>
    <row r="171" spans="1:7" ht="28.5" customHeight="1" x14ac:dyDescent="0.15">
      <c r="A171" s="14" t="str">
        <f ca="1">IFERROR(__xludf.DUMMYFUNCTION("""COMPUTED_VALUE"""),"MEDICUBE")</f>
        <v>MEDICUBE</v>
      </c>
      <c r="B171" s="14" t="str">
        <f ca="1">IFERROR(__xludf.DUMMYFUNCTION("""COMPUTED_VALUE"""),"Крем")</f>
        <v>Крем</v>
      </c>
      <c r="C171" s="14" t="str">
        <f ca="1">IFERROR(__xludf.DUMMYFUNCTION("""COMPUTED_VALUE"""),"КРЕМ ДЛЯ ЛИЦА - MEDICUBE PDRN PINK COLLAGEN CAPSULE CREAM")</f>
        <v>КРЕМ ДЛЯ ЛИЦА - MEDICUBE PDRN PINK COLLAGEN CAPSULE CREAM</v>
      </c>
      <c r="D171" s="15" t="str">
        <f ca="1">IFERROR(__xludf.DUMMYFUNCTION("""COMPUTED_VALUE"""),"8800289467714")</f>
        <v>8800289467714</v>
      </c>
      <c r="E171" s="16" t="str">
        <f ca="1">IFERROR(__xludf.DUMMYFUNCTION("""COMPUTED_VALUE"""),"55г")</f>
        <v>55г</v>
      </c>
      <c r="F171" s="16">
        <f ca="1">IFERROR(__xludf.DUMMYFUNCTION("""COMPUTED_VALUE"""),593)</f>
        <v>593</v>
      </c>
      <c r="G171" s="17">
        <f ca="1">IFERROR(__xludf.DUMMYFUNCTION("""COMPUTED_VALUE"""),12.31)</f>
        <v>12.31</v>
      </c>
    </row>
    <row r="172" spans="1:7" ht="28.5" customHeight="1" x14ac:dyDescent="0.15">
      <c r="A172" s="14" t="str">
        <f ca="1">IFERROR(__xludf.DUMMYFUNCTION("""COMPUTED_VALUE"""),"MEDICUBE")</f>
        <v>MEDICUBE</v>
      </c>
      <c r="B172" s="14" t="str">
        <f ca="1">IFERROR(__xludf.DUMMYFUNCTION("""COMPUTED_VALUE"""),"Крем")</f>
        <v>Крем</v>
      </c>
      <c r="C172" s="14" t="str">
        <f ca="1">IFERROR(__xludf.DUMMYFUNCTION("""COMPUTED_VALUE"""),"КРЕМ ДЛЯ ЛИЦА - MEDICUBE PDRN PINK HYALURONIC MOISTURIZING CREAM")</f>
        <v>КРЕМ ДЛЯ ЛИЦА - MEDICUBE PDRN PINK HYALURONIC MOISTURIZING CREAM</v>
      </c>
      <c r="D172" s="15" t="str">
        <f ca="1">IFERROR(__xludf.DUMMYFUNCTION("""COMPUTED_VALUE"""),"8800256113101")</f>
        <v>8800256113101</v>
      </c>
      <c r="E172" s="16" t="str">
        <f ca="1">IFERROR(__xludf.DUMMYFUNCTION("""COMPUTED_VALUE"""),"50мл")</f>
        <v>50мл</v>
      </c>
      <c r="F172" s="16">
        <f ca="1">IFERROR(__xludf.DUMMYFUNCTION("""COMPUTED_VALUE"""),50)</f>
        <v>50</v>
      </c>
      <c r="G172" s="17">
        <f ca="1">IFERROR(__xludf.DUMMYFUNCTION("""COMPUTED_VALUE"""),8.41)</f>
        <v>8.41</v>
      </c>
    </row>
    <row r="173" spans="1:7" ht="28.5" customHeight="1" x14ac:dyDescent="0.15">
      <c r="A173" s="14" t="str">
        <f ca="1">IFERROR(__xludf.DUMMYFUNCTION("""COMPUTED_VALUE"""),"MEDICUBE")</f>
        <v>MEDICUBE</v>
      </c>
      <c r="B173" s="14" t="str">
        <f ca="1">IFERROR(__xludf.DUMMYFUNCTION("""COMPUTED_VALUE"""),"Крем")</f>
        <v>Крем</v>
      </c>
      <c r="C173" s="14" t="str">
        <f ca="1">IFERROR(__xludf.DUMMYFUNCTION("""COMPUTED_VALUE"""),"КРЕМ ДЛЯ ЛИЦА - MEDICUBE ZERO PORE CREAM 2.0")</f>
        <v>КРЕМ ДЛЯ ЛИЦА - MEDICUBE ZERO PORE CREAM 2.0</v>
      </c>
      <c r="D173" s="15" t="str">
        <f ca="1">IFERROR(__xludf.DUMMYFUNCTION("""COMPUTED_VALUE"""),"8800240567330")</f>
        <v>8800240567330</v>
      </c>
      <c r="E173" s="16" t="str">
        <f ca="1">IFERROR(__xludf.DUMMYFUNCTION("""COMPUTED_VALUE"""),"50мл")</f>
        <v>50мл</v>
      </c>
      <c r="F173" s="16">
        <f ca="1">IFERROR(__xludf.DUMMYFUNCTION("""COMPUTED_VALUE"""),48)</f>
        <v>48</v>
      </c>
      <c r="G173" s="17">
        <f ca="1">IFERROR(__xludf.DUMMYFUNCTION("""COMPUTED_VALUE"""),9.14)</f>
        <v>9.14</v>
      </c>
    </row>
    <row r="174" spans="1:7" ht="28.5" customHeight="1" x14ac:dyDescent="0.15">
      <c r="A174" s="14" t="str">
        <f ca="1">IFERROR(__xludf.DUMMYFUNCTION("""COMPUTED_VALUE"""),"MEDICUBE")</f>
        <v>MEDICUBE</v>
      </c>
      <c r="B174" s="14" t="str">
        <f ca="1">IFERROR(__xludf.DUMMYFUNCTION("""COMPUTED_VALUE"""),"Маска")</f>
        <v>Маска</v>
      </c>
      <c r="C174" s="14" t="str">
        <f ca="1">IFERROR(__xludf.DUMMYFUNCTION("""COMPUTED_VALUE"""),"МАСКА ДЛЯ ЛИЦА - MEDICUBE COLLAGEN LIFTING MASK")</f>
        <v>МАСКА ДЛЯ ЛИЦА - MEDICUBE COLLAGEN LIFTING MASK</v>
      </c>
      <c r="D174" s="15" t="str">
        <f ca="1">IFERROR(__xludf.DUMMYFUNCTION("""COMPUTED_VALUE"""),"8809517411741")</f>
        <v>8809517411741</v>
      </c>
      <c r="E174" s="16" t="str">
        <f ca="1">IFERROR(__xludf.DUMMYFUNCTION("""COMPUTED_VALUE"""),"27г")</f>
        <v>27г</v>
      </c>
      <c r="F174" s="16">
        <f ca="1">IFERROR(__xludf.DUMMYFUNCTION("""COMPUTED_VALUE"""),18)</f>
        <v>18</v>
      </c>
      <c r="G174" s="17">
        <f ca="1">IFERROR(__xludf.DUMMYFUNCTION("""COMPUTED_VALUE"""),2.18)</f>
        <v>2.1800000000000002</v>
      </c>
    </row>
    <row r="175" spans="1:7" ht="28.5" customHeight="1" x14ac:dyDescent="0.15">
      <c r="A175" s="14" t="str">
        <f ca="1">IFERROR(__xludf.DUMMYFUNCTION("""COMPUTED_VALUE"""),"MEDICUBE")</f>
        <v>MEDICUBE</v>
      </c>
      <c r="B175" s="14" t="str">
        <f ca="1">IFERROR(__xludf.DUMMYFUNCTION("""COMPUTED_VALUE"""),"Маска")</f>
        <v>Маска</v>
      </c>
      <c r="C175" s="14" t="str">
        <f ca="1">IFERROR(__xludf.DUMMYFUNCTION("""COMPUTED_VALUE"""),"МАСКА ДЛЯ ЛИЦА - MEDICUBE DEEP PEPTIDE RADIANCE MASK")</f>
        <v>МАСКА ДЛЯ ЛИЦА - MEDICUBE DEEP PEPTIDE RADIANCE MASK</v>
      </c>
      <c r="D175" s="15" t="str">
        <f ca="1">IFERROR(__xludf.DUMMYFUNCTION("""COMPUTED_VALUE"""),"8800240576585")</f>
        <v>8800240576585</v>
      </c>
      <c r="E175" s="16" t="str">
        <f ca="1">IFERROR(__xludf.DUMMYFUNCTION("""COMPUTED_VALUE"""),"27мл")</f>
        <v>27мл</v>
      </c>
      <c r="F175" s="16">
        <f ca="1">IFERROR(__xludf.DUMMYFUNCTION("""COMPUTED_VALUE"""),30)</f>
        <v>30</v>
      </c>
      <c r="G175" s="17">
        <f ca="1">IFERROR(__xludf.DUMMYFUNCTION("""COMPUTED_VALUE"""),2.07)</f>
        <v>2.0699999999999998</v>
      </c>
    </row>
    <row r="176" spans="1:7" ht="28.5" customHeight="1" x14ac:dyDescent="0.15">
      <c r="A176" s="14" t="str">
        <f ca="1">IFERROR(__xludf.DUMMYFUNCTION("""COMPUTED_VALUE"""),"MEDICUBE")</f>
        <v>MEDICUBE</v>
      </c>
      <c r="B176" s="14" t="str">
        <f ca="1">IFERROR(__xludf.DUMMYFUNCTION("""COMPUTED_VALUE"""),"Маска")</f>
        <v>Маска</v>
      </c>
      <c r="C176" s="14" t="str">
        <f ca="1">IFERROR(__xludf.DUMMYFUNCTION("""COMPUTED_VALUE"""),"МАСКА ДЛЯ ЛИЦА - MEDICUBE PDRN COLLAGEN GEL MASK")</f>
        <v>МАСКА ДЛЯ ЛИЦА - MEDICUBE PDRN COLLAGEN GEL MASK</v>
      </c>
      <c r="D176" s="15" t="str">
        <f ca="1">IFERROR(__xludf.DUMMYFUNCTION("""COMPUTED_VALUE"""),"8800256114399")</f>
        <v>8800256114399</v>
      </c>
      <c r="E176" s="16" t="str">
        <f ca="1">IFERROR(__xludf.DUMMYFUNCTION("""COMPUTED_VALUE"""),"1уп (28г*4шт)")</f>
        <v>1уп (28г*4шт)</v>
      </c>
      <c r="F176" s="16">
        <f ca="1">IFERROR(__xludf.DUMMYFUNCTION("""COMPUTED_VALUE"""),88)</f>
        <v>88</v>
      </c>
      <c r="G176" s="17">
        <f ca="1">IFERROR(__xludf.DUMMYFUNCTION("""COMPUTED_VALUE"""),8.34)</f>
        <v>8.34</v>
      </c>
    </row>
    <row r="177" spans="1:7" ht="28.5" customHeight="1" x14ac:dyDescent="0.15">
      <c r="A177" s="14" t="str">
        <f ca="1">IFERROR(__xludf.DUMMYFUNCTION("""COMPUTED_VALUE"""),"MEDICUBE")</f>
        <v>MEDICUBE</v>
      </c>
      <c r="B177" s="14" t="str">
        <f ca="1">IFERROR(__xludf.DUMMYFUNCTION("""COMPUTED_VALUE"""),"Маска")</f>
        <v>Маска</v>
      </c>
      <c r="C177" s="14" t="str">
        <f ca="1">IFERROR(__xludf.DUMMYFUNCTION("""COMPUTED_VALUE"""),"МАСКА ДЛЯ ЛИЦА - MEDICUBE PDRN LIP SLEEPING MASK")</f>
        <v>МАСКА ДЛЯ ЛИЦА - MEDICUBE PDRN LIP SLEEPING MASK</v>
      </c>
      <c r="D177" s="15" t="str">
        <f ca="1">IFERROR(__xludf.DUMMYFUNCTION("""COMPUTED_VALUE"""),"8800289470455")</f>
        <v>8800289470455</v>
      </c>
      <c r="E177" s="16" t="str">
        <f ca="1">IFERROR(__xludf.DUMMYFUNCTION("""COMPUTED_VALUE"""),"10г")</f>
        <v>10г</v>
      </c>
      <c r="F177" s="16">
        <f ca="1">IFERROR(__xludf.DUMMYFUNCTION("""COMPUTED_VALUE"""),83)</f>
        <v>83</v>
      </c>
      <c r="G177" s="17">
        <f ca="1">IFERROR(__xludf.DUMMYFUNCTION("""COMPUTED_VALUE"""),7.72)</f>
        <v>7.72</v>
      </c>
    </row>
    <row r="178" spans="1:7" ht="28.5" customHeight="1" x14ac:dyDescent="0.15">
      <c r="A178" s="14" t="str">
        <f ca="1">IFERROR(__xludf.DUMMYFUNCTION("""COMPUTED_VALUE"""),"MEDICUBE")</f>
        <v>MEDICUBE</v>
      </c>
      <c r="B178" s="14" t="str">
        <f ca="1">IFERROR(__xludf.DUMMYFUNCTION("""COMPUTED_VALUE"""),"Мист")</f>
        <v>Мист</v>
      </c>
      <c r="C178" s="14" t="str">
        <f ca="1">IFERROR(__xludf.DUMMYFUNCTION("""COMPUTED_VALUE"""),"МИСТ ДЛЯ ЛИЦА - MEDICUBE KOJIC ACID TURMERIC VITA JELLY MIST SERUM")</f>
        <v>МИСТ ДЛЯ ЛИЦА - MEDICUBE KOJIC ACID TURMERIC VITA JELLY MIST SERUM</v>
      </c>
      <c r="D178" s="15" t="str">
        <f ca="1">IFERROR(__xludf.DUMMYFUNCTION("""COMPUTED_VALUE"""),"8800289479458")</f>
        <v>8800289479458</v>
      </c>
      <c r="E178" s="16" t="str">
        <f ca="1">IFERROR(__xludf.DUMMYFUNCTION("""COMPUTED_VALUE"""),"100мл")</f>
        <v>100мл</v>
      </c>
      <c r="F178" s="16">
        <f ca="1">IFERROR(__xludf.DUMMYFUNCTION("""COMPUTED_VALUE"""),82)</f>
        <v>82</v>
      </c>
      <c r="G178" s="17">
        <f ca="1">IFERROR(__xludf.DUMMYFUNCTION("""COMPUTED_VALUE"""),11.78)</f>
        <v>11.78</v>
      </c>
    </row>
    <row r="179" spans="1:7" ht="28.5" customHeight="1" x14ac:dyDescent="0.15">
      <c r="A179" s="14" t="str">
        <f ca="1">IFERROR(__xludf.DUMMYFUNCTION("""COMPUTED_VALUE"""),"MEDICUBE")</f>
        <v>MEDICUBE</v>
      </c>
      <c r="B179" s="14" t="str">
        <f ca="1">IFERROR(__xludf.DUMMYFUNCTION("""COMPUTED_VALUE"""),"Мист")</f>
        <v>Мист</v>
      </c>
      <c r="C179" s="14" t="str">
        <f ca="1">IFERROR(__xludf.DUMMYFUNCTION("""COMPUTED_VALUE"""),"МИСТ ДЛЯ ЛИЦА - MEDICUBE PDRN PINK GLUTATHIONE SERUM MIST")</f>
        <v>МИСТ ДЛЯ ЛИЦА - MEDICUBE PDRN PINK GLUTATHIONE SERUM MIST</v>
      </c>
      <c r="D179" s="15" t="str">
        <f ca="1">IFERROR(__xludf.DUMMYFUNCTION("""COMPUTED_VALUE"""),"8800256112432")</f>
        <v>8800256112432</v>
      </c>
      <c r="E179" s="16" t="str">
        <f ca="1">IFERROR(__xludf.DUMMYFUNCTION("""COMPUTED_VALUE"""),"100мл")</f>
        <v>100мл</v>
      </c>
      <c r="F179" s="16">
        <f ca="1">IFERROR(__xludf.DUMMYFUNCTION("""COMPUTED_VALUE"""),153)</f>
        <v>153</v>
      </c>
      <c r="G179" s="17">
        <f ca="1">IFERROR(__xludf.DUMMYFUNCTION("""COMPUTED_VALUE"""),11.18)</f>
        <v>11.18</v>
      </c>
    </row>
    <row r="180" spans="1:7" ht="28.5" customHeight="1" x14ac:dyDescent="0.15">
      <c r="A180" s="14" t="str">
        <f ca="1">IFERROR(__xludf.DUMMYFUNCTION("""COMPUTED_VALUE"""),"MEDICUBE")</f>
        <v>MEDICUBE</v>
      </c>
      <c r="B180" s="14" t="str">
        <f ca="1">IFERROR(__xludf.DUMMYFUNCTION("""COMPUTED_VALUE"""),"Пенка")</f>
        <v>Пенка</v>
      </c>
      <c r="C180" s="14" t="str">
        <f ca="1">IFERROR(__xludf.DUMMYFUNCTION("""COMPUTED_VALUE"""),"ОЧИЩАЮЩАЯ ПЕНКА ДЛЯ ЛИЦА - MEDICUBE AZELAIC ACID NIACINAMIDE DEEP CLEAN FOAM CLEANSER")</f>
        <v>ОЧИЩАЮЩАЯ ПЕНКА ДЛЯ ЛИЦА - MEDICUBE AZELAIC ACID NIACINAMIDE DEEP CLEAN FOAM CLEANSER</v>
      </c>
      <c r="D180" s="15" t="str">
        <f ca="1">IFERROR(__xludf.DUMMYFUNCTION("""COMPUTED_VALUE"""),"8800289473395")</f>
        <v>8800289473395</v>
      </c>
      <c r="E180" s="16" t="str">
        <f ca="1">IFERROR(__xludf.DUMMYFUNCTION("""COMPUTED_VALUE"""),"120г")</f>
        <v>120г</v>
      </c>
      <c r="F180" s="16">
        <f ca="1">IFERROR(__xludf.DUMMYFUNCTION("""COMPUTED_VALUE"""),89)</f>
        <v>89</v>
      </c>
      <c r="G180" s="17">
        <f ca="1">IFERROR(__xludf.DUMMYFUNCTION("""COMPUTED_VALUE"""),7.69)</f>
        <v>7.69</v>
      </c>
    </row>
    <row r="181" spans="1:7" ht="28.5" customHeight="1" x14ac:dyDescent="0.15">
      <c r="A181" s="14" t="str">
        <f ca="1">IFERROR(__xludf.DUMMYFUNCTION("""COMPUTED_VALUE"""),"MEDICUBE")</f>
        <v>MEDICUBE</v>
      </c>
      <c r="B181" s="14" t="str">
        <f ca="1">IFERROR(__xludf.DUMMYFUNCTION("""COMPUTED_VALUE"""),"Масло гидрофильное")</f>
        <v>Масло гидрофильное</v>
      </c>
      <c r="C181" s="14" t="str">
        <f ca="1">IFERROR(__xludf.DUMMYFUNCTION("""COMPUTED_VALUE"""),"ОЧИЩАЮЩЕЕ МАСЛО ДЛЯ ЛИЦА - MEDICUBE ZERO PORE BLACKHEAD DEEP CLEANSING OIL")</f>
        <v>ОЧИЩАЮЩЕЕ МАСЛО ДЛЯ ЛИЦА - MEDICUBE ZERO PORE BLACKHEAD DEEP CLEANSING OIL</v>
      </c>
      <c r="D181" s="15" t="str">
        <f ca="1">IFERROR(__xludf.DUMMYFUNCTION("""COMPUTED_VALUE"""),"8800256114610")</f>
        <v>8800256114610</v>
      </c>
      <c r="E181" s="16" t="str">
        <f ca="1">IFERROR(__xludf.DUMMYFUNCTION("""COMPUTED_VALUE"""),"205мл")</f>
        <v>205мл</v>
      </c>
      <c r="F181" s="16">
        <f ca="1">IFERROR(__xludf.DUMMYFUNCTION("""COMPUTED_VALUE"""),35)</f>
        <v>35</v>
      </c>
      <c r="G181" s="17">
        <f ca="1">IFERROR(__xludf.DUMMYFUNCTION("""COMPUTED_VALUE"""),8.65)</f>
        <v>8.65</v>
      </c>
    </row>
    <row r="182" spans="1:7" ht="28.5" customHeight="1" x14ac:dyDescent="0.15">
      <c r="A182" s="14" t="str">
        <f ca="1">IFERROR(__xludf.DUMMYFUNCTION("""COMPUTED_VALUE"""),"MEDICUBE")</f>
        <v>MEDICUBE</v>
      </c>
      <c r="B182" s="14" t="str">
        <f ca="1">IFERROR(__xludf.DUMMYFUNCTION("""COMPUTED_VALUE"""),"Бальзам для умывания")</f>
        <v>Бальзам для умывания</v>
      </c>
      <c r="C182" s="14" t="str">
        <f ca="1">IFERROR(__xludf.DUMMYFUNCTION("""COMPUTED_VALUE"""),"ОЧИЩАЮЩИЙ ЩЕРБЕТ ДЛЯ ЛИЦА - MEDICUBE SUPER CICA DEEP CLEANSING BALM")</f>
        <v>ОЧИЩАЮЩИЙ ЩЕРБЕТ ДЛЯ ЛИЦА - MEDICUBE SUPER CICA DEEP CLEANSING BALM</v>
      </c>
      <c r="D182" s="15" t="str">
        <f ca="1">IFERROR(__xludf.DUMMYFUNCTION("""COMPUTED_VALUE"""),"8800240567347")</f>
        <v>8800240567347</v>
      </c>
      <c r="E182" s="16" t="str">
        <f ca="1">IFERROR(__xludf.DUMMYFUNCTION("""COMPUTED_VALUE"""),"100мл")</f>
        <v>100мл</v>
      </c>
      <c r="F182" s="16">
        <f ca="1">IFERROR(__xludf.DUMMYFUNCTION("""COMPUTED_VALUE"""),102)</f>
        <v>102</v>
      </c>
      <c r="G182" s="17">
        <f ca="1">IFERROR(__xludf.DUMMYFUNCTION("""COMPUTED_VALUE"""),14.83)</f>
        <v>14.83</v>
      </c>
    </row>
    <row r="183" spans="1:7" ht="28.5" customHeight="1" x14ac:dyDescent="0.15">
      <c r="A183" s="14" t="str">
        <f ca="1">IFERROR(__xludf.DUMMYFUNCTION("""COMPUTED_VALUE"""),"MEDICUBE")</f>
        <v>MEDICUBE</v>
      </c>
      <c r="B183" s="14" t="str">
        <f ca="1">IFERROR(__xludf.DUMMYFUNCTION("""COMPUTED_VALUE"""),"Патчи")</f>
        <v>Патчи</v>
      </c>
      <c r="C183" s="14" t="str">
        <f ca="1">IFERROR(__xludf.DUMMYFUNCTION("""COMPUTED_VALUE"""),"ПАТЧИ КОСМЕТИЧЕСКИЕ - MEDICUBE PDRN PINK CAFFEINE COLLAGEN EYE PATCH")</f>
        <v>ПАТЧИ КОСМЕТИЧЕСКИЕ - MEDICUBE PDRN PINK CAFFEINE COLLAGEN EYE PATCH</v>
      </c>
      <c r="D183" s="15" t="str">
        <f ca="1">IFERROR(__xludf.DUMMYFUNCTION("""COMPUTED_VALUE"""),"8800289466441")</f>
        <v>8800289466441</v>
      </c>
      <c r="E183" s="16" t="str">
        <f ca="1">IFERROR(__xludf.DUMMYFUNCTION("""COMPUTED_VALUE"""),"85г (60шт)")</f>
        <v>85г (60шт)</v>
      </c>
      <c r="F183" s="16">
        <f ca="1">IFERROR(__xludf.DUMMYFUNCTION("""COMPUTED_VALUE"""),140)</f>
        <v>140</v>
      </c>
      <c r="G183" s="17">
        <f ca="1">IFERROR(__xludf.DUMMYFUNCTION("""COMPUTED_VALUE"""),15.24)</f>
        <v>15.24</v>
      </c>
    </row>
    <row r="184" spans="1:7" ht="28.5" customHeight="1" x14ac:dyDescent="0.15">
      <c r="A184" s="14" t="str">
        <f ca="1">IFERROR(__xludf.DUMMYFUNCTION("""COMPUTED_VALUE"""),"MEDICUBE")</f>
        <v>MEDICUBE</v>
      </c>
      <c r="B184" s="14" t="str">
        <f ca="1">IFERROR(__xludf.DUMMYFUNCTION("""COMPUTED_VALUE"""),"Пэды")</f>
        <v>Пэды</v>
      </c>
      <c r="C184" s="14" t="str">
        <f ca="1">IFERROR(__xludf.DUMMYFUNCTION("""COMPUTED_VALUE"""),"ПЭДЫ КОСМЕТИЧЕСКИЕ ДЛЯ ЛИЦА - MEDICUBE RED SUCCINIC ACID PEELING PAD")</f>
        <v>ПЭДЫ КОСМЕТИЧЕСКИЕ ДЛЯ ЛИЦА - MEDICUBE RED SUCCINIC ACID PEELING PAD</v>
      </c>
      <c r="D184" s="15" t="str">
        <f ca="1">IFERROR(__xludf.DUMMYFUNCTION("""COMPUTED_VALUE"""),"8809960356170")</f>
        <v>8809960356170</v>
      </c>
      <c r="E184" s="16" t="str">
        <f ca="1">IFERROR(__xludf.DUMMYFUNCTION("""COMPUTED_VALUE"""),"155г (70шт)")</f>
        <v>155г (70шт)</v>
      </c>
      <c r="F184" s="16">
        <f ca="1">IFERROR(__xludf.DUMMYFUNCTION("""COMPUTED_VALUE"""),254)</f>
        <v>254</v>
      </c>
      <c r="G184" s="17">
        <f ca="1">IFERROR(__xludf.DUMMYFUNCTION("""COMPUTED_VALUE"""),10.82)</f>
        <v>10.82</v>
      </c>
    </row>
    <row r="185" spans="1:7" ht="28.5" customHeight="1" x14ac:dyDescent="0.15">
      <c r="A185" s="14" t="str">
        <f ca="1">IFERROR(__xludf.DUMMYFUNCTION("""COMPUTED_VALUE"""),"MEDICUBE")</f>
        <v>MEDICUBE</v>
      </c>
      <c r="B185" s="14" t="str">
        <f ca="1">IFERROR(__xludf.DUMMYFUNCTION("""COMPUTED_VALUE"""),"Солнцезащитный крем")</f>
        <v>Солнцезащитный крем</v>
      </c>
      <c r="C185" s="14" t="str">
        <f ca="1">IFERROR(__xludf.DUMMYFUNCTION("""COMPUTED_VALUE"""),"СОЛНЦЕЗАЩИТНОЕ СРЕДСТВО - MEDICUBE PDRN PINK TONE UP SUN CREAM")</f>
        <v>СОЛНЦЕЗАЩИТНОЕ СРЕДСТВО - MEDICUBE PDRN PINK TONE UP SUN CREAM</v>
      </c>
      <c r="D185" s="15" t="str">
        <f ca="1">IFERROR(__xludf.DUMMYFUNCTION("""COMPUTED_VALUE"""),"8800256119219")</f>
        <v>8800256119219</v>
      </c>
      <c r="E185" s="16" t="str">
        <f ca="1">IFERROR(__xludf.DUMMYFUNCTION("""COMPUTED_VALUE"""),"50мл")</f>
        <v>50мл</v>
      </c>
      <c r="F185" s="16">
        <f ca="1">IFERROR(__xludf.DUMMYFUNCTION("""COMPUTED_VALUE"""),37)</f>
        <v>37</v>
      </c>
      <c r="G185" s="17">
        <f ca="1">IFERROR(__xludf.DUMMYFUNCTION("""COMPUTED_VALUE"""),9.14)</f>
        <v>9.14</v>
      </c>
    </row>
    <row r="186" spans="1:7" ht="28.5" customHeight="1" x14ac:dyDescent="0.15">
      <c r="A186" s="14" t="str">
        <f ca="1">IFERROR(__xludf.DUMMYFUNCTION("""COMPUTED_VALUE"""),"MEDICUBE")</f>
        <v>MEDICUBE</v>
      </c>
      <c r="B186" s="14" t="str">
        <f ca="1">IFERROR(__xludf.DUMMYFUNCTION("""COMPUTED_VALUE"""),"Солнцезащитный крем")</f>
        <v>Солнцезащитный крем</v>
      </c>
      <c r="C186" s="14" t="str">
        <f ca="1">IFERROR(__xludf.DUMMYFUNCTION("""COMPUTED_VALUE"""),"СОЛНЦЕЗАЩИТНОЕ СРЕДСТВО - MEDICUBE ZERO PORE HYDRATING SUN SERUM")</f>
        <v>СОЛНЦЕЗАЩИТНОЕ СРЕДСТВО - MEDICUBE ZERO PORE HYDRATING SUN SERUM</v>
      </c>
      <c r="D186" s="15" t="str">
        <f ca="1">IFERROR(__xludf.DUMMYFUNCTION("""COMPUTED_VALUE"""),"8800256119332")</f>
        <v>8800256119332</v>
      </c>
      <c r="E186" s="16" t="str">
        <f ca="1">IFERROR(__xludf.DUMMYFUNCTION("""COMPUTED_VALUE"""),"50мл")</f>
        <v>50мл</v>
      </c>
      <c r="F186" s="16">
        <f ca="1">IFERROR(__xludf.DUMMYFUNCTION("""COMPUTED_VALUE"""),64)</f>
        <v>64</v>
      </c>
      <c r="G186" s="17">
        <f ca="1">IFERROR(__xludf.DUMMYFUNCTION("""COMPUTED_VALUE"""),9.14)</f>
        <v>9.14</v>
      </c>
    </row>
    <row r="187" spans="1:7" ht="28.5" customHeight="1" x14ac:dyDescent="0.15">
      <c r="A187" s="14" t="str">
        <f ca="1">IFERROR(__xludf.DUMMYFUNCTION("""COMPUTED_VALUE"""),"MEDICUBE")</f>
        <v>MEDICUBE</v>
      </c>
      <c r="B187" s="14" t="str">
        <f ca="1">IFERROR(__xludf.DUMMYFUNCTION("""COMPUTED_VALUE"""),"Средство для умывания")</f>
        <v>Средство для умывания</v>
      </c>
      <c r="C187" s="14" t="str">
        <f ca="1">IFERROR(__xludf.DUMMYFUNCTION("""COMPUTED_VALUE"""),"СРЕДСТВО ДЛЯ УМЫВАНИЯ ЛИЦА - MEDICUBE KOJIC ACID TURMERIC TONING CLEANSER")</f>
        <v>СРЕДСТВО ДЛЯ УМЫВАНИЯ ЛИЦА - MEDICUBE KOJIC ACID TURMERIC TONING CLEANSER</v>
      </c>
      <c r="D187" s="15" t="str">
        <f ca="1">IFERROR(__xludf.DUMMYFUNCTION("""COMPUTED_VALUE"""),"8800289474958")</f>
        <v>8800289474958</v>
      </c>
      <c r="E187" s="16" t="str">
        <f ca="1">IFERROR(__xludf.DUMMYFUNCTION("""COMPUTED_VALUE"""),"120г")</f>
        <v>120г</v>
      </c>
      <c r="F187" s="16">
        <f ca="1">IFERROR(__xludf.DUMMYFUNCTION("""COMPUTED_VALUE"""),80)</f>
        <v>80</v>
      </c>
      <c r="G187" s="17">
        <f ca="1">IFERROR(__xludf.DUMMYFUNCTION("""COMPUTED_VALUE"""),9.14)</f>
        <v>9.14</v>
      </c>
    </row>
    <row r="188" spans="1:7" ht="28.5" customHeight="1" x14ac:dyDescent="0.15">
      <c r="A188" s="14" t="str">
        <f ca="1">IFERROR(__xludf.DUMMYFUNCTION("""COMPUTED_VALUE"""),"MEDICUBE")</f>
        <v>MEDICUBE</v>
      </c>
      <c r="B188" s="14" t="str">
        <f ca="1">IFERROR(__xludf.DUMMYFUNCTION("""COMPUTED_VALUE"""),"Средство для умывания")</f>
        <v>Средство для умывания</v>
      </c>
      <c r="C188" s="14" t="str">
        <f ca="1">IFERROR(__xludf.DUMMYFUNCTION("""COMPUTED_VALUE"""),"СРЕДСТВО ДЛЯ УМЫВАНИЯ ЛИЦА - MEDICUBE PDRN PINK NIACINAMIDE WHIP CLEANSER")</f>
        <v>СРЕДСТВО ДЛЯ УМЫВАНИЯ ЛИЦА - MEDICUBE PDRN PINK NIACINAMIDE WHIP CLEANSER</v>
      </c>
      <c r="D188" s="15" t="str">
        <f ca="1">IFERROR(__xludf.DUMMYFUNCTION("""COMPUTED_VALUE"""),"8800289473159")</f>
        <v>8800289473159</v>
      </c>
      <c r="E188" s="16" t="str">
        <f ca="1">IFERROR(__xludf.DUMMYFUNCTION("""COMPUTED_VALUE"""),"120г")</f>
        <v>120г</v>
      </c>
      <c r="F188" s="16">
        <f ca="1">IFERROR(__xludf.DUMMYFUNCTION("""COMPUTED_VALUE"""),151)</f>
        <v>151</v>
      </c>
      <c r="G188" s="17">
        <f ca="1">IFERROR(__xludf.DUMMYFUNCTION("""COMPUTED_VALUE"""),8.13)</f>
        <v>8.1300000000000008</v>
      </c>
    </row>
    <row r="189" spans="1:7" ht="28.5" customHeight="1" x14ac:dyDescent="0.15">
      <c r="A189" s="14" t="str">
        <f ca="1">IFERROR(__xludf.DUMMYFUNCTION("""COMPUTED_VALUE"""),"MEDICUBE")</f>
        <v>MEDICUBE</v>
      </c>
      <c r="B189" s="14" t="str">
        <f ca="1">IFERROR(__xludf.DUMMYFUNCTION("""COMPUTED_VALUE"""),"Сыворотка")</f>
        <v>Сыворотка</v>
      </c>
      <c r="C189" s="14" t="str">
        <f ca="1">IFERROR(__xludf.DUMMYFUNCTION("""COMPUTED_VALUE"""),"СЫВОРОТКА ДЛЯ ЛИЦА - MEDICUBE AZELAIC ACID 16 BB SOOTHING SERUM")</f>
        <v>СЫВОРОТКА ДЛЯ ЛИЦА - MEDICUBE AZELAIC ACID 16 BB SOOTHING SERUM</v>
      </c>
      <c r="D189" s="15" t="str">
        <f ca="1">IFERROR(__xludf.DUMMYFUNCTION("""COMPUTED_VALUE"""),"8800289479083")</f>
        <v>8800289479083</v>
      </c>
      <c r="E189" s="16" t="str">
        <f ca="1">IFERROR(__xludf.DUMMYFUNCTION("""COMPUTED_VALUE"""),"30мл")</f>
        <v>30мл</v>
      </c>
      <c r="F189" s="16">
        <f ca="1">IFERROR(__xludf.DUMMYFUNCTION("""COMPUTED_VALUE"""),57)</f>
        <v>57</v>
      </c>
      <c r="G189" s="17">
        <f ca="1">IFERROR(__xludf.DUMMYFUNCTION("""COMPUTED_VALUE"""),11.18)</f>
        <v>11.18</v>
      </c>
    </row>
    <row r="190" spans="1:7" ht="28.5" customHeight="1" x14ac:dyDescent="0.15">
      <c r="A190" s="14" t="str">
        <f ca="1">IFERROR(__xludf.DUMMYFUNCTION("""COMPUTED_VALUE"""),"MEDICUBE")</f>
        <v>MEDICUBE</v>
      </c>
      <c r="B190" s="14" t="str">
        <f ca="1">IFERROR(__xludf.DUMMYFUNCTION("""COMPUTED_VALUE"""),"Сыворотка")</f>
        <v>Сыворотка</v>
      </c>
      <c r="C190" s="14" t="str">
        <f ca="1">IFERROR(__xludf.DUMMYFUNCTION("""COMPUTED_VALUE"""),"СЫВОРОТКА ДЛЯ ЛИЦА - MEDICUBE COLLAGEN GLOW BOOSTER SERUM")</f>
        <v>СЫВОРОТКА ДЛЯ ЛИЦА - MEDICUBE COLLAGEN GLOW BOOSTER SERUM</v>
      </c>
      <c r="D190" s="15" t="str">
        <f ca="1">IFERROR(__xludf.DUMMYFUNCTION("""COMPUTED_VALUE"""),"8809981339206")</f>
        <v>8809981339206</v>
      </c>
      <c r="E190" s="16" t="str">
        <f ca="1">IFERROR(__xludf.DUMMYFUNCTION("""COMPUTED_VALUE"""),"15мл")</f>
        <v>15мл</v>
      </c>
      <c r="F190" s="16">
        <f ca="1">IFERROR(__xludf.DUMMYFUNCTION("""COMPUTED_VALUE"""),201)</f>
        <v>201</v>
      </c>
      <c r="G190" s="17">
        <f ca="1">IFERROR(__xludf.DUMMYFUNCTION("""COMPUTED_VALUE"""),10.07)</f>
        <v>10.07</v>
      </c>
    </row>
    <row r="191" spans="1:7" ht="28.5" customHeight="1" x14ac:dyDescent="0.15">
      <c r="A191" s="14" t="str">
        <f ca="1">IFERROR(__xludf.DUMMYFUNCTION("""COMPUTED_VALUE"""),"MEDICUBE")</f>
        <v>MEDICUBE</v>
      </c>
      <c r="B191" s="14" t="str">
        <f ca="1">IFERROR(__xludf.DUMMYFUNCTION("""COMPUTED_VALUE"""),"Сыворотка")</f>
        <v>Сыворотка</v>
      </c>
      <c r="C191" s="14" t="str">
        <f ca="1">IFERROR(__xludf.DUMMYFUNCTION("""COMPUTED_VALUE"""),"СЫВОРОТКА ДЛЯ ЛИЦА - MEDICUBE EGF NAD FIRMING SERUM")</f>
        <v>СЫВОРОТКА ДЛЯ ЛИЦА - MEDICUBE EGF NAD FIRMING SERUM</v>
      </c>
      <c r="D191" s="15" t="str">
        <f ca="1">IFERROR(__xludf.DUMMYFUNCTION("""COMPUTED_VALUE"""),"8800289467271")</f>
        <v>8800289467271</v>
      </c>
      <c r="E191" s="16" t="str">
        <f ca="1">IFERROR(__xludf.DUMMYFUNCTION("""COMPUTED_VALUE"""),"30мл")</f>
        <v>30мл</v>
      </c>
      <c r="F191" s="16">
        <f ca="1">IFERROR(__xludf.DUMMYFUNCTION("""COMPUTED_VALUE"""),26)</f>
        <v>26</v>
      </c>
      <c r="G191" s="17">
        <f ca="1">IFERROR(__xludf.DUMMYFUNCTION("""COMPUTED_VALUE"""),11.38)</f>
        <v>11.38</v>
      </c>
    </row>
    <row r="192" spans="1:7" ht="28.5" customHeight="1" x14ac:dyDescent="0.15">
      <c r="A192" s="14" t="str">
        <f ca="1">IFERROR(__xludf.DUMMYFUNCTION("""COMPUTED_VALUE"""),"MEDICUBE")</f>
        <v>MEDICUBE</v>
      </c>
      <c r="B192" s="14" t="str">
        <f ca="1">IFERROR(__xludf.DUMMYFUNCTION("""COMPUTED_VALUE"""),"Сыворотка")</f>
        <v>Сыворотка</v>
      </c>
      <c r="C192" s="14" t="str">
        <f ca="1">IFERROR(__xludf.DUMMYFUNCTION("""COMPUTED_VALUE"""),"СЫВОРОТКА ДЛЯ ЛИЦА - MEDICUBE GLUTATHIONE GLOW SERUM")</f>
        <v>СЫВОРОТКА ДЛЯ ЛИЦА - MEDICUBE GLUTATHIONE GLOW SERUM</v>
      </c>
      <c r="D192" s="15" t="str">
        <f ca="1">IFERROR(__xludf.DUMMYFUNCTION("""COMPUTED_VALUE"""),"8800256115174")</f>
        <v>8800256115174</v>
      </c>
      <c r="E192" s="16" t="str">
        <f ca="1">IFERROR(__xludf.DUMMYFUNCTION("""COMPUTED_VALUE"""),"30г")</f>
        <v>30г</v>
      </c>
      <c r="F192" s="16">
        <f ca="1">IFERROR(__xludf.DUMMYFUNCTION("""COMPUTED_VALUE"""),60)</f>
        <v>60</v>
      </c>
      <c r="G192" s="17">
        <f ca="1">IFERROR(__xludf.DUMMYFUNCTION("""COMPUTED_VALUE"""),9.75)</f>
        <v>9.75</v>
      </c>
    </row>
    <row r="193" spans="1:7" ht="28.5" customHeight="1" x14ac:dyDescent="0.15">
      <c r="A193" s="14" t="str">
        <f ca="1">IFERROR(__xludf.DUMMYFUNCTION("""COMPUTED_VALUE"""),"MEDICUBE")</f>
        <v>MEDICUBE</v>
      </c>
      <c r="B193" s="14" t="str">
        <f ca="1">IFERROR(__xludf.DUMMYFUNCTION("""COMPUTED_VALUE"""),"Сыворотка")</f>
        <v>Сыворотка</v>
      </c>
      <c r="C193" s="14" t="str">
        <f ca="1">IFERROR(__xludf.DUMMYFUNCTION("""COMPUTED_VALUE"""),"СЫВОРОТКА ДЛЯ ЛИЦА - MEDICUBE KOJIC ACID TURMERIC NIACINAMIDE SERUM")</f>
        <v>СЫВОРОТКА ДЛЯ ЛИЦА - MEDICUBE KOJIC ACID TURMERIC NIACINAMIDE SERUM</v>
      </c>
      <c r="D193" s="15" t="str">
        <f ca="1">IFERROR(__xludf.DUMMYFUNCTION("""COMPUTED_VALUE"""),"8800289477416")</f>
        <v>8800289477416</v>
      </c>
      <c r="E193" s="16" t="str">
        <f ca="1">IFERROR(__xludf.DUMMYFUNCTION("""COMPUTED_VALUE"""),"30мл")</f>
        <v>30мл</v>
      </c>
      <c r="F193" s="16">
        <f ca="1">IFERROR(__xludf.DUMMYFUNCTION("""COMPUTED_VALUE"""),8)</f>
        <v>8</v>
      </c>
      <c r="G193" s="17">
        <f ca="1">IFERROR(__xludf.DUMMYFUNCTION("""COMPUTED_VALUE"""),9.14)</f>
        <v>9.14</v>
      </c>
    </row>
    <row r="194" spans="1:7" ht="28.5" customHeight="1" x14ac:dyDescent="0.15">
      <c r="A194" s="14" t="str">
        <f ca="1">IFERROR(__xludf.DUMMYFUNCTION("""COMPUTED_VALUE"""),"MEDICUBE")</f>
        <v>MEDICUBE</v>
      </c>
      <c r="B194" s="14" t="str">
        <f ca="1">IFERROR(__xludf.DUMMYFUNCTION("""COMPUTED_VALUE"""),"Сыворотка")</f>
        <v>Сыворотка</v>
      </c>
      <c r="C194" s="14" t="str">
        <f ca="1">IFERROR(__xludf.DUMMYFUNCTION("""COMPUTED_VALUE"""),"СЫВОРОТКА ДЛЯ ЛИЦА - MEDICUBE KOJIC ACID TURMERIC VITA EYE GEL SERUM")</f>
        <v>СЫВОРОТКА ДЛЯ ЛИЦА - MEDICUBE KOJIC ACID TURMERIC VITA EYE GEL SERUM</v>
      </c>
      <c r="D194" s="15" t="str">
        <f ca="1">IFERROR(__xludf.DUMMYFUNCTION("""COMPUTED_VALUE"""),"8800289479656")</f>
        <v>8800289479656</v>
      </c>
      <c r="E194" s="16" t="str">
        <f ca="1">IFERROR(__xludf.DUMMYFUNCTION("""COMPUTED_VALUE"""),"30мл")</f>
        <v>30мл</v>
      </c>
      <c r="F194" s="16">
        <f ca="1">IFERROR(__xludf.DUMMYFUNCTION("""COMPUTED_VALUE"""),269)</f>
        <v>269</v>
      </c>
      <c r="G194" s="17">
        <f ca="1">IFERROR(__xludf.DUMMYFUNCTION("""COMPUTED_VALUE"""),11.59)</f>
        <v>11.59</v>
      </c>
    </row>
    <row r="195" spans="1:7" ht="28.5" customHeight="1" x14ac:dyDescent="0.15">
      <c r="A195" s="14" t="str">
        <f ca="1">IFERROR(__xludf.DUMMYFUNCTION("""COMPUTED_VALUE"""),"MEDICUBE")</f>
        <v>MEDICUBE</v>
      </c>
      <c r="B195" s="14" t="str">
        <f ca="1">IFERROR(__xludf.DUMMYFUNCTION("""COMPUTED_VALUE"""),"Сыворотка")</f>
        <v>Сыворотка</v>
      </c>
      <c r="C195" s="14" t="str">
        <f ca="1">IFERROR(__xludf.DUMMYFUNCTION("""COMPUTED_VALUE"""),"СЫВОРОТКА ДЛЯ ЛИЦА - MEDICUBE ONE DAY EXOSOME SHOT PORE SERUM 2000")</f>
        <v>СЫВОРОТКА ДЛЯ ЛИЦА - MEDICUBE ONE DAY EXOSOME SHOT PORE SERUM 2000</v>
      </c>
      <c r="D195" s="15" t="str">
        <f ca="1">IFERROR(__xludf.DUMMYFUNCTION("""COMPUTED_VALUE"""),"8809981334928")</f>
        <v>8809981334928</v>
      </c>
      <c r="E195" s="16" t="str">
        <f ca="1">IFERROR(__xludf.DUMMYFUNCTION("""COMPUTED_VALUE"""),"30мл")</f>
        <v>30мл</v>
      </c>
      <c r="F195" s="16">
        <f ca="1">IFERROR(__xludf.DUMMYFUNCTION("""COMPUTED_VALUE"""),72)</f>
        <v>72</v>
      </c>
      <c r="G195" s="17">
        <f ca="1">IFERROR(__xludf.DUMMYFUNCTION("""COMPUTED_VALUE"""),10.16)</f>
        <v>10.16</v>
      </c>
    </row>
    <row r="196" spans="1:7" ht="28.5" customHeight="1" x14ac:dyDescent="0.15">
      <c r="A196" s="14" t="str">
        <f ca="1">IFERROR(__xludf.DUMMYFUNCTION("""COMPUTED_VALUE"""),"MEDICUBE")</f>
        <v>MEDICUBE</v>
      </c>
      <c r="B196" s="14" t="str">
        <f ca="1">IFERROR(__xludf.DUMMYFUNCTION("""COMPUTED_VALUE"""),"Сыворотка")</f>
        <v>Сыворотка</v>
      </c>
      <c r="C196" s="14" t="str">
        <f ca="1">IFERROR(__xludf.DUMMYFUNCTION("""COMPUTED_VALUE"""),"СЫВОРОТКА ДЛЯ ЛИЦА - MEDICUBE PDRN COLLAGEN GLOW JELLY SERUM")</f>
        <v>СЫВОРОТКА ДЛЯ ЛИЦА - MEDICUBE PDRN COLLAGEN GLOW JELLY SERUM</v>
      </c>
      <c r="D196" s="15" t="str">
        <f ca="1">IFERROR(__xludf.DUMMYFUNCTION("""COMPUTED_VALUE"""),"8800289479496")</f>
        <v>8800289479496</v>
      </c>
      <c r="E196" s="16" t="str">
        <f ca="1">IFERROR(__xludf.DUMMYFUNCTION("""COMPUTED_VALUE"""),"30мл")</f>
        <v>30мл</v>
      </c>
      <c r="F196" s="16">
        <f ca="1">IFERROR(__xludf.DUMMYFUNCTION("""COMPUTED_VALUE"""),43)</f>
        <v>43</v>
      </c>
      <c r="G196" s="17">
        <f ca="1">IFERROR(__xludf.DUMMYFUNCTION("""COMPUTED_VALUE"""),11.18)</f>
        <v>11.18</v>
      </c>
    </row>
    <row r="197" spans="1:7" ht="28.5" customHeight="1" x14ac:dyDescent="0.15">
      <c r="A197" s="14" t="str">
        <f ca="1">IFERROR(__xludf.DUMMYFUNCTION("""COMPUTED_VALUE"""),"MEDICUBE")</f>
        <v>MEDICUBE</v>
      </c>
      <c r="B197" s="14" t="str">
        <f ca="1">IFERROR(__xludf.DUMMYFUNCTION("""COMPUTED_VALUE"""),"Сыворотка")</f>
        <v>Сыворотка</v>
      </c>
      <c r="C197" s="14" t="str">
        <f ca="1">IFERROR(__xludf.DUMMYFUNCTION("""COMPUTED_VALUE"""),"СЫВОРОТКА ДЛЯ ЛИЦА - MEDICUBE PDRN PINK COLLAGEN EXOSOME SHOT SERUM 2000")</f>
        <v>СЫВОРОТКА ДЛЯ ЛИЦА - MEDICUBE PDRN PINK COLLAGEN EXOSOME SHOT SERUM 2000</v>
      </c>
      <c r="D197" s="15" t="str">
        <f ca="1">IFERROR(__xludf.DUMMYFUNCTION("""COMPUTED_VALUE"""),"8800256115532")</f>
        <v>8800256115532</v>
      </c>
      <c r="E197" s="16" t="str">
        <f ca="1">IFERROR(__xludf.DUMMYFUNCTION("""COMPUTED_VALUE"""),"30мл")</f>
        <v>30мл</v>
      </c>
      <c r="F197" s="16">
        <f ca="1">IFERROR(__xludf.DUMMYFUNCTION("""COMPUTED_VALUE"""),50)</f>
        <v>50</v>
      </c>
      <c r="G197" s="17">
        <f ca="1">IFERROR(__xludf.DUMMYFUNCTION("""COMPUTED_VALUE"""),9.14)</f>
        <v>9.14</v>
      </c>
    </row>
    <row r="198" spans="1:7" ht="28.5" customHeight="1" x14ac:dyDescent="0.15">
      <c r="A198" s="14" t="str">
        <f ca="1">IFERROR(__xludf.DUMMYFUNCTION("""COMPUTED_VALUE"""),"MEDICUBE")</f>
        <v>MEDICUBE</v>
      </c>
      <c r="B198" s="14" t="str">
        <f ca="1">IFERROR(__xludf.DUMMYFUNCTION("""COMPUTED_VALUE"""),"Сыворотка")</f>
        <v>Сыворотка</v>
      </c>
      <c r="C198" s="14" t="str">
        <f ca="1">IFERROR(__xludf.DUMMYFUNCTION("""COMPUTED_VALUE"""),"СЫВОРОТКА ДЛЯ ЛИЦА - MEDICUBE PDRN PINK EXOSOME SHOT SERUM 7500")</f>
        <v>СЫВОРОТКА ДЛЯ ЛИЦА - MEDICUBE PDRN PINK EXOSOME SHOT SERUM 7500</v>
      </c>
      <c r="D198" s="15" t="str">
        <f ca="1">IFERROR(__xludf.DUMMYFUNCTION("""COMPUTED_VALUE"""),"8800256115549")</f>
        <v>8800256115549</v>
      </c>
      <c r="E198" s="16" t="str">
        <f ca="1">IFERROR(__xludf.DUMMYFUNCTION("""COMPUTED_VALUE"""),"30мл")</f>
        <v>30мл</v>
      </c>
      <c r="F198" s="16">
        <f ca="1">IFERROR(__xludf.DUMMYFUNCTION("""COMPUTED_VALUE"""),82)</f>
        <v>82</v>
      </c>
      <c r="G198" s="17">
        <f ca="1">IFERROR(__xludf.DUMMYFUNCTION("""COMPUTED_VALUE"""),12.19)</f>
        <v>12.19</v>
      </c>
    </row>
    <row r="199" spans="1:7" ht="28.5" customHeight="1" x14ac:dyDescent="0.15">
      <c r="A199" s="14" t="str">
        <f ca="1">IFERROR(__xludf.DUMMYFUNCTION("""COMPUTED_VALUE"""),"MEDICUBE")</f>
        <v>MEDICUBE</v>
      </c>
      <c r="B199" s="14" t="str">
        <f ca="1">IFERROR(__xludf.DUMMYFUNCTION("""COMPUTED_VALUE"""),"Сыворотка")</f>
        <v>Сыворотка</v>
      </c>
      <c r="C199" s="14" t="str">
        <f ca="1">IFERROR(__xludf.DUMMYFUNCTION("""COMPUTED_VALUE"""),"СЫВОРОТКА ДЛЯ ЛИЦА - MEDICUBE PDRN PINK ONE DAY SERUM, 1уп (1")</f>
        <v>СЫВОРОТКА ДЛЯ ЛИЦА - MEDICUBE PDRN PINK ONE DAY SERUM, 1уп (1</v>
      </c>
      <c r="D199" s="15" t="str">
        <f ca="1">IFERROR(__xludf.DUMMYFUNCTION("""COMPUTED_VALUE"""),"8800256115365")</f>
        <v>8800256115365</v>
      </c>
      <c r="E199" s="16" t="str">
        <f ca="1">IFERROR(__xludf.DUMMYFUNCTION("""COMPUTED_VALUE"""),"5мл*10шт)")</f>
        <v>5мл*10шт)</v>
      </c>
      <c r="F199" s="16">
        <f ca="1">IFERROR(__xludf.DUMMYFUNCTION("""COMPUTED_VALUE"""),289)</f>
        <v>289</v>
      </c>
      <c r="G199" s="17">
        <f ca="1">IFERROR(__xludf.DUMMYFUNCTION("""COMPUTED_VALUE"""),11.18)</f>
        <v>11.18</v>
      </c>
    </row>
    <row r="200" spans="1:7" ht="28.5" customHeight="1" x14ac:dyDescent="0.15">
      <c r="A200" s="14" t="str">
        <f ca="1">IFERROR(__xludf.DUMMYFUNCTION("""COMPUTED_VALUE"""),"MEDICUBE")</f>
        <v>MEDICUBE</v>
      </c>
      <c r="B200" s="14" t="str">
        <f ca="1">IFERROR(__xludf.DUMMYFUNCTION("""COMPUTED_VALUE"""),"Сыворотка")</f>
        <v>Сыворотка</v>
      </c>
      <c r="C200" s="14" t="str">
        <f ca="1">IFERROR(__xludf.DUMMYFUNCTION("""COMPUTED_VALUE"""),"СЫВОРОТКА ДЛЯ ЛИЦА - MEDICUBE PDRN PINK PEPTIDE SERUM")</f>
        <v>СЫВОРОТКА ДЛЯ ЛИЦА - MEDICUBE PDRN PINK PEPTIDE SERUM</v>
      </c>
      <c r="D200" s="15" t="str">
        <f ca="1">IFERROR(__xludf.DUMMYFUNCTION("""COMPUTED_VALUE"""),"8800256108053")</f>
        <v>8800256108053</v>
      </c>
      <c r="E200" s="16" t="str">
        <f ca="1">IFERROR(__xludf.DUMMYFUNCTION("""COMPUTED_VALUE"""),"30мл")</f>
        <v>30мл</v>
      </c>
      <c r="F200" s="16">
        <f ca="1">IFERROR(__xludf.DUMMYFUNCTION("""COMPUTED_VALUE"""),79)</f>
        <v>79</v>
      </c>
      <c r="G200" s="17">
        <f ca="1">IFERROR(__xludf.DUMMYFUNCTION("""COMPUTED_VALUE"""),9.34)</f>
        <v>9.34</v>
      </c>
    </row>
    <row r="201" spans="1:7" ht="28.5" customHeight="1" x14ac:dyDescent="0.15">
      <c r="A201" s="14" t="str">
        <f ca="1">IFERROR(__xludf.DUMMYFUNCTION("""COMPUTED_VALUE"""),"MEDICUBE")</f>
        <v>MEDICUBE</v>
      </c>
      <c r="B201" s="14" t="str">
        <f ca="1">IFERROR(__xludf.DUMMYFUNCTION("""COMPUTED_VALUE"""),"Сыворотка")</f>
        <v>Сыворотка</v>
      </c>
      <c r="C201" s="14" t="str">
        <f ca="1">IFERROR(__xludf.DUMMYFUNCTION("""COMPUTED_VALUE"""),"СЫВОРОТКА ДЛЯ ЛИЦА - MEDICUBE TXA NIACINAMIDE 15 SERUM")</f>
        <v>СЫВОРОТКА ДЛЯ ЛИЦА - MEDICUBE TXA NIACINAMIDE 15 SERUM</v>
      </c>
      <c r="D201" s="15" t="str">
        <f ca="1">IFERROR(__xludf.DUMMYFUNCTION("""COMPUTED_VALUE"""),"8800289468407")</f>
        <v>8800289468407</v>
      </c>
      <c r="E201" s="16" t="str">
        <f ca="1">IFERROR(__xludf.DUMMYFUNCTION("""COMPUTED_VALUE"""),"30мл")</f>
        <v>30мл</v>
      </c>
      <c r="F201" s="16">
        <f ca="1">IFERROR(__xludf.DUMMYFUNCTION("""COMPUTED_VALUE"""),135)</f>
        <v>135</v>
      </c>
      <c r="G201" s="17">
        <f ca="1">IFERROR(__xludf.DUMMYFUNCTION("""COMPUTED_VALUE"""),9.14)</f>
        <v>9.14</v>
      </c>
    </row>
    <row r="202" spans="1:7" ht="28.5" customHeight="1" x14ac:dyDescent="0.15">
      <c r="A202" s="14" t="str">
        <f ca="1">IFERROR(__xludf.DUMMYFUNCTION("""COMPUTED_VALUE"""),"MEDICUBE")</f>
        <v>MEDICUBE</v>
      </c>
      <c r="B202" s="14" t="str">
        <f ca="1">IFERROR(__xludf.DUMMYFUNCTION("""COMPUTED_VALUE"""),"Сыворотка")</f>
        <v>Сыворотка</v>
      </c>
      <c r="C202" s="14" t="str">
        <f ca="1">IFERROR(__xludf.DUMMYFUNCTION("""COMPUTED_VALUE"""),"СЫВОРОТКА ДЛЯ ЛИЦА - MEDICUBE TXA NIACINAMIDE 15 SERUM")</f>
        <v>СЫВОРОТКА ДЛЯ ЛИЦА - MEDICUBE TXA NIACINAMIDE 15 SERUM</v>
      </c>
      <c r="D202" s="15" t="str">
        <f ca="1">IFERROR(__xludf.DUMMYFUNCTION("""COMPUTED_VALUE"""),"8800256119134")</f>
        <v>8800256119134</v>
      </c>
      <c r="E202" s="16" t="str">
        <f ca="1">IFERROR(__xludf.DUMMYFUNCTION("""COMPUTED_VALUE"""),"30мл")</f>
        <v>30мл</v>
      </c>
      <c r="F202" s="16">
        <f ca="1">IFERROR(__xludf.DUMMYFUNCTION("""COMPUTED_VALUE"""),135)</f>
        <v>135</v>
      </c>
      <c r="G202" s="17">
        <f ca="1">IFERROR(__xludf.DUMMYFUNCTION("""COMPUTED_VALUE"""),9.14)</f>
        <v>9.14</v>
      </c>
    </row>
    <row r="203" spans="1:7" ht="28.5" customHeight="1" x14ac:dyDescent="0.15">
      <c r="A203" s="14" t="str">
        <f ca="1">IFERROR(__xludf.DUMMYFUNCTION("""COMPUTED_VALUE"""),"MEDICUBE")</f>
        <v>MEDICUBE</v>
      </c>
      <c r="B203" s="14" t="str">
        <f ca="1">IFERROR(__xludf.DUMMYFUNCTION("""COMPUTED_VALUE"""),"Сыворотка")</f>
        <v>Сыворотка</v>
      </c>
      <c r="C203" s="14" t="str">
        <f ca="1">IFERROR(__xludf.DUMMYFUNCTION("""COMPUTED_VALUE"""),"СЫВОРОТКА ДЛЯ ЛИЦА - MEDICUBE ZERO PORE SERUM 2.0")</f>
        <v>СЫВОРОТКА ДЛЯ ЛИЦА - MEDICUBE ZERO PORE SERUM 2.0</v>
      </c>
      <c r="D203" s="15" t="str">
        <f ca="1">IFERROR(__xludf.DUMMYFUNCTION("""COMPUTED_VALUE"""),"8800256114283")</f>
        <v>8800256114283</v>
      </c>
      <c r="E203" s="16" t="str">
        <f ca="1">IFERROR(__xludf.DUMMYFUNCTION("""COMPUTED_VALUE"""),"37мл")</f>
        <v>37мл</v>
      </c>
      <c r="F203" s="16">
        <f ca="1">IFERROR(__xludf.DUMMYFUNCTION("""COMPUTED_VALUE"""),18)</f>
        <v>18</v>
      </c>
      <c r="G203" s="17">
        <f ca="1">IFERROR(__xludf.DUMMYFUNCTION("""COMPUTED_VALUE"""),9.14)</f>
        <v>9.14</v>
      </c>
    </row>
    <row r="204" spans="1:7" ht="28.5" customHeight="1" x14ac:dyDescent="0.15">
      <c r="A204" s="14" t="str">
        <f ca="1">IFERROR(__xludf.DUMMYFUNCTION("""COMPUTED_VALUE"""),"MEDICUBE")</f>
        <v>MEDICUBE</v>
      </c>
      <c r="B204" s="14" t="str">
        <f ca="1">IFERROR(__xludf.DUMMYFUNCTION("""COMPUTED_VALUE"""),"Тонер")</f>
        <v>Тонер</v>
      </c>
      <c r="C204" s="14" t="str">
        <f ca="1">IFERROR(__xludf.DUMMYFUNCTION("""COMPUTED_VALUE"""),"ТОНЕР ДЛЯ ЛИЦА - MEDICUBE KOJIC ACID TURMERIC RESUFACING TONER")</f>
        <v>ТОНЕР ДЛЯ ЛИЦА - MEDICUBE KOJIC ACID TURMERIC RESUFACING TONER</v>
      </c>
      <c r="D204" s="15" t="str">
        <f ca="1">IFERROR(__xludf.DUMMYFUNCTION("""COMPUTED_VALUE"""),"8800289475023")</f>
        <v>8800289475023</v>
      </c>
      <c r="E204" s="16" t="str">
        <f ca="1">IFERROR(__xludf.DUMMYFUNCTION("""COMPUTED_VALUE"""),"250мл")</f>
        <v>250мл</v>
      </c>
      <c r="F204" s="16">
        <f ca="1">IFERROR(__xludf.DUMMYFUNCTION("""COMPUTED_VALUE"""),42)</f>
        <v>42</v>
      </c>
      <c r="G204" s="17">
        <f ca="1">IFERROR(__xludf.DUMMYFUNCTION("""COMPUTED_VALUE"""),10.77)</f>
        <v>10.77</v>
      </c>
    </row>
    <row r="205" spans="1:7" ht="28.5" customHeight="1" x14ac:dyDescent="0.15">
      <c r="A205" s="14" t="str">
        <f ca="1">IFERROR(__xludf.DUMMYFUNCTION("""COMPUTED_VALUE"""),"MEDICUBE")</f>
        <v>MEDICUBE</v>
      </c>
      <c r="B205" s="14" t="str">
        <f ca="1">IFERROR(__xludf.DUMMYFUNCTION("""COMPUTED_VALUE"""),"Тонер")</f>
        <v>Тонер</v>
      </c>
      <c r="C205" s="14" t="str">
        <f ca="1">IFERROR(__xludf.DUMMYFUNCTION("""COMPUTED_VALUE"""),"ТОНЕР ДЛЯ ЛИЦА - MEDICUBE PDRN PINK CICA SOOTHING TONER")</f>
        <v>ТОНЕР ДЛЯ ЛИЦА - MEDICUBE PDRN PINK CICA SOOTHING TONER</v>
      </c>
      <c r="D205" s="15" t="str">
        <f ca="1">IFERROR(__xludf.DUMMYFUNCTION("""COMPUTED_VALUE"""),"8800256112234")</f>
        <v>8800256112234</v>
      </c>
      <c r="E205" s="16" t="str">
        <f ca="1">IFERROR(__xludf.DUMMYFUNCTION("""COMPUTED_VALUE"""),"250мл")</f>
        <v>250мл</v>
      </c>
      <c r="F205" s="16">
        <f ca="1">IFERROR(__xludf.DUMMYFUNCTION("""COMPUTED_VALUE"""),74)</f>
        <v>74</v>
      </c>
      <c r="G205" s="17">
        <f ca="1">IFERROR(__xludf.DUMMYFUNCTION("""COMPUTED_VALUE"""),10.39)</f>
        <v>10.39</v>
      </c>
    </row>
    <row r="206" spans="1:7" ht="28.5" customHeight="1" x14ac:dyDescent="0.15">
      <c r="A206" s="14" t="str">
        <f ca="1">IFERROR(__xludf.DUMMYFUNCTION("""COMPUTED_VALUE"""),"MEDICUBE")</f>
        <v>MEDICUBE</v>
      </c>
      <c r="B206" s="14" t="str">
        <f ca="1">IFERROR(__xludf.DUMMYFUNCTION("""COMPUTED_VALUE"""),"Тонер")</f>
        <v>Тонер</v>
      </c>
      <c r="C206" s="14" t="str">
        <f ca="1">IFERROR(__xludf.DUMMYFUNCTION("""COMPUTED_VALUE"""),"ТОНЕР ДЛЯ ЛИЦА - MEDICUBE PDRN PINK NIACINAMIDE MILKY TONER")</f>
        <v>ТОНЕР ДЛЯ ЛИЦА - MEDICUBE PDRN PINK NIACINAMIDE MILKY TONER</v>
      </c>
      <c r="D206" s="15" t="str">
        <f ca="1">IFERROR(__xludf.DUMMYFUNCTION("""COMPUTED_VALUE"""),"8800256119653")</f>
        <v>8800256119653</v>
      </c>
      <c r="E206" s="16" t="str">
        <f ca="1">IFERROR(__xludf.DUMMYFUNCTION("""COMPUTED_VALUE"""),"150мл")</f>
        <v>150мл</v>
      </c>
      <c r="F206" s="16">
        <f ca="1">IFERROR(__xludf.DUMMYFUNCTION("""COMPUTED_VALUE"""),117)</f>
        <v>117</v>
      </c>
      <c r="G206" s="17">
        <f ca="1">IFERROR(__xludf.DUMMYFUNCTION("""COMPUTED_VALUE"""),8.18)</f>
        <v>8.18</v>
      </c>
    </row>
    <row r="207" spans="1:7" ht="28.5" customHeight="1" x14ac:dyDescent="0.15">
      <c r="A207" s="14" t="str">
        <f ca="1">IFERROR(__xludf.DUMMYFUNCTION("""COMPUTED_VALUE"""),"MEDICUBE")</f>
        <v>MEDICUBE</v>
      </c>
      <c r="B207" s="14" t="str">
        <f ca="1">IFERROR(__xludf.DUMMYFUNCTION("""COMPUTED_VALUE"""),"Тонер")</f>
        <v>Тонер</v>
      </c>
      <c r="C207" s="14" t="str">
        <f ca="1">IFERROR(__xludf.DUMMYFUNCTION("""COMPUTED_VALUE"""),"ТОНЕР ДЛЯ ЛИЦА - MEDICUBE RED TONER")</f>
        <v>ТОНЕР ДЛЯ ЛИЦА - MEDICUBE RED TONER</v>
      </c>
      <c r="D207" s="15" t="str">
        <f ca="1">IFERROR(__xludf.DUMMYFUNCTION("""COMPUTED_VALUE"""),"8809960356569")</f>
        <v>8809960356569</v>
      </c>
      <c r="E207" s="16" t="str">
        <f ca="1">IFERROR(__xludf.DUMMYFUNCTION("""COMPUTED_VALUE"""),"100мл")</f>
        <v>100мл</v>
      </c>
      <c r="F207" s="16">
        <f ca="1">IFERROR(__xludf.DUMMYFUNCTION("""COMPUTED_VALUE"""),40)</f>
        <v>40</v>
      </c>
      <c r="G207" s="17">
        <f ca="1">IFERROR(__xludf.DUMMYFUNCTION("""COMPUTED_VALUE"""),8.13)</f>
        <v>8.1300000000000008</v>
      </c>
    </row>
    <row r="208" spans="1:7" ht="28.5" customHeight="1" x14ac:dyDescent="0.15">
      <c r="A208" s="14" t="str">
        <f ca="1">IFERROR(__xludf.DUMMYFUNCTION("""COMPUTED_VALUE"""),"MEDICUBE")</f>
        <v>MEDICUBE</v>
      </c>
      <c r="B208" s="14" t="str">
        <f ca="1">IFERROR(__xludf.DUMMYFUNCTION("""COMPUTED_VALUE"""),"Шампунь")</f>
        <v>Шампунь</v>
      </c>
      <c r="C208" s="14" t="str">
        <f ca="1">IFERROR(__xludf.DUMMYFUNCTION("""COMPUTED_VALUE"""),"ШАМПУНЬ ДЛЯ ВОЛОС - MEDICUBE ROSEMARY PDRN COOLING THICKENING SHAMPOO")</f>
        <v>ШАМПУНЬ ДЛЯ ВОЛОС - MEDICUBE ROSEMARY PDRN COOLING THICKENING SHAMPOO</v>
      </c>
      <c r="D208" s="15" t="str">
        <f ca="1">IFERROR(__xludf.DUMMYFUNCTION("""COMPUTED_VALUE"""),"8800289461965")</f>
        <v>8800289461965</v>
      </c>
      <c r="E208" s="16" t="str">
        <f ca="1">IFERROR(__xludf.DUMMYFUNCTION("""COMPUTED_VALUE"""),"400мл")</f>
        <v>400мл</v>
      </c>
      <c r="F208" s="16">
        <f ca="1">IFERROR(__xludf.DUMMYFUNCTION("""COMPUTED_VALUE"""),11)</f>
        <v>11</v>
      </c>
      <c r="G208" s="17">
        <f ca="1">IFERROR(__xludf.DUMMYFUNCTION("""COMPUTED_VALUE"""),13.82)</f>
        <v>13.82</v>
      </c>
    </row>
    <row r="209" spans="1:7" ht="28.5" customHeight="1" x14ac:dyDescent="0.15">
      <c r="A209" s="14" t="str">
        <f ca="1">IFERROR(__xludf.DUMMYFUNCTION("""COMPUTED_VALUE"""),"NUMBUZIN")</f>
        <v>NUMBUZIN</v>
      </c>
      <c r="B209" s="14" t="str">
        <f ca="1">IFERROR(__xludf.DUMMYFUNCTION("""COMPUTED_VALUE"""),"Пэды")</f>
        <v>Пэды</v>
      </c>
      <c r="C209" s="14" t="str">
        <f ca="1">IFERROR(__xludf.DUMMYFUNCTION("""COMPUTED_VALUE"""),"ПЭДЫ КОСМЕТИЧЕСКИЕ ДЛЯ ЛИЦА - NUMBUZIN NO.3 RADIANCE GLOWING JUMBO ESSENCE PAD")</f>
        <v>ПЭДЫ КОСМЕТИЧЕСКИЕ ДЛЯ ЛИЦА - NUMBUZIN NO.3 RADIANCE GLOWING JUMBO ESSENCE PAD</v>
      </c>
      <c r="D209" s="15" t="str">
        <f ca="1">IFERROR(__xludf.DUMMYFUNCTION("""COMPUTED_VALUE"""),"8809652580982")</f>
        <v>8809652580982</v>
      </c>
      <c r="E209" s="16" t="str">
        <f ca="1">IFERROR(__xludf.DUMMYFUNCTION("""COMPUTED_VALUE"""),"150мл (70шт)")</f>
        <v>150мл (70шт)</v>
      </c>
      <c r="F209" s="16">
        <f ca="1">IFERROR(__xludf.DUMMYFUNCTION("""COMPUTED_VALUE"""),95)</f>
        <v>95</v>
      </c>
      <c r="G209" s="17">
        <f ca="1">IFERROR(__xludf.DUMMYFUNCTION("""COMPUTED_VALUE"""),9.14)</f>
        <v>9.14</v>
      </c>
    </row>
    <row r="210" spans="1:7" ht="28.5" customHeight="1" x14ac:dyDescent="0.15">
      <c r="A210" s="14" t="str">
        <f ca="1">IFERROR(__xludf.DUMMYFUNCTION("""COMPUTED_VALUE"""),"NUMBUZIN")</f>
        <v>NUMBUZIN</v>
      </c>
      <c r="B210" s="14" t="str">
        <f ca="1">IFERROR(__xludf.DUMMYFUNCTION("""COMPUTED_VALUE"""),"Пэды")</f>
        <v>Пэды</v>
      </c>
      <c r="C210" s="14" t="str">
        <f ca="1">IFERROR(__xludf.DUMMYFUNCTION("""COMPUTED_VALUE"""),"ПЭДЫ КОСМЕТИЧЕСКИЕ ДЛЯ ЛИЦА - NUMBUZIN NO.5 GLUTATHIONE VITAMIN CONCENTRATED TONER PADS")</f>
        <v>ПЭДЫ КОСМЕТИЧЕСКИЕ ДЛЯ ЛИЦА - NUMBUZIN NO.5 GLUTATHIONE VITAMIN CONCENTRATED TONER PADS</v>
      </c>
      <c r="D210" s="15" t="str">
        <f ca="1">IFERROR(__xludf.DUMMYFUNCTION("""COMPUTED_VALUE"""),"8809652581781")</f>
        <v>8809652581781</v>
      </c>
      <c r="E210" s="16" t="str">
        <f ca="1">IFERROR(__xludf.DUMMYFUNCTION("""COMPUTED_VALUE"""),"180мл (70шт)")</f>
        <v>180мл (70шт)</v>
      </c>
      <c r="F210" s="16">
        <f ca="1">IFERROR(__xludf.DUMMYFUNCTION("""COMPUTED_VALUE"""),63)</f>
        <v>63</v>
      </c>
      <c r="G210" s="17">
        <f ca="1">IFERROR(__xludf.DUMMYFUNCTION("""COMPUTED_VALUE"""),9.67)</f>
        <v>9.67</v>
      </c>
    </row>
    <row r="211" spans="1:7" ht="28.5" customHeight="1" x14ac:dyDescent="0.15">
      <c r="A211" s="14" t="str">
        <f ca="1">IFERROR(__xludf.DUMMYFUNCTION("""COMPUTED_VALUE"""),"NUMBUZIN")</f>
        <v>NUMBUZIN</v>
      </c>
      <c r="B211" s="14" t="str">
        <f ca="1">IFERROR(__xludf.DUMMYFUNCTION("""COMPUTED_VALUE"""),"Сыворотка")</f>
        <v>Сыворотка</v>
      </c>
      <c r="C211" s="14" t="str">
        <f ca="1">IFERROR(__xludf.DUMMYFUNCTION("""COMPUTED_VALUE"""),"СЫВОРОТКА ДЛЯ ЛИЦА - NUMBUZIN NO.5 GLUTATHIONE VITAMIN CONCENTRATED SERUM")</f>
        <v>СЫВОРОТКА ДЛЯ ЛИЦА - NUMBUZIN NO.5 GLUTATHIONE VITAMIN CONCENTRATED SERUM</v>
      </c>
      <c r="D211" s="15" t="str">
        <f ca="1">IFERROR(__xludf.DUMMYFUNCTION("""COMPUTED_VALUE"""),"8809652581774")</f>
        <v>8809652581774</v>
      </c>
      <c r="E211" s="16" t="str">
        <f ca="1">IFERROR(__xludf.DUMMYFUNCTION("""COMPUTED_VALUE"""),"30мл")</f>
        <v>30мл</v>
      </c>
      <c r="F211" s="16">
        <f ca="1">IFERROR(__xludf.DUMMYFUNCTION("""COMPUTED_VALUE"""),110)</f>
        <v>110</v>
      </c>
      <c r="G211" s="17">
        <f ca="1">IFERROR(__xludf.DUMMYFUNCTION("""COMPUTED_VALUE"""),10.16)</f>
        <v>10.16</v>
      </c>
    </row>
    <row r="212" spans="1:7" ht="28.5" customHeight="1" x14ac:dyDescent="0.15">
      <c r="A212" s="14" t="str">
        <f ca="1">IFERROR(__xludf.DUMMYFUNCTION("""COMPUTED_VALUE"""),"NUMBUZIN")</f>
        <v>NUMBUZIN</v>
      </c>
      <c r="B212" s="14" t="str">
        <f ca="1">IFERROR(__xludf.DUMMYFUNCTION("""COMPUTED_VALUE"""),"Тонер")</f>
        <v>Тонер</v>
      </c>
      <c r="C212" s="14" t="str">
        <f ca="1">IFERROR(__xludf.DUMMYFUNCTION("""COMPUTED_VALUE"""),"ТОНЕР ДЛЯ ЛИЦА - NUMBUZIN NO.9 NAD+ PDRN GLOW BOOSTING TONER")</f>
        <v>ТОНЕР ДЛЯ ЛИЦА - NUMBUZIN NO.9 NAD+ PDRN GLOW BOOSTING TONER</v>
      </c>
      <c r="D212" s="15" t="str">
        <f ca="1">IFERROR(__xludf.DUMMYFUNCTION("""COMPUTED_VALUE"""),"8809652589794")</f>
        <v>8809652589794</v>
      </c>
      <c r="E212" s="16" t="str">
        <f ca="1">IFERROR(__xludf.DUMMYFUNCTION("""COMPUTED_VALUE"""),"150мл")</f>
        <v>150мл</v>
      </c>
      <c r="F212" s="16">
        <f ca="1">IFERROR(__xludf.DUMMYFUNCTION("""COMPUTED_VALUE"""),92)</f>
        <v>92</v>
      </c>
      <c r="G212" s="17">
        <f ca="1">IFERROR(__xludf.DUMMYFUNCTION("""COMPUTED_VALUE"""),8.24)</f>
        <v>8.24</v>
      </c>
    </row>
    <row r="213" spans="1:7" ht="28.5" customHeight="1" x14ac:dyDescent="0.15">
      <c r="A213" s="14" t="str">
        <f ca="1">IFERROR(__xludf.DUMMYFUNCTION("""COMPUTED_VALUE"""),"NUMBUZIN")</f>
        <v>NUMBUZIN</v>
      </c>
      <c r="B213" s="14" t="str">
        <f ca="1">IFERROR(__xludf.DUMMYFUNCTION("""COMPUTED_VALUE"""),"Эссенция")</f>
        <v>Эссенция</v>
      </c>
      <c r="C213" s="14" t="str">
        <f ca="1">IFERROR(__xludf.DUMMYFUNCTION("""COMPUTED_VALUE"""),"ЭССЕНЦИЯ ДЛЯ ЛИЦА - NUMBUZIN NO.9 NAD BIO LIFTING-SIL ESSENCE")</f>
        <v>ЭССЕНЦИЯ ДЛЯ ЛИЦА - NUMBUZIN NO.9 NAD BIO LIFTING-SIL ESSENCE</v>
      </c>
      <c r="D213" s="15" t="str">
        <f ca="1">IFERROR(__xludf.DUMMYFUNCTION("""COMPUTED_VALUE"""),"8809652587639")</f>
        <v>8809652587639</v>
      </c>
      <c r="E213" s="16" t="str">
        <f ca="1">IFERROR(__xludf.DUMMYFUNCTION("""COMPUTED_VALUE"""),"50мл")</f>
        <v>50мл</v>
      </c>
      <c r="F213" s="16">
        <f ca="1">IFERROR(__xludf.DUMMYFUNCTION("""COMPUTED_VALUE"""),171)</f>
        <v>171</v>
      </c>
      <c r="G213" s="17">
        <f ca="1">IFERROR(__xludf.DUMMYFUNCTION("""COMPUTED_VALUE"""),11.18)</f>
        <v>11.18</v>
      </c>
    </row>
    <row r="214" spans="1:7" ht="28.5" customHeight="1" x14ac:dyDescent="0.15">
      <c r="A214" s="14" t="str">
        <f ca="1">IFERROR(__xludf.DUMMYFUNCTION("""COMPUTED_VALUE"""),"PURCELL")</f>
        <v>PURCELL</v>
      </c>
      <c r="B214" s="14" t="str">
        <f ca="1">IFERROR(__xludf.DUMMYFUNCTION("""COMPUTED_VALUE"""),"Новый SKU")</f>
        <v>Новый SKU</v>
      </c>
      <c r="C214" s="14" t="str">
        <f ca="1">IFERROR(__xludf.DUMMYFUNCTION("""COMPUTED_VALUE"""),"КОСМЕТИЧЕСКОЕ СРЕДСТВО - PURCELL 88B/ML L‑GLUTATHIONE FLEXIBLE LIPOSOME")</f>
        <v>КОСМЕТИЧЕСКОЕ СРЕДСТВО - PURCELL 88B/ML L‑GLUTATHIONE FLEXIBLE LIPOSOME</v>
      </c>
      <c r="D214" s="15" t="str">
        <f ca="1">IFERROR(__xludf.DUMMYFUNCTION("""COMPUTED_VALUE"""),"8809859320596")</f>
        <v>8809859320596</v>
      </c>
      <c r="E214" s="16" t="str">
        <f ca="1">IFERROR(__xludf.DUMMYFUNCTION("""COMPUTED_VALUE"""),"30мл")</f>
        <v>30мл</v>
      </c>
      <c r="F214" s="16">
        <f ca="1">IFERROR(__xludf.DUMMYFUNCTION("""COMPUTED_VALUE"""),48)</f>
        <v>48</v>
      </c>
      <c r="G214" s="17">
        <f ca="1">IFERROR(__xludf.DUMMYFUNCTION("""COMPUTED_VALUE"""),12.8)</f>
        <v>12.8</v>
      </c>
    </row>
    <row r="215" spans="1:7" ht="28.5" customHeight="1" x14ac:dyDescent="0.15">
      <c r="A215" s="14" t="str">
        <f ca="1">IFERROR(__xludf.DUMMYFUNCTION("""COMPUTED_VALUE"""),"PURCELL")</f>
        <v>PURCELL</v>
      </c>
      <c r="B215" s="14" t="str">
        <f ca="1">IFERROR(__xludf.DUMMYFUNCTION("""COMPUTED_VALUE"""),"Новый SKU")</f>
        <v>Новый SKU</v>
      </c>
      <c r="C215" s="14" t="str">
        <f ca="1">IFERROR(__xludf.DUMMYFUNCTION("""COMPUTED_VALUE"""),"КОСМЕТИЧЕСКОЕ СРЕДСТВО - PURCELL HIGH DOSE VITAMIN B+C COMPLEX")</f>
        <v>КОСМЕТИЧЕСКОЕ СРЕДСТВО - PURCELL HIGH DOSE VITAMIN B+C COMPLEX</v>
      </c>
      <c r="D215" s="15" t="str">
        <f ca="1">IFERROR(__xludf.DUMMYFUNCTION("""COMPUTED_VALUE"""),"8809859320589")</f>
        <v>8809859320589</v>
      </c>
      <c r="E215" s="16" t="str">
        <f ca="1">IFERROR(__xludf.DUMMYFUNCTION("""COMPUTED_VALUE"""),"30мл")</f>
        <v>30мл</v>
      </c>
      <c r="F215" s="16">
        <f ca="1">IFERROR(__xludf.DUMMYFUNCTION("""COMPUTED_VALUE"""),93)</f>
        <v>93</v>
      </c>
      <c r="G215" s="17">
        <f ca="1">IFERROR(__xludf.DUMMYFUNCTION("""COMPUTED_VALUE"""),12.8)</f>
        <v>12.8</v>
      </c>
    </row>
    <row r="216" spans="1:7" ht="28.5" customHeight="1" x14ac:dyDescent="0.15">
      <c r="A216" s="14" t="str">
        <f ca="1">IFERROR(__xludf.DUMMYFUNCTION("""COMPUTED_VALUE"""),"PURCELL")</f>
        <v>PURCELL</v>
      </c>
      <c r="B216" s="14" t="str">
        <f ca="1">IFERROR(__xludf.DUMMYFUNCTION("""COMPUTED_VALUE"""),"Новый SKU")</f>
        <v>Новый SKU</v>
      </c>
      <c r="C216" s="14" t="str">
        <f ca="1">IFERROR(__xludf.DUMMYFUNCTION("""COMPUTED_VALUE"""),"КОСМЕТИЧЕСКОЕ СРЕДСТВО - PURCELL PIXCELL BIOM BOOSTER SHOT POWDER, 0")</f>
        <v>КОСМЕТИЧЕСКОЕ СРЕДСТВО - PURCELL PIXCELL BIOM BOOSTER SHOT POWDER, 0</v>
      </c>
      <c r="D216" s="15" t="str">
        <f ca="1">IFERROR(__xludf.DUMMYFUNCTION("""COMPUTED_VALUE"""),"8809859320565")</f>
        <v>8809859320565</v>
      </c>
      <c r="E216" s="16" t="str">
        <f ca="1">IFERROR(__xludf.DUMMYFUNCTION("""COMPUTED_VALUE"""),"2г × 10шт")</f>
        <v>2г × 10шт</v>
      </c>
      <c r="F216" s="16">
        <f ca="1">IFERROR(__xludf.DUMMYFUNCTION("""COMPUTED_VALUE"""),10)</f>
        <v>10</v>
      </c>
      <c r="G216" s="17">
        <f ca="1">IFERROR(__xludf.DUMMYFUNCTION("""COMPUTED_VALUE"""),17.88)</f>
        <v>17.88</v>
      </c>
    </row>
    <row r="217" spans="1:7" ht="28.5" customHeight="1" x14ac:dyDescent="0.15">
      <c r="A217" s="14" t="str">
        <f ca="1">IFERROR(__xludf.DUMMYFUNCTION("""COMPUTED_VALUE"""),"PURCELL")</f>
        <v>PURCELL</v>
      </c>
      <c r="B217" s="14" t="str">
        <f ca="1">IFERROR(__xludf.DUMMYFUNCTION("""COMPUTED_VALUE"""),"Новый SKU")</f>
        <v>Новый SKU</v>
      </c>
      <c r="C217" s="14" t="str">
        <f ca="1">IFERROR(__xludf.DUMMYFUNCTION("""COMPUTED_VALUE"""),"КОСМЕТИЧЕСКОЕ СРЕДСТВО - PURCELL PIXCELL BIOM TONIC FOR HAIR DENSITY")</f>
        <v>КОСМЕТИЧЕСКОЕ СРЕДСТВО - PURCELL PIXCELL BIOM TONIC FOR HAIR DENSITY</v>
      </c>
      <c r="D217" s="15" t="str">
        <f ca="1">IFERROR(__xludf.DUMMYFUNCTION("""COMPUTED_VALUE"""),"8809859321210")</f>
        <v>8809859321210</v>
      </c>
      <c r="E217" s="16" t="str">
        <f ca="1">IFERROR(__xludf.DUMMYFUNCTION("""COMPUTED_VALUE"""),"130мл")</f>
        <v>130мл</v>
      </c>
      <c r="F217" s="16">
        <f ca="1">IFERROR(__xludf.DUMMYFUNCTION("""COMPUTED_VALUE"""),53)</f>
        <v>53</v>
      </c>
      <c r="G217" s="17">
        <f ca="1">IFERROR(__xludf.DUMMYFUNCTION("""COMPUTED_VALUE"""),9.35)</f>
        <v>9.35</v>
      </c>
    </row>
    <row r="218" spans="1:7" ht="28.5" customHeight="1" x14ac:dyDescent="0.15">
      <c r="A218" s="14" t="str">
        <f ca="1">IFERROR(__xludf.DUMMYFUNCTION("""COMPUTED_VALUE"""),"PURCELL")</f>
        <v>PURCELL</v>
      </c>
      <c r="B218" s="14" t="str">
        <f ca="1">IFERROR(__xludf.DUMMYFUNCTION("""COMPUTED_VALUE"""),"Новый SKU")</f>
        <v>Новый SKU</v>
      </c>
      <c r="C218" s="14" t="str">
        <f ca="1">IFERROR(__xludf.DUMMYFUNCTION("""COMPUTED_VALUE"""),"КОСМЕТИЧЕСКОЕ СРЕДСТВО - PURCELL PIXCELL BIOM VITA TONING SOLUTION")</f>
        <v>КОСМЕТИЧЕСКОЕ СРЕДСТВО - PURCELL PIXCELL BIOM VITA TONING SOLUTION</v>
      </c>
      <c r="D218" s="15" t="str">
        <f ca="1">IFERROR(__xludf.DUMMYFUNCTION("""COMPUTED_VALUE"""),"8809859320329")</f>
        <v>8809859320329</v>
      </c>
      <c r="E218" s="16" t="str">
        <f ca="1">IFERROR(__xludf.DUMMYFUNCTION("""COMPUTED_VALUE"""),"120мл")</f>
        <v>120мл</v>
      </c>
      <c r="F218" s="16">
        <f ca="1">IFERROR(__xludf.DUMMYFUNCTION("""COMPUTED_VALUE"""),8)</f>
        <v>8</v>
      </c>
      <c r="G218" s="17">
        <f ca="1">IFERROR(__xludf.DUMMYFUNCTION("""COMPUTED_VALUE"""),10.77)</f>
        <v>10.77</v>
      </c>
    </row>
    <row r="219" spans="1:7" ht="28.5" customHeight="1" x14ac:dyDescent="0.15">
      <c r="A219" s="14" t="str">
        <f ca="1">IFERROR(__xludf.DUMMYFUNCTION("""COMPUTED_VALUE"""),"PURCELL")</f>
        <v>PURCELL</v>
      </c>
      <c r="B219" s="14" t="str">
        <f ca="1">IFERROR(__xludf.DUMMYFUNCTION("""COMPUTED_VALUE"""),"Крем")</f>
        <v>Крем</v>
      </c>
      <c r="C219" s="14" t="str">
        <f ca="1">IFERROR(__xludf.DUMMYFUNCTION("""COMPUTED_VALUE"""),"КРЕМ ДЛЯ ЛИЦА - PURCELL 8B/ML L-GLUTATHIONE TXA CAPSULE CREAM")</f>
        <v>КРЕМ ДЛЯ ЛИЦА - PURCELL 8B/ML L-GLUTATHIONE TXA CAPSULE CREAM</v>
      </c>
      <c r="D219" s="15" t="str">
        <f ca="1">IFERROR(__xludf.DUMMYFUNCTION("""COMPUTED_VALUE"""),"8809859321616")</f>
        <v>8809859321616</v>
      </c>
      <c r="E219" s="16" t="str">
        <f ca="1">IFERROR(__xludf.DUMMYFUNCTION("""COMPUTED_VALUE"""),"80мл")</f>
        <v>80мл</v>
      </c>
      <c r="F219" s="16">
        <f ca="1">IFERROR(__xludf.DUMMYFUNCTION("""COMPUTED_VALUE"""),144)</f>
        <v>144</v>
      </c>
      <c r="G219" s="17">
        <f ca="1">IFERROR(__xludf.DUMMYFUNCTION("""COMPUTED_VALUE"""),14.23)</f>
        <v>14.23</v>
      </c>
    </row>
    <row r="220" spans="1:7" ht="28.5" customHeight="1" x14ac:dyDescent="0.15">
      <c r="A220" s="14" t="str">
        <f ca="1">IFERROR(__xludf.DUMMYFUNCTION("""COMPUTED_VALUE"""),"PURCELL")</f>
        <v>PURCELL</v>
      </c>
      <c r="B220" s="14" t="str">
        <f ca="1">IFERROR(__xludf.DUMMYFUNCTION("""COMPUTED_VALUE"""),"Крем")</f>
        <v>Крем</v>
      </c>
      <c r="C220" s="14" t="str">
        <f ca="1">IFERROR(__xludf.DUMMYFUNCTION("""COMPUTED_VALUE"""),"КРЕМ ДЛЯ ЛИЦА - PURCELL PIXCELL BIOM 5+ PROBIOTICS REBOOTING CREAM")</f>
        <v>КРЕМ ДЛЯ ЛИЦА - PURCELL PIXCELL BIOM 5+ PROBIOTICS REBOOTING CREAM</v>
      </c>
      <c r="D220" s="15" t="str">
        <f ca="1">IFERROR(__xludf.DUMMYFUNCTION("""COMPUTED_VALUE"""),"8809859321456")</f>
        <v>8809859321456</v>
      </c>
      <c r="E220" s="16" t="str">
        <f ca="1">IFERROR(__xludf.DUMMYFUNCTION("""COMPUTED_VALUE"""),"50мл")</f>
        <v>50мл</v>
      </c>
      <c r="F220" s="16">
        <f ca="1">IFERROR(__xludf.DUMMYFUNCTION("""COMPUTED_VALUE"""),83)</f>
        <v>83</v>
      </c>
      <c r="G220" s="17">
        <f ca="1">IFERROR(__xludf.DUMMYFUNCTION("""COMPUTED_VALUE"""),13.41)</f>
        <v>13.41</v>
      </c>
    </row>
    <row r="221" spans="1:7" ht="28.5" customHeight="1" x14ac:dyDescent="0.15">
      <c r="A221" s="14" t="str">
        <f ca="1">IFERROR(__xludf.DUMMYFUNCTION("""COMPUTED_VALUE"""),"PURCELL")</f>
        <v>PURCELL</v>
      </c>
      <c r="B221" s="14" t="str">
        <f ca="1">IFERROR(__xludf.DUMMYFUNCTION("""COMPUTED_VALUE"""),"Крем")</f>
        <v>Крем</v>
      </c>
      <c r="C221" s="14" t="str">
        <f ca="1">IFERROR(__xludf.DUMMYFUNCTION("""COMPUTED_VALUE"""),"КРЕМ ДЛЯ ЛИЦА - PURCELL PIXCELL BIOM HYALURONIC COLLAGEN SPLASH CREAM")</f>
        <v>КРЕМ ДЛЯ ЛИЦА - PURCELL PIXCELL BIOM HYALURONIC COLLAGEN SPLASH CREAM</v>
      </c>
      <c r="D221" s="15" t="str">
        <f ca="1">IFERROR(__xludf.DUMMYFUNCTION("""COMPUTED_VALUE"""),"8809859321203")</f>
        <v>8809859321203</v>
      </c>
      <c r="E221" s="16" t="str">
        <f ca="1">IFERROR(__xludf.DUMMYFUNCTION("""COMPUTED_VALUE"""),"50мл")</f>
        <v>50мл</v>
      </c>
      <c r="F221" s="16">
        <f ca="1">IFERROR(__xludf.DUMMYFUNCTION("""COMPUTED_VALUE"""),125)</f>
        <v>125</v>
      </c>
      <c r="G221" s="17">
        <f ca="1">IFERROR(__xludf.DUMMYFUNCTION("""COMPUTED_VALUE"""),11.18)</f>
        <v>11.18</v>
      </c>
    </row>
    <row r="222" spans="1:7" ht="28.5" customHeight="1" x14ac:dyDescent="0.15">
      <c r="A222" s="14" t="str">
        <f ca="1">IFERROR(__xludf.DUMMYFUNCTION("""COMPUTED_VALUE"""),"PURCELL")</f>
        <v>PURCELL</v>
      </c>
      <c r="B222" s="14" t="str">
        <f ca="1">IFERROR(__xludf.DUMMYFUNCTION("""COMPUTED_VALUE"""),"Маска")</f>
        <v>Маска</v>
      </c>
      <c r="C222" s="14" t="str">
        <f ca="1">IFERROR(__xludf.DUMMYFUNCTION("""COMPUTED_VALUE"""),"МАСКА ДЛЯ ЛИЦА - PURCELL PIXCELL BIOM MOISTURE BARRIER EYE MASK")</f>
        <v>МАСКА ДЛЯ ЛИЦА - PURCELL PIXCELL BIOM MOISTURE BARRIER EYE MASK</v>
      </c>
      <c r="D222" s="15" t="str">
        <f ca="1">IFERROR(__xludf.DUMMYFUNCTION("""COMPUTED_VALUE"""),"8809859321166")</f>
        <v>8809859321166</v>
      </c>
      <c r="E222" s="16" t="str">
        <f ca="1">IFERROR(__xludf.DUMMYFUNCTION("""COMPUTED_VALUE"""),"3г × 6шт")</f>
        <v>3г × 6шт</v>
      </c>
      <c r="F222" s="16">
        <f ca="1">IFERROR(__xludf.DUMMYFUNCTION("""COMPUTED_VALUE"""),249)</f>
        <v>249</v>
      </c>
      <c r="G222" s="17">
        <f ca="1">IFERROR(__xludf.DUMMYFUNCTION("""COMPUTED_VALUE"""),9.75)</f>
        <v>9.75</v>
      </c>
    </row>
    <row r="223" spans="1:7" ht="28.5" customHeight="1" x14ac:dyDescent="0.15">
      <c r="A223" s="14" t="str">
        <f ca="1">IFERROR(__xludf.DUMMYFUNCTION("""COMPUTED_VALUE"""),"PURCELL")</f>
        <v>PURCELL</v>
      </c>
      <c r="B223" s="14" t="str">
        <f ca="1">IFERROR(__xludf.DUMMYFUNCTION("""COMPUTED_VALUE"""),"Сыворотка")</f>
        <v>Сыворотка</v>
      </c>
      <c r="C223" s="14" t="str">
        <f ca="1">IFERROR(__xludf.DUMMYFUNCTION("""COMPUTED_VALUE"""),"СЫВОРОТКА ДЛЯ ЛИЦА - PURCELL 24/7 COLOSTRUM PORE DEFENCE AMPOULE WITH PIXCELL BIOM")</f>
        <v>СЫВОРОТКА ДЛЯ ЛИЦА - PURCELL 24/7 COLOSTRUM PORE DEFENCE AMPOULE WITH PIXCELL BIOM</v>
      </c>
      <c r="D223" s="15" t="str">
        <f ca="1">IFERROR(__xludf.DUMMYFUNCTION("""COMPUTED_VALUE"""),"8809859320039")</f>
        <v>8809859320039</v>
      </c>
      <c r="E223" s="16" t="str">
        <f ca="1">IFERROR(__xludf.DUMMYFUNCTION("""COMPUTED_VALUE"""),"55мл")</f>
        <v>55мл</v>
      </c>
      <c r="F223" s="16">
        <f ca="1">IFERROR(__xludf.DUMMYFUNCTION("""COMPUTED_VALUE"""),5514)</f>
        <v>5514</v>
      </c>
      <c r="G223" s="17">
        <f ca="1">IFERROR(__xludf.DUMMYFUNCTION("""COMPUTED_VALUE"""),11.78)</f>
        <v>11.78</v>
      </c>
    </row>
    <row r="224" spans="1:7" ht="28.5" customHeight="1" x14ac:dyDescent="0.15">
      <c r="A224" s="14" t="str">
        <f ca="1">IFERROR(__xludf.DUMMYFUNCTION("""COMPUTED_VALUE"""),"PURCELL")</f>
        <v>PURCELL</v>
      </c>
      <c r="B224" s="14" t="str">
        <f ca="1">IFERROR(__xludf.DUMMYFUNCTION("""COMPUTED_VALUE"""),"Сыворотка")</f>
        <v>Сыворотка</v>
      </c>
      <c r="C224" s="14" t="str">
        <f ca="1">IFERROR(__xludf.DUMMYFUNCTION("""COMPUTED_VALUE"""),"СЫВОРОТКА ДЛЯ ЛИЦА - PURCELL PIXCELL BIOM 2BILLION/ML SERUM")</f>
        <v>СЫВОРОТКА ДЛЯ ЛИЦА - PURCELL PIXCELL BIOM 2BILLION/ML SERUM</v>
      </c>
      <c r="D224" s="15" t="str">
        <f ca="1">IFERROR(__xludf.DUMMYFUNCTION("""COMPUTED_VALUE"""),"8809859320015")</f>
        <v>8809859320015</v>
      </c>
      <c r="E224" s="16" t="str">
        <f ca="1">IFERROR(__xludf.DUMMYFUNCTION("""COMPUTED_VALUE"""),"30мл")</f>
        <v>30мл</v>
      </c>
      <c r="F224" s="16">
        <f ca="1">IFERROR(__xludf.DUMMYFUNCTION("""COMPUTED_VALUE"""),398)</f>
        <v>398</v>
      </c>
      <c r="G224" s="17">
        <f ca="1">IFERROR(__xludf.DUMMYFUNCTION("""COMPUTED_VALUE"""),12.8)</f>
        <v>12.8</v>
      </c>
    </row>
    <row r="225" spans="1:7" ht="28.5" customHeight="1" x14ac:dyDescent="0.15">
      <c r="A225" s="14" t="str">
        <f ca="1">IFERROR(__xludf.DUMMYFUNCTION("""COMPUTED_VALUE"""),"PURCELL")</f>
        <v>PURCELL</v>
      </c>
      <c r="B225" s="14" t="str">
        <f ca="1">IFERROR(__xludf.DUMMYFUNCTION("""COMPUTED_VALUE"""),"Сыворотка")</f>
        <v>Сыворотка</v>
      </c>
      <c r="C225" s="14" t="str">
        <f ca="1">IFERROR(__xludf.DUMMYFUNCTION("""COMPUTED_VALUE"""),"СЫВОРОТКА ДЛЯ ЛИЦА - PURCELL PIXCELL BIOM GLOW BARRIER SERUM")</f>
        <v>СЫВОРОТКА ДЛЯ ЛИЦА - PURCELL PIXCELL BIOM GLOW BARRIER SERUM</v>
      </c>
      <c r="D225" s="15" t="str">
        <f ca="1">IFERROR(__xludf.DUMMYFUNCTION("""COMPUTED_VALUE"""),"8809859320985")</f>
        <v>8809859320985</v>
      </c>
      <c r="E225" s="16" t="str">
        <f ca="1">IFERROR(__xludf.DUMMYFUNCTION("""COMPUTED_VALUE"""),"50мл")</f>
        <v>50мл</v>
      </c>
      <c r="F225" s="16">
        <f ca="1">IFERROR(__xludf.DUMMYFUNCTION("""COMPUTED_VALUE"""),965)</f>
        <v>965</v>
      </c>
      <c r="G225" s="17">
        <f ca="1">IFERROR(__xludf.DUMMYFUNCTION("""COMPUTED_VALUE"""),11.78)</f>
        <v>11.78</v>
      </c>
    </row>
    <row r="226" spans="1:7" ht="28.5" customHeight="1" x14ac:dyDescent="0.15">
      <c r="A226" s="14" t="str">
        <f ca="1">IFERROR(__xludf.DUMMYFUNCTION("""COMPUTED_VALUE"""),"PURCELL")</f>
        <v>PURCELL</v>
      </c>
      <c r="B226" s="14" t="str">
        <f ca="1">IFERROR(__xludf.DUMMYFUNCTION("""COMPUTED_VALUE"""),"Тонер")</f>
        <v>Тонер</v>
      </c>
      <c r="C226" s="14" t="str">
        <f ca="1">IFERROR(__xludf.DUMMYFUNCTION("""COMPUTED_VALUE"""),"ТОНЕР ДЛЯ ЛИЦА - PURCELL L-GLUTATHIONE VITAMIN BOOSTING TONER")</f>
        <v>ТОНЕР ДЛЯ ЛИЦА - PURCELL L-GLUTATHIONE VITAMIN BOOSTING TONER</v>
      </c>
      <c r="D226" s="15" t="str">
        <f ca="1">IFERROR(__xludf.DUMMYFUNCTION("""COMPUTED_VALUE"""),"8809859320992")</f>
        <v>8809859320992</v>
      </c>
      <c r="E226" s="16" t="str">
        <f ca="1">IFERROR(__xludf.DUMMYFUNCTION("""COMPUTED_VALUE"""),"150мл")</f>
        <v>150мл</v>
      </c>
      <c r="F226" s="16">
        <f ca="1">IFERROR(__xludf.DUMMYFUNCTION("""COMPUTED_VALUE"""),205)</f>
        <v>205</v>
      </c>
      <c r="G226" s="17">
        <f ca="1">IFERROR(__xludf.DUMMYFUNCTION("""COMPUTED_VALUE"""),11.18)</f>
        <v>11.18</v>
      </c>
    </row>
    <row r="227" spans="1:7" ht="28.5" customHeight="1" x14ac:dyDescent="0.15">
      <c r="A227" s="14" t="str">
        <f ca="1">IFERROR(__xludf.DUMMYFUNCTION("""COMPUTED_VALUE"""),"PURCELL")</f>
        <v>PURCELL</v>
      </c>
      <c r="B227" s="14" t="str">
        <f ca="1">IFERROR(__xludf.DUMMYFUNCTION("""COMPUTED_VALUE"""),"Шампунь")</f>
        <v>Шампунь</v>
      </c>
      <c r="C227" s="14" t="str">
        <f ca="1">IFERROR(__xludf.DUMMYFUNCTION("""COMPUTED_VALUE"""),"ШАМПУНЬ ДЛЯ ВОЛОС - PURCELL PIXCELL BIOM SCALP BARRIER SHAMPOO")</f>
        <v>ШАМПУНЬ ДЛЯ ВОЛОС - PURCELL PIXCELL BIOM SCALP BARRIER SHAMPOO</v>
      </c>
      <c r="D227" s="15" t="str">
        <f ca="1">IFERROR(__xludf.DUMMYFUNCTION("""COMPUTED_VALUE"""),"8809859320114")</f>
        <v>8809859320114</v>
      </c>
      <c r="E227" s="16" t="str">
        <f ca="1">IFERROR(__xludf.DUMMYFUNCTION("""COMPUTED_VALUE"""),"280мл")</f>
        <v>280мл</v>
      </c>
      <c r="F227" s="16">
        <f ca="1">IFERROR(__xludf.DUMMYFUNCTION("""COMPUTED_VALUE"""),47)</f>
        <v>47</v>
      </c>
      <c r="G227" s="17">
        <f ca="1">IFERROR(__xludf.DUMMYFUNCTION("""COMPUTED_VALUE"""),9.75)</f>
        <v>9.75</v>
      </c>
    </row>
    <row r="228" spans="1:7" ht="28.5" customHeight="1" x14ac:dyDescent="0.15">
      <c r="A228" s="14" t="str">
        <f ca="1">IFERROR(__xludf.DUMMYFUNCTION("""COMPUTED_VALUE"""),"REJURAN")</f>
        <v>REJURAN</v>
      </c>
      <c r="B228" s="14" t="str">
        <f ca="1">IFERROR(__xludf.DUMMYFUNCTION("""COMPUTED_VALUE"""),"Крем")</f>
        <v>Крем</v>
      </c>
      <c r="C228" s="14" t="str">
        <f ca="1">IFERROR(__xludf.DUMMYFUNCTION("""COMPUTED_VALUE"""),"КРЕМ ДЛЯ ЛИЦА - REJURAN ACTIVE CREAM ENHANCED")</f>
        <v>КРЕМ ДЛЯ ЛИЦА - REJURAN ACTIVE CREAM ENHANCED</v>
      </c>
      <c r="D228" s="15" t="str">
        <f ca="1">IFERROR(__xludf.DUMMYFUNCTION("""COMPUTED_VALUE"""),"8806121404190")</f>
        <v>8806121404190</v>
      </c>
      <c r="E228" s="16" t="str">
        <f ca="1">IFERROR(__xludf.DUMMYFUNCTION("""COMPUTED_VALUE"""),"50мл")</f>
        <v>50мл</v>
      </c>
      <c r="F228" s="16">
        <f ca="1">IFERROR(__xludf.DUMMYFUNCTION("""COMPUTED_VALUE"""),106)</f>
        <v>106</v>
      </c>
      <c r="G228" s="17">
        <f ca="1">IFERROR(__xludf.DUMMYFUNCTION("""COMPUTED_VALUE"""),18.28)</f>
        <v>18.28</v>
      </c>
    </row>
    <row r="229" spans="1:7" ht="28.5" customHeight="1" x14ac:dyDescent="0.15">
      <c r="A229" s="14" t="str">
        <f ca="1">IFERROR(__xludf.DUMMYFUNCTION("""COMPUTED_VALUE"""),"REJURAN")</f>
        <v>REJURAN</v>
      </c>
      <c r="B229" s="14" t="str">
        <f ca="1">IFERROR(__xludf.DUMMYFUNCTION("""COMPUTED_VALUE"""),"Крем")</f>
        <v>Крем</v>
      </c>
      <c r="C229" s="14" t="str">
        <f ca="1">IFERROR(__xludf.DUMMYFUNCTION("""COMPUTED_VALUE"""),"КРЕМ ДЛЯ ЛИЦА - REJURAN MOISTURE CREAM")</f>
        <v>КРЕМ ДЛЯ ЛИЦА - REJURAN MOISTURE CREAM</v>
      </c>
      <c r="D229" s="15" t="str">
        <f ca="1">IFERROR(__xludf.DUMMYFUNCTION("""COMPUTED_VALUE"""),"8806121401878")</f>
        <v>8806121401878</v>
      </c>
      <c r="E229" s="16" t="str">
        <f ca="1">IFERROR(__xludf.DUMMYFUNCTION("""COMPUTED_VALUE"""),"60г")</f>
        <v>60г</v>
      </c>
      <c r="F229" s="16">
        <f ca="1">IFERROR(__xludf.DUMMYFUNCTION("""COMPUTED_VALUE"""),226)</f>
        <v>226</v>
      </c>
      <c r="G229" s="17">
        <f ca="1">IFERROR(__xludf.DUMMYFUNCTION("""COMPUTED_VALUE"""),16.25)</f>
        <v>16.25</v>
      </c>
    </row>
    <row r="230" spans="1:7" ht="28.5" customHeight="1" x14ac:dyDescent="0.15">
      <c r="A230" s="14" t="str">
        <f ca="1">IFERROR(__xludf.DUMMYFUNCTION("""COMPUTED_VALUE"""),"REJURAN")</f>
        <v>REJURAN</v>
      </c>
      <c r="B230" s="14" t="str">
        <f ca="1">IFERROR(__xludf.DUMMYFUNCTION("""COMPUTED_VALUE"""),"Крем")</f>
        <v>Крем</v>
      </c>
      <c r="C230" s="14" t="str">
        <f ca="1">IFERROR(__xludf.DUMMYFUNCTION("""COMPUTED_VALUE"""),"КРЕМ ДЛЯ ЛИЦА - REJURAN NUTRITIVE CREAM")</f>
        <v>КРЕМ ДЛЯ ЛИЦА - REJURAN NUTRITIVE CREAM</v>
      </c>
      <c r="D230" s="15" t="str">
        <f ca="1">IFERROR(__xludf.DUMMYFUNCTION("""COMPUTED_VALUE"""),"8806121401953")</f>
        <v>8806121401953</v>
      </c>
      <c r="E230" s="16" t="str">
        <f ca="1">IFERROR(__xludf.DUMMYFUNCTION("""COMPUTED_VALUE"""),"50мл")</f>
        <v>50мл</v>
      </c>
      <c r="F230" s="16">
        <f ca="1">IFERROR(__xludf.DUMMYFUNCTION("""COMPUTED_VALUE"""),192)</f>
        <v>192</v>
      </c>
      <c r="G230" s="17">
        <f ca="1">IFERROR(__xludf.DUMMYFUNCTION("""COMPUTED_VALUE"""),18.08)</f>
        <v>18.079999999999998</v>
      </c>
    </row>
    <row r="231" spans="1:7" ht="28.5" customHeight="1" x14ac:dyDescent="0.15">
      <c r="A231" s="14" t="str">
        <f ca="1">IFERROR(__xludf.DUMMYFUNCTION("""COMPUTED_VALUE"""),"REJURAN")</f>
        <v>REJURAN</v>
      </c>
      <c r="B231" s="14" t="str">
        <f ca="1">IFERROR(__xludf.DUMMYFUNCTION("""COMPUTED_VALUE"""),"Крем")</f>
        <v>Крем</v>
      </c>
      <c r="C231" s="14" t="str">
        <f ca="1">IFERROR(__xludf.DUMMYFUNCTION("""COMPUTED_VALUE"""),"КРЕМ ДЛЯ ЛИЦА - REJURAN POST CARE CREAM C-PDRN")</f>
        <v>КРЕМ ДЛЯ ЛИЦА - REJURAN POST CARE CREAM C-PDRN</v>
      </c>
      <c r="D231" s="15" t="str">
        <f ca="1">IFERROR(__xludf.DUMMYFUNCTION("""COMPUTED_VALUE"""),"8806121401076")</f>
        <v>8806121401076</v>
      </c>
      <c r="E231" s="16" t="str">
        <f ca="1">IFERROR(__xludf.DUMMYFUNCTION("""COMPUTED_VALUE"""),"50мл")</f>
        <v>50мл</v>
      </c>
      <c r="F231" s="16">
        <f ca="1">IFERROR(__xludf.DUMMYFUNCTION("""COMPUTED_VALUE"""),251)</f>
        <v>251</v>
      </c>
      <c r="G231" s="17">
        <f ca="1">IFERROR(__xludf.DUMMYFUNCTION("""COMPUTED_VALUE"""),14.63)</f>
        <v>14.63</v>
      </c>
    </row>
    <row r="232" spans="1:7" ht="28.5" customHeight="1" x14ac:dyDescent="0.15">
      <c r="A232" s="14" t="str">
        <f ca="1">IFERROR(__xludf.DUMMYFUNCTION("""COMPUTED_VALUE"""),"REJURAN")</f>
        <v>REJURAN</v>
      </c>
      <c r="B232" s="14" t="str">
        <f ca="1">IFERROR(__xludf.DUMMYFUNCTION("""COMPUTED_VALUE"""),"Крем")</f>
        <v>Крем</v>
      </c>
      <c r="C232" s="14" t="str">
        <f ca="1">IFERROR(__xludf.DUMMYFUNCTION("""COMPUTED_VALUE"""),"КРЕМ ДЛЯ ЛИЦА - REJURAN TURNOVER CREAM ENHANCED")</f>
        <v>КРЕМ ДЛЯ ЛИЦА - REJURAN TURNOVER CREAM ENHANCED</v>
      </c>
      <c r="D232" s="15" t="str">
        <f ca="1">IFERROR(__xludf.DUMMYFUNCTION("""COMPUTED_VALUE"""),"8806121403230")</f>
        <v>8806121403230</v>
      </c>
      <c r="E232" s="16" t="str">
        <f ca="1">IFERROR(__xludf.DUMMYFUNCTION("""COMPUTED_VALUE"""),"50мл")</f>
        <v>50мл</v>
      </c>
      <c r="F232" s="16">
        <f ca="1">IFERROR(__xludf.DUMMYFUNCTION("""COMPUTED_VALUE"""),413)</f>
        <v>413</v>
      </c>
      <c r="G232" s="17">
        <f ca="1">IFERROR(__xludf.DUMMYFUNCTION("""COMPUTED_VALUE"""),18.28)</f>
        <v>18.28</v>
      </c>
    </row>
    <row r="233" spans="1:7" ht="28.5" customHeight="1" x14ac:dyDescent="0.15">
      <c r="A233" s="14" t="str">
        <f ca="1">IFERROR(__xludf.DUMMYFUNCTION("""COMPUTED_VALUE"""),"REJURAN")</f>
        <v>REJURAN</v>
      </c>
      <c r="B233" s="14" t="str">
        <f ca="1">IFERROR(__xludf.DUMMYFUNCTION("""COMPUTED_VALUE"""),"Маска")</f>
        <v>Маска</v>
      </c>
      <c r="C233" s="14" t="str">
        <f ca="1">IFERROR(__xludf.DUMMYFUNCTION("""COMPUTED_VALUE"""),"МАСКА ДЛЯ ЛИЦА - REJURAN SKIN PROTECTION MASK")</f>
        <v>МАСКА ДЛЯ ЛИЦА - REJURAN SKIN PROTECTION MASK</v>
      </c>
      <c r="D233" s="15" t="str">
        <f ca="1">IFERROR(__xludf.DUMMYFUNCTION("""COMPUTED_VALUE"""),"8806121402134")</f>
        <v>8806121402134</v>
      </c>
      <c r="E233" s="16" t="str">
        <f ca="1">IFERROR(__xludf.DUMMYFUNCTION("""COMPUTED_VALUE"""),"1уп (27мл × 5шт)")</f>
        <v>1уп (27мл × 5шт)</v>
      </c>
      <c r="F233" s="16">
        <f ca="1">IFERROR(__xludf.DUMMYFUNCTION("""COMPUTED_VALUE"""),98)</f>
        <v>98</v>
      </c>
      <c r="G233" s="17">
        <f ca="1">IFERROR(__xludf.DUMMYFUNCTION("""COMPUTED_VALUE"""),11.98)</f>
        <v>11.98</v>
      </c>
    </row>
    <row r="234" spans="1:7" ht="28.5" customHeight="1" x14ac:dyDescent="0.15">
      <c r="A234" s="14" t="str">
        <f ca="1">IFERROR(__xludf.DUMMYFUNCTION("""COMPUTED_VALUE"""),"REJURAN")</f>
        <v>REJURAN</v>
      </c>
      <c r="B234" s="14" t="str">
        <f ca="1">IFERROR(__xludf.DUMMYFUNCTION("""COMPUTED_VALUE"""),"Маска")</f>
        <v>Маска</v>
      </c>
      <c r="C234" s="14" t="str">
        <f ca="1">IFERROR(__xludf.DUMMYFUNCTION("""COMPUTED_VALUE"""),"МАСКА ДЛЯ ЛИЦА - REJURAN TURNOVER MASK")</f>
        <v>МАСКА ДЛЯ ЛИЦА - REJURAN TURNOVER MASK</v>
      </c>
      <c r="D234" s="15" t="str">
        <f ca="1">IFERROR(__xludf.DUMMYFUNCTION("""COMPUTED_VALUE"""),"8806121401991")</f>
        <v>8806121401991</v>
      </c>
      <c r="E234" s="16" t="str">
        <f ca="1">IFERROR(__xludf.DUMMYFUNCTION("""COMPUTED_VALUE"""),"1уп (40мл*5шт)")</f>
        <v>1уп (40мл*5шт)</v>
      </c>
      <c r="F234" s="16">
        <f ca="1">IFERROR(__xludf.DUMMYFUNCTION("""COMPUTED_VALUE"""),82)</f>
        <v>82</v>
      </c>
      <c r="G234" s="17">
        <f ca="1">IFERROR(__xludf.DUMMYFUNCTION("""COMPUTED_VALUE"""),12.19)</f>
        <v>12.19</v>
      </c>
    </row>
    <row r="235" spans="1:7" ht="28.5" customHeight="1" x14ac:dyDescent="0.15">
      <c r="A235" s="14" t="str">
        <f ca="1">IFERROR(__xludf.DUMMYFUNCTION("""COMPUTED_VALUE"""),"REJURAN")</f>
        <v>REJURAN</v>
      </c>
      <c r="B235" s="14" t="str">
        <f ca="1">IFERROR(__xludf.DUMMYFUNCTION("""COMPUTED_VALUE"""),"Сыворотка")</f>
        <v>Сыворотка</v>
      </c>
      <c r="C235" s="14" t="str">
        <f ca="1">IFERROR(__xludf.DUMMYFUNCTION("""COMPUTED_VALUE"""),"СЫВОРОТКА ДЛЯ ЛИЦА - REJURAN HEALER TURNOVER AMPOULE")</f>
        <v>СЫВОРОТКА ДЛЯ ЛИЦА - REJURAN HEALER TURNOVER AMPOULE</v>
      </c>
      <c r="D235" s="15" t="str">
        <f ca="1">IFERROR(__xludf.DUMMYFUNCTION("""COMPUTED_VALUE"""),"8800051001948")</f>
        <v>8800051001948</v>
      </c>
      <c r="E235" s="16" t="str">
        <f ca="1">IFERROR(__xludf.DUMMYFUNCTION("""COMPUTED_VALUE"""),"30мл")</f>
        <v>30мл</v>
      </c>
      <c r="F235" s="16">
        <f ca="1">IFERROR(__xludf.DUMMYFUNCTION("""COMPUTED_VALUE"""),38)</f>
        <v>38</v>
      </c>
      <c r="G235" s="17">
        <f ca="1">IFERROR(__xludf.DUMMYFUNCTION("""COMPUTED_VALUE"""),25.8)</f>
        <v>25.8</v>
      </c>
    </row>
    <row r="236" spans="1:7" ht="28.5" customHeight="1" x14ac:dyDescent="0.15">
      <c r="A236" s="14" t="str">
        <f ca="1">IFERROR(__xludf.DUMMYFUNCTION("""COMPUTED_VALUE"""),"REJURAN")</f>
        <v>REJURAN</v>
      </c>
      <c r="B236" s="14" t="str">
        <f ca="1">IFERROR(__xludf.DUMMYFUNCTION("""COMPUTED_VALUE"""),"Эмульсия")</f>
        <v>Эмульсия</v>
      </c>
      <c r="C236" s="14" t="str">
        <f ca="1">IFERROR(__xludf.DUMMYFUNCTION("""COMPUTED_VALUE"""),"ЭМУЛЬСИЯ ДЛЯ ЛИЦА - REJURAN REFRESHING EMULSION")</f>
        <v>ЭМУЛЬСИЯ ДЛЯ ЛИЦА - REJURAN REFRESHING EMULSION</v>
      </c>
      <c r="D236" s="15" t="str">
        <f ca="1">IFERROR(__xludf.DUMMYFUNCTION("""COMPUTED_VALUE"""),"8806121401946")</f>
        <v>8806121401946</v>
      </c>
      <c r="E236" s="16" t="str">
        <f ca="1">IFERROR(__xludf.DUMMYFUNCTION("""COMPUTED_VALUE"""),"45мл")</f>
        <v>45мл</v>
      </c>
      <c r="F236" s="16">
        <f ca="1">IFERROR(__xludf.DUMMYFUNCTION("""COMPUTED_VALUE"""),210)</f>
        <v>210</v>
      </c>
      <c r="G236" s="17">
        <f ca="1">IFERROR(__xludf.DUMMYFUNCTION("""COMPUTED_VALUE"""),15.24)</f>
        <v>15.24</v>
      </c>
    </row>
    <row r="237" spans="1:7" ht="28.5" customHeight="1" x14ac:dyDescent="0.15">
      <c r="A237" s="14" t="str">
        <f ca="1">IFERROR(__xludf.DUMMYFUNCTION("""COMPUTED_VALUE"""),"SHISEIDO")</f>
        <v>SHISEIDO</v>
      </c>
      <c r="B237" s="14" t="str">
        <f ca="1">IFERROR(__xludf.DUMMYFUNCTION("""COMPUTED_VALUE"""),"Маска")</f>
        <v>Маска</v>
      </c>
      <c r="C237" s="14" t="str">
        <f ca="1">IFERROR(__xludf.DUMMYFUNCTION("""COMPUTED_VALUE"""),"МАСКА ДЛЯ ЛИЦА - SHISEIDO FINO PREMIUM TOUCH HAIR MASK")</f>
        <v>МАСКА ДЛЯ ЛИЦА - SHISEIDO FINO PREMIUM TOUCH HAIR MASK</v>
      </c>
      <c r="D237" s="15" t="str">
        <f ca="1">IFERROR(__xludf.DUMMYFUNCTION("""COMPUTED_VALUE"""),"4901872837144")</f>
        <v>4901872837144</v>
      </c>
      <c r="E237" s="16" t="str">
        <f ca="1">IFERROR(__xludf.DUMMYFUNCTION("""COMPUTED_VALUE"""),"230г")</f>
        <v>230г</v>
      </c>
      <c r="F237" s="16">
        <f ca="1">IFERROR(__xludf.DUMMYFUNCTION("""COMPUTED_VALUE"""),685)</f>
        <v>685</v>
      </c>
      <c r="G237" s="17">
        <f ca="1">IFERROR(__xludf.DUMMYFUNCTION("""COMPUTED_VALUE"""),7.32)</f>
        <v>7.32</v>
      </c>
    </row>
    <row r="238" spans="1:7" ht="28.5" customHeight="1" x14ac:dyDescent="0.15">
      <c r="A238" s="14" t="str">
        <f ca="1">IFERROR(__xludf.DUMMYFUNCTION("""COMPUTED_VALUE"""),"SKIN&amp;LAB")</f>
        <v>SKIN&amp;LAB</v>
      </c>
      <c r="B238" s="14" t="str">
        <f ca="1">IFERROR(__xludf.DUMMYFUNCTION("""COMPUTED_VALUE"""),"Гель-крем")</f>
        <v>Гель-крем</v>
      </c>
      <c r="C238" s="14" t="str">
        <f ca="1">IFERROR(__xludf.DUMMYFUNCTION("""COMPUTED_VALUE"""),"ГЕЛЬ-КРЕМ ДЛЯ ЛИЦА - SKIN&amp;LAB ECTOIN RECOVERY GEL CREAM")</f>
        <v>ГЕЛЬ-КРЕМ ДЛЯ ЛИЦА - SKIN&amp;LAB ECTOIN RECOVERY GEL CREAM</v>
      </c>
      <c r="D238" s="15" t="str">
        <f ca="1">IFERROR(__xludf.DUMMYFUNCTION("""COMPUTED_VALUE"""),"8809525936120")</f>
        <v>8809525936120</v>
      </c>
      <c r="E238" s="16" t="str">
        <f ca="1">IFERROR(__xludf.DUMMYFUNCTION("""COMPUTED_VALUE"""),"55мл")</f>
        <v>55мл</v>
      </c>
      <c r="F238" s="16">
        <f ca="1">IFERROR(__xludf.DUMMYFUNCTION("""COMPUTED_VALUE"""),26)</f>
        <v>26</v>
      </c>
      <c r="G238" s="17">
        <f ca="1">IFERROR(__xludf.DUMMYFUNCTION("""COMPUTED_VALUE"""),9.14)</f>
        <v>9.14</v>
      </c>
    </row>
    <row r="239" spans="1:7" ht="28.5" customHeight="1" x14ac:dyDescent="0.15">
      <c r="A239" s="14" t="str">
        <f ca="1">IFERROR(__xludf.DUMMYFUNCTION("""COMPUTED_VALUE"""),"SKIN&amp;LAB")</f>
        <v>SKIN&amp;LAB</v>
      </c>
      <c r="B239" s="14" t="str">
        <f ca="1">IFERROR(__xludf.DUMMYFUNCTION("""COMPUTED_VALUE"""),"Крем-маска")</f>
        <v>Крем-маска</v>
      </c>
      <c r="C239" s="14" t="str">
        <f ca="1">IFERROR(__xludf.DUMMYFUNCTION("""COMPUTED_VALUE"""),"КОСМЕТИЧЕСКАЯ МАСКА ДЛЯ ЛИЦА - SKIN&amp;LAB 3D PDRN X COLLAGEN WRAPPING MASK")</f>
        <v>КОСМЕТИЧЕСКАЯ МАСКА ДЛЯ ЛИЦА - SKIN&amp;LAB 3D PDRN X COLLAGEN WRAPPING MASK</v>
      </c>
      <c r="D239" s="15" t="str">
        <f ca="1">IFERROR(__xludf.DUMMYFUNCTION("""COMPUTED_VALUE"""),"8809525935345")</f>
        <v>8809525935345</v>
      </c>
      <c r="E239" s="16" t="str">
        <f ca="1">IFERROR(__xludf.DUMMYFUNCTION("""COMPUTED_VALUE"""),"70мл")</f>
        <v>70мл</v>
      </c>
      <c r="F239" s="16">
        <f ca="1">IFERROR(__xludf.DUMMYFUNCTION("""COMPUTED_VALUE"""),91)</f>
        <v>91</v>
      </c>
      <c r="G239" s="17">
        <f ca="1">IFERROR(__xludf.DUMMYFUNCTION("""COMPUTED_VALUE"""),7.93)</f>
        <v>7.93</v>
      </c>
    </row>
    <row r="240" spans="1:7" ht="28.5" customHeight="1" x14ac:dyDescent="0.15">
      <c r="A240" s="14" t="str">
        <f ca="1">IFERROR(__xludf.DUMMYFUNCTION("""COMPUTED_VALUE"""),"SKIN&amp;LAB")</f>
        <v>SKIN&amp;LAB</v>
      </c>
      <c r="B240" s="14" t="str">
        <f ca="1">IFERROR(__xludf.DUMMYFUNCTION("""COMPUTED_VALUE"""),"Новый SKU")</f>
        <v>Новый SKU</v>
      </c>
      <c r="C240" s="14" t="str">
        <f ca="1">IFERROR(__xludf.DUMMYFUNCTION("""COMPUTED_VALUE"""),"КОСМЕТИЧЕСКОЕ СРЕДСТВО - SKIN&amp;LAB CLEAN &amp; EASY BLEMISH SPOT PATCH")</f>
        <v>КОСМЕТИЧЕСКОЕ СРЕДСТВО - SKIN&amp;LAB CLEAN &amp; EASY BLEMISH SPOT PATCH</v>
      </c>
      <c r="D240" s="15" t="str">
        <f ca="1">IFERROR(__xludf.DUMMYFUNCTION("""COMPUTED_VALUE"""),"8809525931187")</f>
        <v>8809525931187</v>
      </c>
      <c r="E240" s="16" t="str">
        <f ca="1">IFERROR(__xludf.DUMMYFUNCTION("""COMPUTED_VALUE"""),"54шт")</f>
        <v>54шт</v>
      </c>
      <c r="F240" s="16">
        <f ca="1">IFERROR(__xludf.DUMMYFUNCTION("""COMPUTED_VALUE"""),413)</f>
        <v>413</v>
      </c>
      <c r="G240" s="17">
        <f ca="1">IFERROR(__xludf.DUMMYFUNCTION("""COMPUTED_VALUE"""),5.49)</f>
        <v>5.49</v>
      </c>
    </row>
    <row r="241" spans="1:7" ht="28.5" customHeight="1" x14ac:dyDescent="0.15">
      <c r="A241" s="14" t="str">
        <f ca="1">IFERROR(__xludf.DUMMYFUNCTION("""COMPUTED_VALUE"""),"SKIN&amp;LAB")</f>
        <v>SKIN&amp;LAB</v>
      </c>
      <c r="B241" s="14" t="str">
        <f ca="1">IFERROR(__xludf.DUMMYFUNCTION("""COMPUTED_VALUE"""),"Крем")</f>
        <v>Крем</v>
      </c>
      <c r="C241" s="14" t="str">
        <f ca="1">IFERROR(__xludf.DUMMYFUNCTION("""COMPUTED_VALUE"""),"КРЕМ ДЛЯ ЛИЦА - SKIN&amp;LAB BARRIERDERM INTENSIVE CREAM")</f>
        <v>КРЕМ ДЛЯ ЛИЦА - SKIN&amp;LAB BARRIERDERM INTENSIVE CREAM</v>
      </c>
      <c r="D241" s="15" t="str">
        <f ca="1">IFERROR(__xludf.DUMMYFUNCTION("""COMPUTED_VALUE"""),"8809525931361")</f>
        <v>8809525931361</v>
      </c>
      <c r="E241" s="16" t="str">
        <f ca="1">IFERROR(__xludf.DUMMYFUNCTION("""COMPUTED_VALUE"""),"100мл")</f>
        <v>100мл</v>
      </c>
      <c r="F241" s="16">
        <f ca="1">IFERROR(__xludf.DUMMYFUNCTION("""COMPUTED_VALUE"""),155)</f>
        <v>155</v>
      </c>
      <c r="G241" s="17">
        <f ca="1">IFERROR(__xludf.DUMMYFUNCTION("""COMPUTED_VALUE"""),9.55)</f>
        <v>9.5500000000000007</v>
      </c>
    </row>
    <row r="242" spans="1:7" ht="28.5" customHeight="1" x14ac:dyDescent="0.15">
      <c r="A242" s="14" t="str">
        <f ca="1">IFERROR(__xludf.DUMMYFUNCTION("""COMPUTED_VALUE"""),"SKIN&amp;LAB")</f>
        <v>SKIN&amp;LAB</v>
      </c>
      <c r="B242" s="14" t="str">
        <f ca="1">IFERROR(__xludf.DUMMYFUNCTION("""COMPUTED_VALUE"""),"Крем")</f>
        <v>Крем</v>
      </c>
      <c r="C242" s="14" t="str">
        <f ca="1">IFERROR(__xludf.DUMMYFUNCTION("""COMPUTED_VALUE"""),"КРЕМ ДЛЯ ЛИЦА - SKIN&amp;LAB BARRIERDERM INTENSIVE CREAM")</f>
        <v>КРЕМ ДЛЯ ЛИЦА - SKIN&amp;LAB BARRIERDERM INTENSIVE CREAM</v>
      </c>
      <c r="D242" s="15" t="str">
        <f ca="1">IFERROR(__xludf.DUMMYFUNCTION("""COMPUTED_VALUE"""),"8809525931132")</f>
        <v>8809525931132</v>
      </c>
      <c r="E242" s="16" t="str">
        <f ca="1">IFERROR(__xludf.DUMMYFUNCTION("""COMPUTED_VALUE"""),"50мл")</f>
        <v>50мл</v>
      </c>
      <c r="F242" s="16">
        <f ca="1">IFERROR(__xludf.DUMMYFUNCTION("""COMPUTED_VALUE"""),127)</f>
        <v>127</v>
      </c>
      <c r="G242" s="17">
        <f ca="1">IFERROR(__xludf.DUMMYFUNCTION("""COMPUTED_VALUE"""),8.13)</f>
        <v>8.1300000000000008</v>
      </c>
    </row>
    <row r="243" spans="1:7" ht="28.5" customHeight="1" x14ac:dyDescent="0.15">
      <c r="A243" s="14" t="str">
        <f ca="1">IFERROR(__xludf.DUMMYFUNCTION("""COMPUTED_VALUE"""),"SKIN&amp;LAB")</f>
        <v>SKIN&amp;LAB</v>
      </c>
      <c r="B243" s="14" t="str">
        <f ca="1">IFERROR(__xludf.DUMMYFUNCTION("""COMPUTED_VALUE"""),"Пенка")</f>
        <v>Пенка</v>
      </c>
      <c r="C243" s="14" t="str">
        <f ca="1">IFERROR(__xludf.DUMMYFUNCTION("""COMPUTED_VALUE"""),"ОЧИЩАЮЩАЯ ПЕНКА ДЛЯ ЛИЦА - SKIN&amp;LAB BARRIERDERM MILD FOAM CLEANSER")</f>
        <v>ОЧИЩАЮЩАЯ ПЕНКА ДЛЯ ЛИЦА - SKIN&amp;LAB BARRIERDERM MILD FOAM CLEANSER</v>
      </c>
      <c r="D243" s="15" t="str">
        <f ca="1">IFERROR(__xludf.DUMMYFUNCTION("""COMPUTED_VALUE"""),"8809525931637")</f>
        <v>8809525931637</v>
      </c>
      <c r="E243" s="16" t="str">
        <f ca="1">IFERROR(__xludf.DUMMYFUNCTION("""COMPUTED_VALUE"""),"150мл")</f>
        <v>150мл</v>
      </c>
      <c r="F243" s="16">
        <f ca="1">IFERROR(__xludf.DUMMYFUNCTION("""COMPUTED_VALUE"""),110)</f>
        <v>110</v>
      </c>
      <c r="G243" s="17">
        <f ca="1">IFERROR(__xludf.DUMMYFUNCTION("""COMPUTED_VALUE"""),7.52)</f>
        <v>7.52</v>
      </c>
    </row>
    <row r="244" spans="1:7" ht="28.5" customHeight="1" x14ac:dyDescent="0.15">
      <c r="A244" s="14" t="str">
        <f ca="1">IFERROR(__xludf.DUMMYFUNCTION("""COMPUTED_VALUE"""),"SKIN&amp;LAB")</f>
        <v>SKIN&amp;LAB</v>
      </c>
      <c r="B244" s="14" t="str">
        <f ca="1">IFERROR(__xludf.DUMMYFUNCTION("""COMPUTED_VALUE"""),"Пудра для умывания")</f>
        <v>Пудра для умывания</v>
      </c>
      <c r="C244" s="14" t="str">
        <f ca="1">IFERROR(__xludf.DUMMYFUNCTION("""COMPUTED_VALUE"""),"ОЧИЩАЮЩАЯ ПУДРА ДЛЯ ЛИЦА - SKIN&amp;LAB 3D PDRN X COLLAGEN ENZYME CLEANSING POWDER")</f>
        <v>ОЧИЩАЮЩАЯ ПУДРА ДЛЯ ЛИЦА - SKIN&amp;LAB 3D PDRN X COLLAGEN ENZYME CLEANSING POWDER</v>
      </c>
      <c r="D244" s="15" t="str">
        <f ca="1">IFERROR(__xludf.DUMMYFUNCTION("""COMPUTED_VALUE"""),"8809525935550")</f>
        <v>8809525935550</v>
      </c>
      <c r="E244" s="16" t="str">
        <f ca="1">IFERROR(__xludf.DUMMYFUNCTION("""COMPUTED_VALUE"""),"50г")</f>
        <v>50г</v>
      </c>
      <c r="F244" s="16">
        <f ca="1">IFERROR(__xludf.DUMMYFUNCTION("""COMPUTED_VALUE"""),89)</f>
        <v>89</v>
      </c>
      <c r="G244" s="17">
        <f ca="1">IFERROR(__xludf.DUMMYFUNCTION("""COMPUTED_VALUE"""),8.54)</f>
        <v>8.5399999999999991</v>
      </c>
    </row>
    <row r="245" spans="1:7" ht="28.5" customHeight="1" x14ac:dyDescent="0.15">
      <c r="A245" s="14" t="str">
        <f ca="1">IFERROR(__xludf.DUMMYFUNCTION("""COMPUTED_VALUE"""),"SKIN&amp;LAB")</f>
        <v>SKIN&amp;LAB</v>
      </c>
      <c r="B245" s="14" t="str">
        <f ca="1">IFERROR(__xludf.DUMMYFUNCTION("""COMPUTED_VALUE"""),"Солнцезащитный крем")</f>
        <v>Солнцезащитный крем</v>
      </c>
      <c r="C245" s="14" t="str">
        <f ca="1">IFERROR(__xludf.DUMMYFUNCTION("""COMPUTED_VALUE"""),"СОЛНЦЕЗАЩИТНОЕ СРЕДСТВО - SKIN&amp;LAB ECTOIN RECOVERY SUN FLUID")</f>
        <v>СОЛНЦЕЗАЩИТНОЕ СРЕДСТВО - SKIN&amp;LAB ECTOIN RECOVERY SUN FLUID</v>
      </c>
      <c r="D245" s="15" t="str">
        <f ca="1">IFERROR(__xludf.DUMMYFUNCTION("""COMPUTED_VALUE"""),"8809525936137")</f>
        <v>8809525936137</v>
      </c>
      <c r="E245" s="16" t="str">
        <f ca="1">IFERROR(__xludf.DUMMYFUNCTION("""COMPUTED_VALUE"""),"50мл")</f>
        <v>50мл</v>
      </c>
      <c r="F245" s="16">
        <f ca="1">IFERROR(__xludf.DUMMYFUNCTION("""COMPUTED_VALUE"""),98)</f>
        <v>98</v>
      </c>
      <c r="G245" s="17">
        <f ca="1">IFERROR(__xludf.DUMMYFUNCTION("""COMPUTED_VALUE"""),8.13)</f>
        <v>8.1300000000000008</v>
      </c>
    </row>
    <row r="246" spans="1:7" ht="28.5" customHeight="1" x14ac:dyDescent="0.15">
      <c r="A246" s="14" t="str">
        <f ca="1">IFERROR(__xludf.DUMMYFUNCTION("""COMPUTED_VALUE"""),"SKIN&amp;LAB")</f>
        <v>SKIN&amp;LAB</v>
      </c>
      <c r="B246" s="14" t="str">
        <f ca="1">IFERROR(__xludf.DUMMYFUNCTION("""COMPUTED_VALUE"""),"Солнцезащитный крем")</f>
        <v>Солнцезащитный крем</v>
      </c>
      <c r="C246" s="14" t="str">
        <f ca="1">IFERROR(__xludf.DUMMYFUNCTION("""COMPUTED_VALUE"""),"СОЛНЦЕЗАЩИТНОЕ СРЕДСТВО - SKIN&amp;LAB HYBARRIER FRESH SUN LOTION")</f>
        <v>СОЛНЦЕЗАЩИТНОЕ СРЕДСТВО - SKIN&amp;LAB HYBARRIER FRESH SUN LOTION</v>
      </c>
      <c r="D246" s="15" t="str">
        <f ca="1">IFERROR(__xludf.DUMMYFUNCTION("""COMPUTED_VALUE"""),"8809525933457")</f>
        <v>8809525933457</v>
      </c>
      <c r="E246" s="16" t="str">
        <f ca="1">IFERROR(__xludf.DUMMYFUNCTION("""COMPUTED_VALUE"""),"50мл")</f>
        <v>50мл</v>
      </c>
      <c r="F246" s="16">
        <f ca="1">IFERROR(__xludf.DUMMYFUNCTION("""COMPUTED_VALUE"""),78)</f>
        <v>78</v>
      </c>
      <c r="G246" s="17">
        <f ca="1">IFERROR(__xludf.DUMMYFUNCTION("""COMPUTED_VALUE"""),8.13)</f>
        <v>8.1300000000000008</v>
      </c>
    </row>
    <row r="247" spans="1:7" ht="28.5" customHeight="1" x14ac:dyDescent="0.15">
      <c r="A247" s="14" t="str">
        <f ca="1">IFERROR(__xludf.DUMMYFUNCTION("""COMPUTED_VALUE"""),"SKIN&amp;LAB")</f>
        <v>SKIN&amp;LAB</v>
      </c>
      <c r="B247" s="14" t="str">
        <f ca="1">IFERROR(__xludf.DUMMYFUNCTION("""COMPUTED_VALUE"""),"Средство для умывания")</f>
        <v>Средство для умывания</v>
      </c>
      <c r="C247" s="14" t="str">
        <f ca="1">IFERROR(__xludf.DUMMYFUNCTION("""COMPUTED_VALUE"""),"СРЕДСТВО ДЛЯ УМЫВАНИЯ ЛИЦА - SKIN&amp;LAB GLYCOLIC ACID X VITAMIN C CALMING CLEANSER")</f>
        <v>СРЕДСТВО ДЛЯ УМЫВАНИЯ ЛИЦА - SKIN&amp;LAB GLYCOLIC ACID X VITAMIN C CALMING CLEANSER</v>
      </c>
      <c r="D247" s="15" t="str">
        <f ca="1">IFERROR(__xludf.DUMMYFUNCTION("""COMPUTED_VALUE"""),"8809525935680")</f>
        <v>8809525935680</v>
      </c>
      <c r="E247" s="16" t="str">
        <f ca="1">IFERROR(__xludf.DUMMYFUNCTION("""COMPUTED_VALUE"""),"150мл")</f>
        <v>150мл</v>
      </c>
      <c r="F247" s="16">
        <f ca="1">IFERROR(__xludf.DUMMYFUNCTION("""COMPUTED_VALUE"""),42)</f>
        <v>42</v>
      </c>
      <c r="G247" s="17">
        <f ca="1">IFERROR(__xludf.DUMMYFUNCTION("""COMPUTED_VALUE"""),6.5)</f>
        <v>6.5</v>
      </c>
    </row>
    <row r="248" spans="1:7" ht="28.5" customHeight="1" x14ac:dyDescent="0.15">
      <c r="A248" s="14" t="str">
        <f ca="1">IFERROR(__xludf.DUMMYFUNCTION("""COMPUTED_VALUE"""),"SKIN&amp;LAB")</f>
        <v>SKIN&amp;LAB</v>
      </c>
      <c r="B248" s="14" t="str">
        <f ca="1">IFERROR(__xludf.DUMMYFUNCTION("""COMPUTED_VALUE"""),"Средство для умывания")</f>
        <v>Средство для умывания</v>
      </c>
      <c r="C248" s="14" t="str">
        <f ca="1">IFERROR(__xludf.DUMMYFUNCTION("""COMPUTED_VALUE"""),"СРЕДСТВО ДЛЯ УМЫВАНИЯ ЛИЦА - SKIN&amp;LAB HYBARRIER HYALURONIC CAPSULE CLEANSER")</f>
        <v>СРЕДСТВО ДЛЯ УМЫВАНИЯ ЛИЦА - SKIN&amp;LAB HYBARRIER HYALURONIC CAPSULE CLEANSER</v>
      </c>
      <c r="D248" s="15" t="str">
        <f ca="1">IFERROR(__xludf.DUMMYFUNCTION("""COMPUTED_VALUE"""),"8809525931385")</f>
        <v>8809525931385</v>
      </c>
      <c r="E248" s="16" t="str">
        <f ca="1">IFERROR(__xludf.DUMMYFUNCTION("""COMPUTED_VALUE"""),"200мл")</f>
        <v>200мл</v>
      </c>
      <c r="F248" s="16">
        <f ca="1">IFERROR(__xludf.DUMMYFUNCTION("""COMPUTED_VALUE"""),55)</f>
        <v>55</v>
      </c>
      <c r="G248" s="17">
        <f ca="1">IFERROR(__xludf.DUMMYFUNCTION("""COMPUTED_VALUE"""),7.11)</f>
        <v>7.11</v>
      </c>
    </row>
    <row r="249" spans="1:7" ht="28.5" customHeight="1" x14ac:dyDescent="0.15">
      <c r="A249" s="14" t="str">
        <f ca="1">IFERROR(__xludf.DUMMYFUNCTION("""COMPUTED_VALUE"""),"SKIN&amp;LAB")</f>
        <v>SKIN&amp;LAB</v>
      </c>
      <c r="B249" s="14" t="str">
        <f ca="1">IFERROR(__xludf.DUMMYFUNCTION("""COMPUTED_VALUE"""),"Сыворотка для век")</f>
        <v>Сыворотка для век</v>
      </c>
      <c r="C249" s="14" t="str">
        <f ca="1">IFERROR(__xludf.DUMMYFUNCTION("""COMPUTED_VALUE"""),"СЫВОРОТКА ДЛЯ ГЛАЗ - SKIN&amp;LAB BAKUCHIOL EYE SERUM")</f>
        <v>СЫВОРОТКА ДЛЯ ГЛАЗ - SKIN&amp;LAB BAKUCHIOL EYE SERUM</v>
      </c>
      <c r="D249" s="15" t="str">
        <f ca="1">IFERROR(__xludf.DUMMYFUNCTION("""COMPUTED_VALUE"""),"8809525936366")</f>
        <v>8809525936366</v>
      </c>
      <c r="E249" s="16" t="str">
        <f ca="1">IFERROR(__xludf.DUMMYFUNCTION("""COMPUTED_VALUE"""),"15мл")</f>
        <v>15мл</v>
      </c>
      <c r="F249" s="16">
        <f ca="1">IFERROR(__xludf.DUMMYFUNCTION("""COMPUTED_VALUE"""),383)</f>
        <v>383</v>
      </c>
      <c r="G249" s="17">
        <f ca="1">IFERROR(__xludf.DUMMYFUNCTION("""COMPUTED_VALUE"""),10.16)</f>
        <v>10.16</v>
      </c>
    </row>
    <row r="250" spans="1:7" ht="28.5" customHeight="1" x14ac:dyDescent="0.15">
      <c r="A250" s="14" t="str">
        <f ca="1">IFERROR(__xludf.DUMMYFUNCTION("""COMPUTED_VALUE"""),"SKIN&amp;LAB")</f>
        <v>SKIN&amp;LAB</v>
      </c>
      <c r="B250" s="14" t="str">
        <f ca="1">IFERROR(__xludf.DUMMYFUNCTION("""COMPUTED_VALUE"""),"Сыворотка")</f>
        <v>Сыворотка</v>
      </c>
      <c r="C250" s="14" t="str">
        <f ca="1">IFERROR(__xludf.DUMMYFUNCTION("""COMPUTED_VALUE"""),"СЫВОРОТКА ДЛЯ ЛИЦА - SKIN&amp;LAB 3D PDRN X COLLAGEN AMPOULE")</f>
        <v>СЫВОРОТКА ДЛЯ ЛИЦА - SKIN&amp;LAB 3D PDRN X COLLAGEN AMPOULE</v>
      </c>
      <c r="D250" s="15" t="str">
        <f ca="1">IFERROR(__xludf.DUMMYFUNCTION("""COMPUTED_VALUE"""),"8809525935338")</f>
        <v>8809525935338</v>
      </c>
      <c r="E250" s="16" t="str">
        <f ca="1">IFERROR(__xludf.DUMMYFUNCTION("""COMPUTED_VALUE"""),"30мл")</f>
        <v>30мл</v>
      </c>
      <c r="F250" s="16">
        <f ca="1">IFERROR(__xludf.DUMMYFUNCTION("""COMPUTED_VALUE"""),15)</f>
        <v>15</v>
      </c>
      <c r="G250" s="17">
        <f ca="1">IFERROR(__xludf.DUMMYFUNCTION("""COMPUTED_VALUE"""),8.13)</f>
        <v>8.1300000000000008</v>
      </c>
    </row>
    <row r="251" spans="1:7" ht="28.5" customHeight="1" x14ac:dyDescent="0.15">
      <c r="A251" s="14" t="str">
        <f ca="1">IFERROR(__xludf.DUMMYFUNCTION("""COMPUTED_VALUE"""),"SKIN&amp;LAB")</f>
        <v>SKIN&amp;LAB</v>
      </c>
      <c r="B251" s="14" t="str">
        <f ca="1">IFERROR(__xludf.DUMMYFUNCTION("""COMPUTED_VALUE"""),"Сыворотка")</f>
        <v>Сыворотка</v>
      </c>
      <c r="C251" s="14" t="str">
        <f ca="1">IFERROR(__xludf.DUMMYFUNCTION("""COMPUTED_VALUE"""),"СЫВОРОТКА ДЛЯ ЛИЦА - SKIN&amp;LAB BARRIERDERM MILKY SERUM")</f>
        <v>СЫВОРОТКА ДЛЯ ЛИЦА - SKIN&amp;LAB BARRIERDERM MILKY SERUM</v>
      </c>
      <c r="D251" s="15" t="str">
        <f ca="1">IFERROR(__xludf.DUMMYFUNCTION("""COMPUTED_VALUE"""),"8809525931569")</f>
        <v>8809525931569</v>
      </c>
      <c r="E251" s="16" t="str">
        <f ca="1">IFERROR(__xludf.DUMMYFUNCTION("""COMPUTED_VALUE"""),"50мл")</f>
        <v>50мл</v>
      </c>
      <c r="F251" s="16">
        <f ca="1">IFERROR(__xludf.DUMMYFUNCTION("""COMPUTED_VALUE"""),412)</f>
        <v>412</v>
      </c>
      <c r="G251" s="17">
        <f ca="1">IFERROR(__xludf.DUMMYFUNCTION("""COMPUTED_VALUE"""),9.14)</f>
        <v>9.14</v>
      </c>
    </row>
    <row r="252" spans="1:7" ht="28.5" customHeight="1" x14ac:dyDescent="0.15">
      <c r="A252" s="14" t="str">
        <f ca="1">IFERROR(__xludf.DUMMYFUNCTION("""COMPUTED_VALUE"""),"SKIN&amp;LAB")</f>
        <v>SKIN&amp;LAB</v>
      </c>
      <c r="B252" s="14" t="str">
        <f ca="1">IFERROR(__xludf.DUMMYFUNCTION("""COMPUTED_VALUE"""),"Сыворотка")</f>
        <v>Сыворотка</v>
      </c>
      <c r="C252" s="14" t="str">
        <f ca="1">IFERROR(__xludf.DUMMYFUNCTION("""COMPUTED_VALUE"""),"СЫВОРОТКА ДЛЯ ЛИЦА - SKIN&amp;LAB GLUTATHIONE RADIANCE SERUM")</f>
        <v>СЫВОРОТКА ДЛЯ ЛИЦА - SKIN&amp;LAB GLUTATHIONE RADIANCE SERUM</v>
      </c>
      <c r="D252" s="15" t="str">
        <f ca="1">IFERROR(__xludf.DUMMYFUNCTION("""COMPUTED_VALUE"""),"8809525935178")</f>
        <v>8809525935178</v>
      </c>
      <c r="E252" s="16" t="str">
        <f ca="1">IFERROR(__xludf.DUMMYFUNCTION("""COMPUTED_VALUE"""),"30мл")</f>
        <v>30мл</v>
      </c>
      <c r="F252" s="16">
        <f ca="1">IFERROR(__xludf.DUMMYFUNCTION("""COMPUTED_VALUE"""),99)</f>
        <v>99</v>
      </c>
      <c r="G252" s="17">
        <f ca="1">IFERROR(__xludf.DUMMYFUNCTION("""COMPUTED_VALUE"""),9.14)</f>
        <v>9.14</v>
      </c>
    </row>
    <row r="253" spans="1:7" ht="28.5" customHeight="1" x14ac:dyDescent="0.15">
      <c r="A253" s="14" t="str">
        <f ca="1">IFERROR(__xludf.DUMMYFUNCTION("""COMPUTED_VALUE"""),"SKIN&amp;LAB")</f>
        <v>SKIN&amp;LAB</v>
      </c>
      <c r="B253" s="14" t="str">
        <f ca="1">IFERROR(__xludf.DUMMYFUNCTION("""COMPUTED_VALUE"""),"Сыворотка")</f>
        <v>Сыворотка</v>
      </c>
      <c r="C253" s="14" t="str">
        <f ca="1">IFERROR(__xludf.DUMMYFUNCTION("""COMPUTED_VALUE"""),"СЫВОРОТКА ДЛЯ ЛИЦА - SKIN&amp;LAB NIACINAMIDE RECOVERY SERUM")</f>
        <v>СЫВОРОТКА ДЛЯ ЛИЦА - SKIN&amp;LAB NIACINAMIDE RECOVERY SERUM</v>
      </c>
      <c r="D253" s="15" t="str">
        <f ca="1">IFERROR(__xludf.DUMMYFUNCTION("""COMPUTED_VALUE"""),"8809525932085")</f>
        <v>8809525932085</v>
      </c>
      <c r="E253" s="16" t="str">
        <f ca="1">IFERROR(__xludf.DUMMYFUNCTION("""COMPUTED_VALUE"""),"30мл")</f>
        <v>30мл</v>
      </c>
      <c r="F253" s="16">
        <f ca="1">IFERROR(__xludf.DUMMYFUNCTION("""COMPUTED_VALUE"""),385)</f>
        <v>385</v>
      </c>
      <c r="G253" s="17">
        <f ca="1">IFERROR(__xludf.DUMMYFUNCTION("""COMPUTED_VALUE"""),8.13)</f>
        <v>8.1300000000000008</v>
      </c>
    </row>
    <row r="254" spans="1:7" ht="28.5" customHeight="1" x14ac:dyDescent="0.15">
      <c r="A254" s="14" t="str">
        <f ca="1">IFERROR(__xludf.DUMMYFUNCTION("""COMPUTED_VALUE"""),"SKIN&amp;LAB")</f>
        <v>SKIN&amp;LAB</v>
      </c>
      <c r="B254" s="14" t="str">
        <f ca="1">IFERROR(__xludf.DUMMYFUNCTION("""COMPUTED_VALUE"""),"Сыворотка")</f>
        <v>Сыворотка</v>
      </c>
      <c r="C254" s="14" t="str">
        <f ca="1">IFERROR(__xludf.DUMMYFUNCTION("""COMPUTED_VALUE"""),"СЫВОРОТКА ДЛЯ ЛИЦА - SKIN&amp;LAB RETINOL REPAIR SERUM")</f>
        <v>СЫВОРОТКА ДЛЯ ЛИЦА - SKIN&amp;LAB RETINOL REPAIR SERUM</v>
      </c>
      <c r="D254" s="15" t="str">
        <f ca="1">IFERROR(__xludf.DUMMYFUNCTION("""COMPUTED_VALUE"""),"8809525931880")</f>
        <v>8809525931880</v>
      </c>
      <c r="E254" s="16" t="str">
        <f ca="1">IFERROR(__xludf.DUMMYFUNCTION("""COMPUTED_VALUE"""),"30мл")</f>
        <v>30мл</v>
      </c>
      <c r="F254" s="16">
        <f ca="1">IFERROR(__xludf.DUMMYFUNCTION("""COMPUTED_VALUE"""),42)</f>
        <v>42</v>
      </c>
      <c r="G254" s="17">
        <f ca="1">IFERROR(__xludf.DUMMYFUNCTION("""COMPUTED_VALUE"""),8.54)</f>
        <v>8.5399999999999991</v>
      </c>
    </row>
    <row r="255" spans="1:7" ht="28.5" customHeight="1" x14ac:dyDescent="0.15">
      <c r="A255" s="14" t="str">
        <f ca="1">IFERROR(__xludf.DUMMYFUNCTION("""COMPUTED_VALUE"""),"SKIN&amp;LAB")</f>
        <v>SKIN&amp;LAB</v>
      </c>
      <c r="B255" s="14" t="str">
        <f ca="1">IFERROR(__xludf.DUMMYFUNCTION("""COMPUTED_VALUE"""),"Сыворотка")</f>
        <v>Сыворотка</v>
      </c>
      <c r="C255" s="14" t="str">
        <f ca="1">IFERROR(__xludf.DUMMYFUNCTION("""COMPUTED_VALUE"""),"СЫВОРОТКА ДЛЯ ЛИЦА - SKIN&amp;LAB VITAMIN C BRIGHTENING SERUM")</f>
        <v>СЫВОРОТКА ДЛЯ ЛИЦА - SKIN&amp;LAB VITAMIN C BRIGHTENING SERUM</v>
      </c>
      <c r="D255" s="15" t="str">
        <f ca="1">IFERROR(__xludf.DUMMYFUNCTION("""COMPUTED_VALUE"""),"8809525930494")</f>
        <v>8809525930494</v>
      </c>
      <c r="E255" s="16" t="str">
        <f ca="1">IFERROR(__xludf.DUMMYFUNCTION("""COMPUTED_VALUE"""),"30мл")</f>
        <v>30мл</v>
      </c>
      <c r="F255" s="16">
        <f ca="1">IFERROR(__xludf.DUMMYFUNCTION("""COMPUTED_VALUE"""),726)</f>
        <v>726</v>
      </c>
      <c r="G255" s="17">
        <f ca="1">IFERROR(__xludf.DUMMYFUNCTION("""COMPUTED_VALUE"""),8.74)</f>
        <v>8.74</v>
      </c>
    </row>
    <row r="256" spans="1:7" ht="28.5" customHeight="1" x14ac:dyDescent="0.15">
      <c r="A256" s="14" t="str">
        <f ca="1">IFERROR(__xludf.DUMMYFUNCTION("""COMPUTED_VALUE"""),"SKIN&amp;LAB")</f>
        <v>SKIN&amp;LAB</v>
      </c>
      <c r="B256" s="14" t="str">
        <f ca="1">IFERROR(__xludf.DUMMYFUNCTION("""COMPUTED_VALUE"""),"Тонер")</f>
        <v>Тонер</v>
      </c>
      <c r="C256" s="14" t="str">
        <f ca="1">IFERROR(__xludf.DUMMYFUNCTION("""COMPUTED_VALUE"""),"ТОНЕР ДЛЯ ЛИЦА - SKIN&amp;LAB 3D PDRN X COLLAGEN GLOW BOOSTER TONER")</f>
        <v>ТОНЕР ДЛЯ ЛИЦА - SKIN&amp;LAB 3D PDRN X COLLAGEN GLOW BOOSTER TONER</v>
      </c>
      <c r="D256" s="15" t="str">
        <f ca="1">IFERROR(__xludf.DUMMYFUNCTION("""COMPUTED_VALUE"""),"8809525935598")</f>
        <v>8809525935598</v>
      </c>
      <c r="E256" s="16" t="str">
        <f ca="1">IFERROR(__xludf.DUMMYFUNCTION("""COMPUTED_VALUE"""),"100мл")</f>
        <v>100мл</v>
      </c>
      <c r="F256" s="16">
        <f ca="1">IFERROR(__xludf.DUMMYFUNCTION("""COMPUTED_VALUE"""),498)</f>
        <v>498</v>
      </c>
      <c r="G256" s="17">
        <f ca="1">IFERROR(__xludf.DUMMYFUNCTION("""COMPUTED_VALUE"""),10.57)</f>
        <v>10.57</v>
      </c>
    </row>
    <row r="257" spans="1:7" ht="28.5" customHeight="1" x14ac:dyDescent="0.15">
      <c r="A257" s="14" t="str">
        <f ca="1">IFERROR(__xludf.DUMMYFUNCTION("""COMPUTED_VALUE"""),"SKIN&amp;LAB")</f>
        <v>SKIN&amp;LAB</v>
      </c>
      <c r="B257" s="14" t="str">
        <f ca="1">IFERROR(__xludf.DUMMYFUNCTION("""COMPUTED_VALUE"""),"Тонер")</f>
        <v>Тонер</v>
      </c>
      <c r="C257" s="14" t="str">
        <f ca="1">IFERROR(__xludf.DUMMYFUNCTION("""COMPUTED_VALUE"""),"ТОНЕР ДЛЯ ЛИЦА - SKIN&amp;LAB GLYCOLIC ACID X VITAMIN C CALMING TONER")</f>
        <v>ТОНЕР ДЛЯ ЛИЦА - SKIN&amp;LAB GLYCOLIC ACID X VITAMIN C CALMING TONER</v>
      </c>
      <c r="D257" s="15" t="str">
        <f ca="1">IFERROR(__xludf.DUMMYFUNCTION("""COMPUTED_VALUE"""),"8809525935697")</f>
        <v>8809525935697</v>
      </c>
      <c r="E257" s="16" t="str">
        <f ca="1">IFERROR(__xludf.DUMMYFUNCTION("""COMPUTED_VALUE"""),"180мл")</f>
        <v>180мл</v>
      </c>
      <c r="F257" s="16">
        <f ca="1">IFERROR(__xludf.DUMMYFUNCTION("""COMPUTED_VALUE"""),50)</f>
        <v>50</v>
      </c>
      <c r="G257" s="17">
        <f ca="1">IFERROR(__xludf.DUMMYFUNCTION("""COMPUTED_VALUE"""),8.13)</f>
        <v>8.1300000000000008</v>
      </c>
    </row>
    <row r="258" spans="1:7" ht="28.5" customHeight="1" x14ac:dyDescent="0.15">
      <c r="A258" s="14" t="str">
        <f ca="1">IFERROR(__xludf.DUMMYFUNCTION("""COMPUTED_VALUE"""),"SKIN1004")</f>
        <v>SKIN1004</v>
      </c>
      <c r="B258" s="14" t="str">
        <f ca="1">IFERROR(__xludf.DUMMYFUNCTION("""COMPUTED_VALUE"""),"Новый SKU")</f>
        <v>Новый SKU</v>
      </c>
      <c r="C258" s="14" t="str">
        <f ca="1">IFERROR(__xludf.DUMMYFUNCTION("""COMPUTED_VALUE"""),"КОСМЕТИЧЕСКОЕ СРЕДСТВО - SKIN1004 TEA-TRICA SPOT COVER PATCH")</f>
        <v>КОСМЕТИЧЕСКОЕ СРЕДСТВО - SKIN1004 TEA-TRICA SPOT COVER PATCH</v>
      </c>
      <c r="D258" s="15" t="str">
        <f ca="1">IFERROR(__xludf.DUMMYFUNCTION("""COMPUTED_VALUE"""),"8809576261691")</f>
        <v>8809576261691</v>
      </c>
      <c r="E258" s="16" t="str">
        <f ca="1">IFERROR(__xludf.DUMMYFUNCTION("""COMPUTED_VALUE"""),"1уп (22шт)")</f>
        <v>1уп (22шт)</v>
      </c>
      <c r="F258" s="16">
        <f ca="1">IFERROR(__xludf.DUMMYFUNCTION("""COMPUTED_VALUE"""),75)</f>
        <v>75</v>
      </c>
      <c r="G258" s="17">
        <f ca="1">IFERROR(__xludf.DUMMYFUNCTION("""COMPUTED_VALUE"""),3.32)</f>
        <v>3.32</v>
      </c>
    </row>
    <row r="259" spans="1:7" ht="28.5" customHeight="1" x14ac:dyDescent="0.15">
      <c r="A259" s="14" t="str">
        <f ca="1">IFERROR(__xludf.DUMMYFUNCTION("""COMPUTED_VALUE"""),"SKIN1004")</f>
        <v>SKIN1004</v>
      </c>
      <c r="B259" s="14" t="str">
        <f ca="1">IFERROR(__xludf.DUMMYFUNCTION("""COMPUTED_VALUE"""),"Крем")</f>
        <v>Крем</v>
      </c>
      <c r="C259" s="14" t="str">
        <f ca="1">IFERROR(__xludf.DUMMYFUNCTION("""COMPUTED_VALUE"""),"КРЕМ ДЛЯ ЛИЦА - SKIN1004 MADAGASCAR CENTELLA PROBIO-CICA ENRICH CREAM")</f>
        <v>КРЕМ ДЛЯ ЛИЦА - SKIN1004 MADAGASCAR CENTELLA PROBIO-CICA ENRICH CREAM</v>
      </c>
      <c r="D259" s="15" t="str">
        <f ca="1">IFERROR(__xludf.DUMMYFUNCTION("""COMPUTED_VALUE"""),"8809576261769")</f>
        <v>8809576261769</v>
      </c>
      <c r="E259" s="16" t="str">
        <f ca="1">IFERROR(__xludf.DUMMYFUNCTION("""COMPUTED_VALUE"""),"50мл")</f>
        <v>50мл</v>
      </c>
      <c r="F259" s="16">
        <f ca="1">IFERROR(__xludf.DUMMYFUNCTION("""COMPUTED_VALUE"""),32)</f>
        <v>32</v>
      </c>
      <c r="G259" s="17">
        <f ca="1">IFERROR(__xludf.DUMMYFUNCTION("""COMPUTED_VALUE"""),10.12)</f>
        <v>10.119999999999999</v>
      </c>
    </row>
    <row r="260" spans="1:7" ht="28.5" customHeight="1" x14ac:dyDescent="0.15">
      <c r="A260" s="14" t="str">
        <f ca="1">IFERROR(__xludf.DUMMYFUNCTION("""COMPUTED_VALUE"""),"SKIN1004")</f>
        <v>SKIN1004</v>
      </c>
      <c r="B260" s="14" t="str">
        <f ca="1">IFERROR(__xludf.DUMMYFUNCTION("""COMPUTED_VALUE"""),"Пенка")</f>
        <v>Пенка</v>
      </c>
      <c r="C260" s="14" t="str">
        <f ca="1">IFERROR(__xludf.DUMMYFUNCTION("""COMPUTED_VALUE"""),"ОЧИЩАЮЩАЯ ПЕНКА ДЛЯ ЛИЦА - SKIN1004 MADAGASCAR CENTELLA POREMIZING DEEP CLEANSING FOAM")</f>
        <v>ОЧИЩАЮЩАЯ ПЕНКА ДЛЯ ЛИЦА - SKIN1004 MADAGASCAR CENTELLA POREMIZING DEEP CLEANSING FOAM</v>
      </c>
      <c r="D260" s="15" t="str">
        <f ca="1">IFERROR(__xludf.DUMMYFUNCTION("""COMPUTED_VALUE"""),"8809576261653")</f>
        <v>8809576261653</v>
      </c>
      <c r="E260" s="16" t="str">
        <f ca="1">IFERROR(__xludf.DUMMYFUNCTION("""COMPUTED_VALUE"""),"125мл")</f>
        <v>125мл</v>
      </c>
      <c r="F260" s="16">
        <f ca="1">IFERROR(__xludf.DUMMYFUNCTION("""COMPUTED_VALUE"""),64)</f>
        <v>64</v>
      </c>
      <c r="G260" s="17">
        <f ca="1">IFERROR(__xludf.DUMMYFUNCTION("""COMPUTED_VALUE"""),6.61)</f>
        <v>6.61</v>
      </c>
    </row>
    <row r="261" spans="1:7" ht="28.5" customHeight="1" x14ac:dyDescent="0.15">
      <c r="A261" s="14" t="str">
        <f ca="1">IFERROR(__xludf.DUMMYFUNCTION("""COMPUTED_VALUE"""),"SKIN1004")</f>
        <v>SKIN1004</v>
      </c>
      <c r="B261" s="14" t="str">
        <f ca="1">IFERROR(__xludf.DUMMYFUNCTION("""COMPUTED_VALUE"""),"Пенка")</f>
        <v>Пенка</v>
      </c>
      <c r="C261" s="14" t="str">
        <f ca="1">IFERROR(__xludf.DUMMYFUNCTION("""COMPUTED_VALUE"""),"ОЧИЩАЮЩАЯ ПЕНКА ДЛЯ ЛИЦА - SKIN1004 MADAGASCAR CENTELLA TEA-TRICA BHA FOAM")</f>
        <v>ОЧИЩАЮЩАЯ ПЕНКА ДЛЯ ЛИЦА - SKIN1004 MADAGASCAR CENTELLA TEA-TRICA BHA FOAM</v>
      </c>
      <c r="D261" s="15" t="str">
        <f ca="1">IFERROR(__xludf.DUMMYFUNCTION("""COMPUTED_VALUE"""),"8809576261714")</f>
        <v>8809576261714</v>
      </c>
      <c r="E261" s="16" t="str">
        <f ca="1">IFERROR(__xludf.DUMMYFUNCTION("""COMPUTED_VALUE"""),"125мл")</f>
        <v>125мл</v>
      </c>
      <c r="F261" s="16">
        <f ca="1">IFERROR(__xludf.DUMMYFUNCTION("""COMPUTED_VALUE"""),70)</f>
        <v>70</v>
      </c>
      <c r="G261" s="17">
        <f ca="1">IFERROR(__xludf.DUMMYFUNCTION("""COMPUTED_VALUE"""),7.92)</f>
        <v>7.92</v>
      </c>
    </row>
    <row r="262" spans="1:7" ht="28.5" customHeight="1" x14ac:dyDescent="0.15">
      <c r="A262" s="14" t="str">
        <f ca="1">IFERROR(__xludf.DUMMYFUNCTION("""COMPUTED_VALUE"""),"SKIN1004")</f>
        <v>SKIN1004</v>
      </c>
      <c r="B262" s="14" t="str">
        <f ca="1">IFERROR(__xludf.DUMMYFUNCTION("""COMPUTED_VALUE"""),"Масло гидрофильное")</f>
        <v>Масло гидрофильное</v>
      </c>
      <c r="C262" s="14" t="str">
        <f ca="1">IFERROR(__xludf.DUMMYFUNCTION("""COMPUTED_VALUE"""),"ОЧИЩАЮЩЕЕ МАСЛО ДЛЯ ЛИЦА - SKIN1004 MADAGASCAR CENTELLA LIGHT CLEANSING OIL")</f>
        <v>ОЧИЩАЮЩЕЕ МАСЛО ДЛЯ ЛИЦА - SKIN1004 MADAGASCAR CENTELLA LIGHT CLEANSING OIL</v>
      </c>
      <c r="D262" s="15" t="str">
        <f ca="1">IFERROR(__xludf.DUMMYFUNCTION("""COMPUTED_VALUE"""),"8809576261110")</f>
        <v>8809576261110</v>
      </c>
      <c r="E262" s="16" t="str">
        <f ca="1">IFERROR(__xludf.DUMMYFUNCTION("""COMPUTED_VALUE"""),"200мл")</f>
        <v>200мл</v>
      </c>
      <c r="F262" s="16">
        <f ca="1">IFERROR(__xludf.DUMMYFUNCTION("""COMPUTED_VALUE"""),18)</f>
        <v>18</v>
      </c>
      <c r="G262" s="17">
        <f ca="1">IFERROR(__xludf.DUMMYFUNCTION("""COMPUTED_VALUE"""),8.54)</f>
        <v>8.5399999999999991</v>
      </c>
    </row>
    <row r="263" spans="1:7" ht="28.5" customHeight="1" x14ac:dyDescent="0.15">
      <c r="A263" s="14" t="str">
        <f ca="1">IFERROR(__xludf.DUMMYFUNCTION("""COMPUTED_VALUE"""),"SKIN1004")</f>
        <v>SKIN1004</v>
      </c>
      <c r="B263" s="14" t="str">
        <f ca="1">IFERROR(__xludf.DUMMYFUNCTION("""COMPUTED_VALUE"""),"Солнцезащитный крем")</f>
        <v>Солнцезащитный крем</v>
      </c>
      <c r="C263" s="14" t="str">
        <f ca="1">IFERROR(__xludf.DUMMYFUNCTION("""COMPUTED_VALUE"""),"СОЛНЦЕЗАЩИТНОЕ СРЕДСТВО - SKIN1004 MADAGASCAR CENTELLA HYALU-CICA WATER-FIT SUN SERUM SPF50+ PA++++")</f>
        <v>СОЛНЦЕЗАЩИТНОЕ СРЕДСТВО - SKIN1004 MADAGASCAR CENTELLA HYALU-CICA WATER-FIT SUN SERUM SPF50+ PA++++</v>
      </c>
      <c r="D263" s="15" t="str">
        <f ca="1">IFERROR(__xludf.DUMMYFUNCTION("""COMPUTED_VALUE"""),"8809576261592")</f>
        <v>8809576261592</v>
      </c>
      <c r="E263" s="16" t="str">
        <f ca="1">IFERROR(__xludf.DUMMYFUNCTION("""COMPUTED_VALUE"""),"50мл")</f>
        <v>50мл</v>
      </c>
      <c r="F263" s="16">
        <f ca="1">IFERROR(__xludf.DUMMYFUNCTION("""COMPUTED_VALUE"""),228)</f>
        <v>228</v>
      </c>
      <c r="G263" s="17">
        <f ca="1">IFERROR(__xludf.DUMMYFUNCTION("""COMPUTED_VALUE"""),8.42)</f>
        <v>8.42</v>
      </c>
    </row>
    <row r="264" spans="1:7" ht="28.5" customHeight="1" x14ac:dyDescent="0.15">
      <c r="A264" s="14" t="str">
        <f ca="1">IFERROR(__xludf.DUMMYFUNCTION("""COMPUTED_VALUE"""),"SKIN1004")</f>
        <v>SKIN1004</v>
      </c>
      <c r="B264" s="14" t="str">
        <f ca="1">IFERROR(__xludf.DUMMYFUNCTION("""COMPUTED_VALUE"""),"Тонер")</f>
        <v>Тонер</v>
      </c>
      <c r="C264" s="14" t="str">
        <f ca="1">IFERROR(__xludf.DUMMYFUNCTION("""COMPUTED_VALUE"""),"ТОНЕР ДЛЯ ЛИЦА - SKIN1004 MADAGASCAR CENTELLA POREMIZING CLEAR TONER")</f>
        <v>ТОНЕР ДЛЯ ЛИЦА - SKIN1004 MADAGASCAR CENTELLA POREMIZING CLEAR TONER</v>
      </c>
      <c r="D264" s="15" t="str">
        <f ca="1">IFERROR(__xludf.DUMMYFUNCTION("""COMPUTED_VALUE"""),"8809576261455")</f>
        <v>8809576261455</v>
      </c>
      <c r="E264" s="16" t="str">
        <f ca="1">IFERROR(__xludf.DUMMYFUNCTION("""COMPUTED_VALUE"""),"210мл")</f>
        <v>210мл</v>
      </c>
      <c r="F264" s="16">
        <f ca="1">IFERROR(__xludf.DUMMYFUNCTION("""COMPUTED_VALUE"""),118)</f>
        <v>118</v>
      </c>
      <c r="G264" s="17">
        <f ca="1">IFERROR(__xludf.DUMMYFUNCTION("""COMPUTED_VALUE"""),8.18)</f>
        <v>8.18</v>
      </c>
    </row>
    <row r="265" spans="1:7" ht="28.5" customHeight="1" x14ac:dyDescent="0.15">
      <c r="A265" s="14" t="str">
        <f ca="1">IFERROR(__xludf.DUMMYFUNCTION("""COMPUTED_VALUE"""),"SKIN1004")</f>
        <v>SKIN1004</v>
      </c>
      <c r="B265" s="14" t="str">
        <f ca="1">IFERROR(__xludf.DUMMYFUNCTION("""COMPUTED_VALUE"""),"Тонер")</f>
        <v>Тонер</v>
      </c>
      <c r="C265" s="14" t="str">
        <f ca="1">IFERROR(__xludf.DUMMYFUNCTION("""COMPUTED_VALUE"""),"ТОНЕР ДЛЯ ЛИЦА - SKIN1004 MADAGASCAR CENTELLA TONING TONER")</f>
        <v>ТОНЕР ДЛЯ ЛИЦА - SKIN1004 MADAGASCAR CENTELLA TONING TONER</v>
      </c>
      <c r="D265" s="15" t="str">
        <f ca="1">IFERROR(__xludf.DUMMYFUNCTION("""COMPUTED_VALUE"""),"8809576261141")</f>
        <v>8809576261141</v>
      </c>
      <c r="E265" s="16" t="str">
        <f ca="1">IFERROR(__xludf.DUMMYFUNCTION("""COMPUTED_VALUE"""),"210мл")</f>
        <v>210мл</v>
      </c>
      <c r="F265" s="16">
        <f ca="1">IFERROR(__xludf.DUMMYFUNCTION("""COMPUTED_VALUE"""),68)</f>
        <v>68</v>
      </c>
      <c r="G265" s="17">
        <f ca="1">IFERROR(__xludf.DUMMYFUNCTION("""COMPUTED_VALUE"""),8.51)</f>
        <v>8.51</v>
      </c>
    </row>
    <row r="266" spans="1:7" ht="28.5" customHeight="1" x14ac:dyDescent="0.15">
      <c r="A266" s="14" t="str">
        <f ca="1">IFERROR(__xludf.DUMMYFUNCTION("""COMPUTED_VALUE"""),"TIRTIR")</f>
        <v>TIRTIR</v>
      </c>
      <c r="B266" s="14" t="str">
        <f ca="1">IFERROR(__xludf.DUMMYFUNCTION("""COMPUTED_VALUE"""),"Маска")</f>
        <v>Маска</v>
      </c>
      <c r="C266" s="14" t="str">
        <f ca="1">IFERROR(__xludf.DUMMYFUNCTION("""COMPUTED_VALUE"""),"МАСКА ДЛЯ ЛИЦА - TIRTIR MASK FIT RED CUSHION 23N SAND")</f>
        <v>МАСКА ДЛЯ ЛИЦА - TIRTIR MASK FIT RED CUSHION 23N SAND</v>
      </c>
      <c r="D266" s="15" t="str">
        <f ca="1">IFERROR(__xludf.DUMMYFUNCTION("""COMPUTED_VALUE"""),"8809679696468")</f>
        <v>8809679696468</v>
      </c>
      <c r="E266" s="16" t="str">
        <f ca="1">IFERROR(__xludf.DUMMYFUNCTION("""COMPUTED_VALUE"""),"18г")</f>
        <v>18г</v>
      </c>
      <c r="F266" s="16">
        <f ca="1">IFERROR(__xludf.DUMMYFUNCTION("""COMPUTED_VALUE"""),84)</f>
        <v>84</v>
      </c>
      <c r="G266" s="17">
        <f ca="1">IFERROR(__xludf.DUMMYFUNCTION("""COMPUTED_VALUE"""),12.19)</f>
        <v>12.19</v>
      </c>
    </row>
    <row r="267" spans="1:7" ht="28.5" customHeight="1" x14ac:dyDescent="0.15">
      <c r="A267" s="14" t="str">
        <f ca="1">IFERROR(__xludf.DUMMYFUNCTION("""COMPUTED_VALUE"""),"TOCOBO")</f>
        <v>TOCOBO</v>
      </c>
      <c r="B267" s="14" t="str">
        <f ca="1">IFERROR(__xludf.DUMMYFUNCTION("""COMPUTED_VALUE"""),"Пудра для умывания")</f>
        <v>Пудра для умывания</v>
      </c>
      <c r="C267" s="14" t="str">
        <f ca="1">IFERROR(__xludf.DUMMYFUNCTION("""COMPUTED_VALUE"""),"ОЧИЩАЮЩАЯ ПУДРА ДЛЯ ЛИЦА - TOCOBO CICA CALMING POWDER WASH")</f>
        <v>ОЧИЩАЮЩАЯ ПУДРА ДЛЯ ЛИЦА - TOCOBO CICA CALMING POWDER WASH</v>
      </c>
      <c r="D267" s="15" t="str">
        <f ca="1">IFERROR(__xludf.DUMMYFUNCTION("""COMPUTED_VALUE"""),"8809835061444")</f>
        <v>8809835061444</v>
      </c>
      <c r="E267" s="16" t="str">
        <f ca="1">IFERROR(__xludf.DUMMYFUNCTION("""COMPUTED_VALUE"""),"50г")</f>
        <v>50г</v>
      </c>
      <c r="F267" s="16">
        <f ca="1">IFERROR(__xludf.DUMMYFUNCTION("""COMPUTED_VALUE"""),51)</f>
        <v>51</v>
      </c>
      <c r="G267" s="17">
        <f ca="1">IFERROR(__xludf.DUMMYFUNCTION("""COMPUTED_VALUE"""),7.52)</f>
        <v>7.52</v>
      </c>
    </row>
    <row r="268" spans="1:7" ht="28.5" customHeight="1" x14ac:dyDescent="0.15">
      <c r="A268" s="14" t="str">
        <f ca="1">IFERROR(__xludf.DUMMYFUNCTION("""COMPUTED_VALUE"""),"TOCOBO")</f>
        <v>TOCOBO</v>
      </c>
      <c r="B268" s="14" t="str">
        <f ca="1">IFERROR(__xludf.DUMMYFUNCTION("""COMPUTED_VALUE"""),"Солнцезащитный крем")</f>
        <v>Солнцезащитный крем</v>
      </c>
      <c r="C268" s="14" t="str">
        <f ca="1">IFERROR(__xludf.DUMMYFUNCTION("""COMPUTED_VALUE"""),"СОЛНЦЕЗАЩИТНОЕ СРЕДСТВО - TOCOBO COTTON SOFT SUN STICK SPF50+ PA++++")</f>
        <v>СОЛНЦЕЗАЩИТНОЕ СРЕДСТВО - TOCOBO COTTON SOFT SUN STICK SPF50+ PA++++</v>
      </c>
      <c r="D268" s="15" t="str">
        <f ca="1">IFERROR(__xludf.DUMMYFUNCTION("""COMPUTED_VALUE"""),"8809835060041")</f>
        <v>8809835060041</v>
      </c>
      <c r="E268" s="16" t="str">
        <f ca="1">IFERROR(__xludf.DUMMYFUNCTION("""COMPUTED_VALUE"""),"19г")</f>
        <v>19г</v>
      </c>
      <c r="F268" s="16">
        <f ca="1">IFERROR(__xludf.DUMMYFUNCTION("""COMPUTED_VALUE"""),1)</f>
        <v>1</v>
      </c>
      <c r="G268" s="17">
        <f ca="1">IFERROR(__xludf.DUMMYFUNCTION("""COMPUTED_VALUE"""),8.13)</f>
        <v>8.1300000000000008</v>
      </c>
    </row>
    <row r="269" spans="1:7" ht="28.5" customHeight="1" x14ac:dyDescent="0.15">
      <c r="A269" s="14" t="str">
        <f ca="1">IFERROR(__xludf.DUMMYFUNCTION("""COMPUTED_VALUE"""),"TORRIDEN")</f>
        <v>TORRIDEN</v>
      </c>
      <c r="B269" s="14" t="str">
        <f ca="1">IFERROR(__xludf.DUMMYFUNCTION("""COMPUTED_VALUE"""),"Масло для губ")</f>
        <v>Масло для губ</v>
      </c>
      <c r="C269" s="14" t="str">
        <f ca="1">IFERROR(__xludf.DUMMYFUNCTION("""COMPUTED_VALUE"""),"БАЛЬЗАМ ДЛЯ ГУБ - TORRIDEN SOLID IN LIP ESSENCE")</f>
        <v>БАЛЬЗАМ ДЛЯ ГУБ - TORRIDEN SOLID IN LIP ESSENCE</v>
      </c>
      <c r="D269" s="15" t="str">
        <f ca="1">IFERROR(__xludf.DUMMYFUNCTION("""COMPUTED_VALUE"""),"8809784600152")</f>
        <v>8809784600152</v>
      </c>
      <c r="E269" s="16" t="str">
        <f ca="1">IFERROR(__xludf.DUMMYFUNCTION("""COMPUTED_VALUE"""),"11мл")</f>
        <v>11мл</v>
      </c>
      <c r="F269" s="16">
        <f ca="1">IFERROR(__xludf.DUMMYFUNCTION("""COMPUTED_VALUE"""),30)</f>
        <v>30</v>
      </c>
      <c r="G269" s="17">
        <f ca="1">IFERROR(__xludf.DUMMYFUNCTION("""COMPUTED_VALUE"""),4.07)</f>
        <v>4.07</v>
      </c>
    </row>
    <row r="270" spans="1:7" ht="28.5" customHeight="1" x14ac:dyDescent="0.15">
      <c r="A270" s="14" t="str">
        <f ca="1">IFERROR(__xludf.DUMMYFUNCTION("""COMPUTED_VALUE"""),"TORRIDEN")</f>
        <v>TORRIDEN</v>
      </c>
      <c r="B270" s="14" t="str">
        <f ca="1">IFERROR(__xludf.DUMMYFUNCTION("""COMPUTED_VALUE"""),"Гель")</f>
        <v>Гель</v>
      </c>
      <c r="C270" s="14" t="str">
        <f ca="1">IFERROR(__xludf.DUMMYFUNCTION("""COMPUTED_VALUE"""),"ГЕЛЬ ДЛЯ ЛИЦА - TORRIDEN DIVE IN HYDRATING PEELING GEL")</f>
        <v>ГЕЛЬ ДЛЯ ЛИЦА - TORRIDEN DIVE IN HYDRATING PEELING GEL</v>
      </c>
      <c r="D270" s="15" t="str">
        <f ca="1">IFERROR(__xludf.DUMMYFUNCTION("""COMPUTED_VALUE"""),"8809784607724")</f>
        <v>8809784607724</v>
      </c>
      <c r="E270" s="16" t="str">
        <f ca="1">IFERROR(__xludf.DUMMYFUNCTION("""COMPUTED_VALUE"""),"150мл")</f>
        <v>150мл</v>
      </c>
      <c r="F270" s="16">
        <f ca="1">IFERROR(__xludf.DUMMYFUNCTION("""COMPUTED_VALUE"""),62)</f>
        <v>62</v>
      </c>
      <c r="G270" s="17">
        <f ca="1">IFERROR(__xludf.DUMMYFUNCTION("""COMPUTED_VALUE"""),8.13)</f>
        <v>8.1300000000000008</v>
      </c>
    </row>
    <row r="271" spans="1:7" ht="28.5" customHeight="1" x14ac:dyDescent="0.15">
      <c r="A271" s="14" t="str">
        <f ca="1">IFERROR(__xludf.DUMMYFUNCTION("""COMPUTED_VALUE"""),"TORRIDEN")</f>
        <v>TORRIDEN</v>
      </c>
      <c r="B271" s="14" t="str">
        <f ca="1">IFERROR(__xludf.DUMMYFUNCTION("""COMPUTED_VALUE"""),"Новый SKU")</f>
        <v>Новый SKU</v>
      </c>
      <c r="C271" s="14" t="str">
        <f ca="1">IFERROR(__xludf.DUMMYFUNCTION("""COMPUTED_VALUE"""),"КОСМЕТИЧЕСКОЕ СРЕДСТВО - TORRIDEN BALANCEFUL AZELAIC ACID MICROPOINT SPOT PATCH")</f>
        <v>КОСМЕТИЧЕСКОЕ СРЕДСТВО - TORRIDEN BALANCEFUL AZELAIC ACID MICROPOINT SPOT PATCH</v>
      </c>
      <c r="D271" s="15" t="str">
        <f ca="1">IFERROR(__xludf.DUMMYFUNCTION("""COMPUTED_VALUE"""),"8809784606161")</f>
        <v>8809784606161</v>
      </c>
      <c r="E271" s="16" t="str">
        <f ca="1">IFERROR(__xludf.DUMMYFUNCTION("""COMPUTED_VALUE"""),"1уп (12шт)")</f>
        <v>1уп (12шт)</v>
      </c>
      <c r="F271" s="16">
        <f ca="1">IFERROR(__xludf.DUMMYFUNCTION("""COMPUTED_VALUE"""),105)</f>
        <v>105</v>
      </c>
      <c r="G271" s="17">
        <f ca="1">IFERROR(__xludf.DUMMYFUNCTION("""COMPUTED_VALUE"""),5.31)</f>
        <v>5.31</v>
      </c>
    </row>
    <row r="272" spans="1:7" ht="28.5" customHeight="1" x14ac:dyDescent="0.15">
      <c r="A272" s="14" t="str">
        <f ca="1">IFERROR(__xludf.DUMMYFUNCTION("""COMPUTED_VALUE"""),"TORRIDEN")</f>
        <v>TORRIDEN</v>
      </c>
      <c r="B272" s="14" t="str">
        <f ca="1">IFERROR(__xludf.DUMMYFUNCTION("""COMPUTED_VALUE"""),"Новый SKU")</f>
        <v>Новый SKU</v>
      </c>
      <c r="C272" s="14" t="str">
        <f ca="1">IFERROR(__xludf.DUMMYFUNCTION("""COMPUTED_VALUE"""),"КОСМЕТИЧЕСКОЕ СРЕДСТВО - TORRIDEN DIVE IN SKIN BOOSTER")</f>
        <v>КОСМЕТИЧЕСКОЕ СРЕДСТВО - TORRIDEN DIVE IN SKIN BOOSTER</v>
      </c>
      <c r="D272" s="15" t="str">
        <f ca="1">IFERROR(__xludf.DUMMYFUNCTION("""COMPUTED_VALUE"""),"8809504742018")</f>
        <v>8809504742018</v>
      </c>
      <c r="E272" s="16" t="str">
        <f ca="1">IFERROR(__xludf.DUMMYFUNCTION("""COMPUTED_VALUE"""),"200мл")</f>
        <v>200мл</v>
      </c>
      <c r="F272" s="16">
        <f ca="1">IFERROR(__xludf.DUMMYFUNCTION("""COMPUTED_VALUE"""),75)</f>
        <v>75</v>
      </c>
      <c r="G272" s="17">
        <f ca="1">IFERROR(__xludf.DUMMYFUNCTION("""COMPUTED_VALUE"""),9.14)</f>
        <v>9.14</v>
      </c>
    </row>
    <row r="273" spans="1:7" ht="28.5" customHeight="1" x14ac:dyDescent="0.15">
      <c r="A273" s="14" t="str">
        <f ca="1">IFERROR(__xludf.DUMMYFUNCTION("""COMPUTED_VALUE"""),"TORRIDEN")</f>
        <v>TORRIDEN</v>
      </c>
      <c r="B273" s="14" t="str">
        <f ca="1">IFERROR(__xludf.DUMMYFUNCTION("""COMPUTED_VALUE"""),"Крем")</f>
        <v>Крем</v>
      </c>
      <c r="C273" s="14" t="str">
        <f ca="1">IFERROR(__xludf.DUMMYFUNCTION("""COMPUTED_VALUE"""),"КРЕМ ДЛЯ ЛИЦА - TORRIDEN BALANCEFUL CREAM")</f>
        <v>КРЕМ ДЛЯ ЛИЦА - TORRIDEN BALANCEFUL CREAM</v>
      </c>
      <c r="D273" s="15" t="str">
        <f ca="1">IFERROR(__xludf.DUMMYFUNCTION("""COMPUTED_VALUE"""),"8809784600985")</f>
        <v>8809784600985</v>
      </c>
      <c r="E273" s="16" t="str">
        <f ca="1">IFERROR(__xludf.DUMMYFUNCTION("""COMPUTED_VALUE"""),"80мл")</f>
        <v>80мл</v>
      </c>
      <c r="F273" s="16">
        <f ca="1">IFERROR(__xludf.DUMMYFUNCTION("""COMPUTED_VALUE"""),156)</f>
        <v>156</v>
      </c>
      <c r="G273" s="17">
        <f ca="1">IFERROR(__xludf.DUMMYFUNCTION("""COMPUTED_VALUE"""),9.14)</f>
        <v>9.14</v>
      </c>
    </row>
    <row r="274" spans="1:7" ht="28.5" customHeight="1" x14ac:dyDescent="0.15">
      <c r="A274" s="14" t="str">
        <f ca="1">IFERROR(__xludf.DUMMYFUNCTION("""COMPUTED_VALUE"""),"TORRIDEN")</f>
        <v>TORRIDEN</v>
      </c>
      <c r="B274" s="14" t="str">
        <f ca="1">IFERROR(__xludf.DUMMYFUNCTION("""COMPUTED_VALUE"""),"Крем")</f>
        <v>Крем</v>
      </c>
      <c r="C274" s="14" t="str">
        <f ca="1">IFERROR(__xludf.DUMMYFUNCTION("""COMPUTED_VALUE"""),"КРЕМ ДЛЯ ЛИЦА - TORRIDEN CELLMAZING BRIGHTENING SPOT CREAM")</f>
        <v>КРЕМ ДЛЯ ЛИЦА - TORRIDEN CELLMAZING BRIGHTENING SPOT CREAM</v>
      </c>
      <c r="D274" s="15" t="str">
        <f ca="1">IFERROR(__xludf.DUMMYFUNCTION("""COMPUTED_VALUE"""),"8809784607427")</f>
        <v>8809784607427</v>
      </c>
      <c r="E274" s="16" t="str">
        <f ca="1">IFERROR(__xludf.DUMMYFUNCTION("""COMPUTED_VALUE"""),"30мл")</f>
        <v>30мл</v>
      </c>
      <c r="F274" s="16">
        <f ca="1">IFERROR(__xludf.DUMMYFUNCTION("""COMPUTED_VALUE"""),95)</f>
        <v>95</v>
      </c>
      <c r="G274" s="17">
        <f ca="1">IFERROR(__xludf.DUMMYFUNCTION("""COMPUTED_VALUE"""),10.16)</f>
        <v>10.16</v>
      </c>
    </row>
    <row r="275" spans="1:7" ht="28.5" customHeight="1" x14ac:dyDescent="0.15">
      <c r="A275" s="14" t="str">
        <f ca="1">IFERROR(__xludf.DUMMYFUNCTION("""COMPUTED_VALUE"""),"TORRIDEN")</f>
        <v>TORRIDEN</v>
      </c>
      <c r="B275" s="14" t="str">
        <f ca="1">IFERROR(__xludf.DUMMYFUNCTION("""COMPUTED_VALUE"""),"Крем")</f>
        <v>Крем</v>
      </c>
      <c r="C275" s="14" t="str">
        <f ca="1">IFERROR(__xludf.DUMMYFUNCTION("""COMPUTED_VALUE"""),"КРЕМ ДЛЯ ЛИЦА - TORRIDEN CELLMAZING FIRMING CREAM")</f>
        <v>КРЕМ ДЛЯ ЛИЦА - TORRIDEN CELLMAZING FIRMING CREAM</v>
      </c>
      <c r="D275" s="15" t="str">
        <f ca="1">IFERROR(__xludf.DUMMYFUNCTION("""COMPUTED_VALUE"""),"8809784601746")</f>
        <v>8809784601746</v>
      </c>
      <c r="E275" s="16" t="str">
        <f ca="1">IFERROR(__xludf.DUMMYFUNCTION("""COMPUTED_VALUE"""),"60мл")</f>
        <v>60мл</v>
      </c>
      <c r="F275" s="16">
        <f ca="1">IFERROR(__xludf.DUMMYFUNCTION("""COMPUTED_VALUE"""),64)</f>
        <v>64</v>
      </c>
      <c r="G275" s="17">
        <f ca="1">IFERROR(__xludf.DUMMYFUNCTION("""COMPUTED_VALUE"""),9.96)</f>
        <v>9.9600000000000009</v>
      </c>
    </row>
    <row r="276" spans="1:7" ht="28.5" customHeight="1" x14ac:dyDescent="0.15">
      <c r="A276" s="14" t="str">
        <f ca="1">IFERROR(__xludf.DUMMYFUNCTION("""COMPUTED_VALUE"""),"TORRIDEN")</f>
        <v>TORRIDEN</v>
      </c>
      <c r="B276" s="14" t="str">
        <f ca="1">IFERROR(__xludf.DUMMYFUNCTION("""COMPUTED_VALUE"""),"Крем")</f>
        <v>Крем</v>
      </c>
      <c r="C276" s="14" t="str">
        <f ca="1">IFERROR(__xludf.DUMMYFUNCTION("""COMPUTED_VALUE"""),"КРЕМ ДЛЯ ЛИЦА - TORRIDEN DIVE IN CREAM")</f>
        <v>КРЕМ ДЛЯ ЛИЦА - TORRIDEN DIVE IN CREAM</v>
      </c>
      <c r="D276" s="15" t="str">
        <f ca="1">IFERROR(__xludf.DUMMYFUNCTION("""COMPUTED_VALUE"""),"8809504741660")</f>
        <v>8809504741660</v>
      </c>
      <c r="E276" s="16" t="str">
        <f ca="1">IFERROR(__xludf.DUMMYFUNCTION("""COMPUTED_VALUE"""),"80мл")</f>
        <v>80мл</v>
      </c>
      <c r="F276" s="16">
        <f ca="1">IFERROR(__xludf.DUMMYFUNCTION("""COMPUTED_VALUE"""),96)</f>
        <v>96</v>
      </c>
      <c r="G276" s="17">
        <f ca="1">IFERROR(__xludf.DUMMYFUNCTION("""COMPUTED_VALUE"""),8.54)</f>
        <v>8.5399999999999991</v>
      </c>
    </row>
    <row r="277" spans="1:7" ht="28.5" customHeight="1" x14ac:dyDescent="0.15">
      <c r="A277" s="14" t="str">
        <f ca="1">IFERROR(__xludf.DUMMYFUNCTION("""COMPUTED_VALUE"""),"TORRIDEN")</f>
        <v>TORRIDEN</v>
      </c>
      <c r="B277" s="14" t="str">
        <f ca="1">IFERROR(__xludf.DUMMYFUNCTION("""COMPUTED_VALUE"""),"Крем")</f>
        <v>Крем</v>
      </c>
      <c r="C277" s="14" t="str">
        <f ca="1">IFERROR(__xludf.DUMMYFUNCTION("""COMPUTED_VALUE"""),"КРЕМ ДЛЯ ЛИЦА - TORRIDEN DIVE IN SOOTHING CREAM")</f>
        <v>КРЕМ ДЛЯ ЛИЦА - TORRIDEN DIVE IN SOOTHING CREAM</v>
      </c>
      <c r="D277" s="15" t="str">
        <f ca="1">IFERROR(__xludf.DUMMYFUNCTION("""COMPUTED_VALUE"""),"8809784600183")</f>
        <v>8809784600183</v>
      </c>
      <c r="E277" s="16" t="str">
        <f ca="1">IFERROR(__xludf.DUMMYFUNCTION("""COMPUTED_VALUE"""),"100мл")</f>
        <v>100мл</v>
      </c>
      <c r="F277" s="16">
        <f ca="1">IFERROR(__xludf.DUMMYFUNCTION("""COMPUTED_VALUE"""),90)</f>
        <v>90</v>
      </c>
      <c r="G277" s="17">
        <f ca="1">IFERROR(__xludf.DUMMYFUNCTION("""COMPUTED_VALUE"""),8.74)</f>
        <v>8.74</v>
      </c>
    </row>
    <row r="278" spans="1:7" ht="28.5" customHeight="1" x14ac:dyDescent="0.15">
      <c r="A278" s="14" t="str">
        <f ca="1">IFERROR(__xludf.DUMMYFUNCTION("""COMPUTED_VALUE"""),"TORRIDEN")</f>
        <v>TORRIDEN</v>
      </c>
      <c r="B278" s="14" t="str">
        <f ca="1">IFERROR(__xludf.DUMMYFUNCTION("""COMPUTED_VALUE"""),"Маска")</f>
        <v>Маска</v>
      </c>
      <c r="C278" s="14" t="str">
        <f ca="1">IFERROR(__xludf.DUMMYFUNCTION("""COMPUTED_VALUE"""),"МАСКА ДЛЯ ЛИЦА - TORRIDEN BALANCEFUL MASK")</f>
        <v>МАСКА ДЛЯ ЛИЦА - TORRIDEN BALANCEFUL MASK</v>
      </c>
      <c r="D278" s="15" t="str">
        <f ca="1">IFERROR(__xludf.DUMMYFUNCTION("""COMPUTED_VALUE"""),"8809784601272")</f>
        <v>8809784601272</v>
      </c>
      <c r="E278" s="16" t="str">
        <f ca="1">IFERROR(__xludf.DUMMYFUNCTION("""COMPUTED_VALUE"""),"25мл × 10шт")</f>
        <v>25мл × 10шт</v>
      </c>
      <c r="F278" s="16">
        <f ca="1">IFERROR(__xludf.DUMMYFUNCTION("""COMPUTED_VALUE"""),10)</f>
        <v>10</v>
      </c>
      <c r="G278" s="17">
        <f ca="1">IFERROR(__xludf.DUMMYFUNCTION("""COMPUTED_VALUE"""),9.75)</f>
        <v>9.75</v>
      </c>
    </row>
    <row r="279" spans="1:7" ht="28.5" customHeight="1" x14ac:dyDescent="0.15">
      <c r="A279" s="14" t="str">
        <f ca="1">IFERROR(__xludf.DUMMYFUNCTION("""COMPUTED_VALUE"""),"TORRIDEN")</f>
        <v>TORRIDEN</v>
      </c>
      <c r="B279" s="14" t="str">
        <f ca="1">IFERROR(__xludf.DUMMYFUNCTION("""COMPUTED_VALUE"""),"Мист")</f>
        <v>Мист</v>
      </c>
      <c r="C279" s="14" t="str">
        <f ca="1">IFERROR(__xludf.DUMMYFUNCTION("""COMPUTED_VALUE"""),"МИСТ ДЛЯ ЛИЦА - TORRIDEN DIVE IN GLOW MIST")</f>
        <v>МИСТ ДЛЯ ЛИЦА - TORRIDEN DIVE IN GLOW MIST</v>
      </c>
      <c r="D279" s="15" t="str">
        <f ca="1">IFERROR(__xludf.DUMMYFUNCTION("""COMPUTED_VALUE"""),"8809784605829")</f>
        <v>8809784605829</v>
      </c>
      <c r="E279" s="16" t="str">
        <f ca="1">IFERROR(__xludf.DUMMYFUNCTION("""COMPUTED_VALUE"""),"120мл")</f>
        <v>120мл</v>
      </c>
      <c r="F279" s="16">
        <f ca="1">IFERROR(__xludf.DUMMYFUNCTION("""COMPUTED_VALUE"""),203)</f>
        <v>203</v>
      </c>
      <c r="G279" s="17">
        <f ca="1">IFERROR(__xludf.DUMMYFUNCTION("""COMPUTED_VALUE"""),9.14)</f>
        <v>9.14</v>
      </c>
    </row>
    <row r="280" spans="1:7" ht="28.5" customHeight="1" x14ac:dyDescent="0.15">
      <c r="A280" s="14" t="str">
        <f ca="1">IFERROR(__xludf.DUMMYFUNCTION("""COMPUTED_VALUE"""),"TORRIDEN")</f>
        <v>TORRIDEN</v>
      </c>
      <c r="B280" s="14" t="str">
        <f ca="1">IFERROR(__xludf.DUMMYFUNCTION("""COMPUTED_VALUE"""),"Мицеллярная вода")</f>
        <v>Мицеллярная вода</v>
      </c>
      <c r="C280" s="14" t="str">
        <f ca="1">IFERROR(__xludf.DUMMYFUNCTION("""COMPUTED_VALUE"""),"МИЦЕЛЛЯРНАЯ ВОДА ДЛЯ ЛИЦА - TORRIDEN DIVE IN CLEANSING WATER SENSETIVE")</f>
        <v>МИЦЕЛЛЯРНАЯ ВОДА ДЛЯ ЛИЦА - TORRIDEN DIVE IN CLEANSING WATER SENSETIVE</v>
      </c>
      <c r="D280" s="15" t="str">
        <f ca="1">IFERROR(__xludf.DUMMYFUNCTION("""COMPUTED_VALUE"""),"8809784605409")</f>
        <v>8809784605409</v>
      </c>
      <c r="E280" s="16" t="str">
        <f ca="1">IFERROR(__xludf.DUMMYFUNCTION("""COMPUTED_VALUE"""),"400мл")</f>
        <v>400мл</v>
      </c>
      <c r="F280" s="16">
        <f ca="1">IFERROR(__xludf.DUMMYFUNCTION("""COMPUTED_VALUE"""),43)</f>
        <v>43</v>
      </c>
      <c r="G280" s="17">
        <f ca="1">IFERROR(__xludf.DUMMYFUNCTION("""COMPUTED_VALUE"""),8.13)</f>
        <v>8.1300000000000008</v>
      </c>
    </row>
    <row r="281" spans="1:7" ht="28.5" customHeight="1" x14ac:dyDescent="0.15">
      <c r="A281" s="14" t="str">
        <f ca="1">IFERROR(__xludf.DUMMYFUNCTION("""COMPUTED_VALUE"""),"TORRIDEN")</f>
        <v>TORRIDEN</v>
      </c>
      <c r="B281" s="14" t="str">
        <f ca="1">IFERROR(__xludf.DUMMYFUNCTION("""COMPUTED_VALUE"""),"Пенка")</f>
        <v>Пенка</v>
      </c>
      <c r="C281" s="14" t="str">
        <f ca="1">IFERROR(__xludf.DUMMYFUNCTION("""COMPUTED_VALUE"""),"ОЧИЩАЮЩАЯ ПЕНКА ДЛЯ ЛИЦА - TORRIDEN BALANCEFUL CLEANSING FOAM")</f>
        <v>ОЧИЩАЮЩАЯ ПЕНКА ДЛЯ ЛИЦА - TORRIDEN BALANCEFUL CLEANSING FOAM</v>
      </c>
      <c r="D281" s="15" t="str">
        <f ca="1">IFERROR(__xludf.DUMMYFUNCTION("""COMPUTED_VALUE"""),"8809784601968")</f>
        <v>8809784601968</v>
      </c>
      <c r="E281" s="16" t="str">
        <f ca="1">IFERROR(__xludf.DUMMYFUNCTION("""COMPUTED_VALUE"""),"150мл")</f>
        <v>150мл</v>
      </c>
      <c r="F281" s="16">
        <f ca="1">IFERROR(__xludf.DUMMYFUNCTION("""COMPUTED_VALUE"""),54)</f>
        <v>54</v>
      </c>
      <c r="G281" s="17">
        <f ca="1">IFERROR(__xludf.DUMMYFUNCTION("""COMPUTED_VALUE"""),7.52)</f>
        <v>7.52</v>
      </c>
    </row>
    <row r="282" spans="1:7" ht="28.5" customHeight="1" x14ac:dyDescent="0.15">
      <c r="A282" s="14" t="str">
        <f ca="1">IFERROR(__xludf.DUMMYFUNCTION("""COMPUTED_VALUE"""),"TORRIDEN")</f>
        <v>TORRIDEN</v>
      </c>
      <c r="B282" s="14" t="str">
        <f ca="1">IFERROR(__xludf.DUMMYFUNCTION("""COMPUTED_VALUE"""),"Пенка")</f>
        <v>Пенка</v>
      </c>
      <c r="C282" s="14" t="str">
        <f ca="1">IFERROR(__xludf.DUMMYFUNCTION("""COMPUTED_VALUE"""),"ОЧИЩАЮЩАЯ ПЕНКА ДЛЯ ЛИЦА - TORRIDEN DIVE IN CLEANSING FOAM")</f>
        <v>ОЧИЩАЮЩАЯ ПЕНКА ДЛЯ ЛИЦА - TORRIDEN DIVE IN CLEANSING FOAM</v>
      </c>
      <c r="D282" s="15" t="str">
        <f ca="1">IFERROR(__xludf.DUMMYFUNCTION("""COMPUTED_VALUE"""),"8809784600404")</f>
        <v>8809784600404</v>
      </c>
      <c r="E282" s="16" t="str">
        <f ca="1">IFERROR(__xludf.DUMMYFUNCTION("""COMPUTED_VALUE"""),"150мл")</f>
        <v>150мл</v>
      </c>
      <c r="F282" s="16">
        <f ca="1">IFERROR(__xludf.DUMMYFUNCTION("""COMPUTED_VALUE"""),214)</f>
        <v>214</v>
      </c>
      <c r="G282" s="17">
        <f ca="1">IFERROR(__xludf.DUMMYFUNCTION("""COMPUTED_VALUE"""),7.52)</f>
        <v>7.52</v>
      </c>
    </row>
    <row r="283" spans="1:7" ht="28.5" customHeight="1" x14ac:dyDescent="0.15">
      <c r="A283" s="14" t="str">
        <f ca="1">IFERROR(__xludf.DUMMYFUNCTION("""COMPUTED_VALUE"""),"TORRIDEN")</f>
        <v>TORRIDEN</v>
      </c>
      <c r="B283" s="14" t="str">
        <f ca="1">IFERROR(__xludf.DUMMYFUNCTION("""COMPUTED_VALUE"""),"Масло гидрофильное")</f>
        <v>Масло гидрофильное</v>
      </c>
      <c r="C283" s="14" t="str">
        <f ca="1">IFERROR(__xludf.DUMMYFUNCTION("""COMPUTED_VALUE"""),"ОЧИЩАЮЩЕЕ МАСЛО ДЛЯ ЛИЦА - TORRIDEN DIVE IN CLEANSING OIL")</f>
        <v>ОЧИЩАЮЩЕЕ МАСЛО ДЛЯ ЛИЦА - TORRIDEN DIVE IN CLEANSING OIL</v>
      </c>
      <c r="D283" s="15" t="str">
        <f ca="1">IFERROR(__xludf.DUMMYFUNCTION("""COMPUTED_VALUE"""),"8809784603498")</f>
        <v>8809784603498</v>
      </c>
      <c r="E283" s="16" t="str">
        <f ca="1">IFERROR(__xludf.DUMMYFUNCTION("""COMPUTED_VALUE"""),"200мл")</f>
        <v>200мл</v>
      </c>
      <c r="F283" s="16">
        <f ca="1">IFERROR(__xludf.DUMMYFUNCTION("""COMPUTED_VALUE"""),78)</f>
        <v>78</v>
      </c>
      <c r="G283" s="17">
        <f ca="1">IFERROR(__xludf.DUMMYFUNCTION("""COMPUTED_VALUE"""),8.13)</f>
        <v>8.1300000000000008</v>
      </c>
    </row>
    <row r="284" spans="1:7" ht="28.5" customHeight="1" x14ac:dyDescent="0.15">
      <c r="A284" s="14" t="str">
        <f ca="1">IFERROR(__xludf.DUMMYFUNCTION("""COMPUTED_VALUE"""),"TORRIDEN")</f>
        <v>TORRIDEN</v>
      </c>
      <c r="B284" s="14" t="str">
        <f ca="1">IFERROR(__xludf.DUMMYFUNCTION("""COMPUTED_VALUE"""),"Гель для умывания")</f>
        <v>Гель для умывания</v>
      </c>
      <c r="C284" s="14" t="str">
        <f ca="1">IFERROR(__xludf.DUMMYFUNCTION("""COMPUTED_VALUE"""),"ОЧИЩАЮЩИЙ ГЕЛЬ ДЛЯ ЛИЦА - TORRIDEN BALANCEFUL CLEANSING GEL")</f>
        <v>ОЧИЩАЮЩИЙ ГЕЛЬ ДЛЯ ЛИЦА - TORRIDEN BALANCEFUL CLEANSING GEL</v>
      </c>
      <c r="D284" s="15" t="str">
        <f ca="1">IFERROR(__xludf.DUMMYFUNCTION("""COMPUTED_VALUE"""),"8809784600824")</f>
        <v>8809784600824</v>
      </c>
      <c r="E284" s="16" t="str">
        <f ca="1">IFERROR(__xludf.DUMMYFUNCTION("""COMPUTED_VALUE"""),"200мл")</f>
        <v>200мл</v>
      </c>
      <c r="F284" s="16">
        <f ca="1">IFERROR(__xludf.DUMMYFUNCTION("""COMPUTED_VALUE"""),145)</f>
        <v>145</v>
      </c>
      <c r="G284" s="17">
        <f ca="1">IFERROR(__xludf.DUMMYFUNCTION("""COMPUTED_VALUE"""),8.94)</f>
        <v>8.94</v>
      </c>
    </row>
    <row r="285" spans="1:7" ht="28.5" customHeight="1" x14ac:dyDescent="0.15">
      <c r="A285" s="14" t="str">
        <f ca="1">IFERROR(__xludf.DUMMYFUNCTION("""COMPUTED_VALUE"""),"TORRIDEN")</f>
        <v>TORRIDEN</v>
      </c>
      <c r="B285" s="14" t="str">
        <f ca="1">IFERROR(__xludf.DUMMYFUNCTION("""COMPUTED_VALUE"""),"Патчи")</f>
        <v>Патчи</v>
      </c>
      <c r="C285" s="14" t="str">
        <f ca="1">IFERROR(__xludf.DUMMYFUNCTION("""COMPUTED_VALUE"""),"ПАТЧИ КОСМЕТИЧЕСКИЕ - TORRIDEN DIVE IN HYDRA GLOW EYE PATCH")</f>
        <v>ПАТЧИ КОСМЕТИЧЕСКИЕ - TORRIDEN DIVE IN HYDRA GLOW EYE PATCH</v>
      </c>
      <c r="D285" s="15" t="str">
        <f ca="1">IFERROR(__xludf.DUMMYFUNCTION("""COMPUTED_VALUE"""),"8809784606512")</f>
        <v>8809784606512</v>
      </c>
      <c r="E285" s="16" t="str">
        <f ca="1">IFERROR(__xludf.DUMMYFUNCTION("""COMPUTED_VALUE"""),"1уп (60шт/97г)")</f>
        <v>1уп (60шт/97г)</v>
      </c>
      <c r="F285" s="16">
        <f ca="1">IFERROR(__xludf.DUMMYFUNCTION("""COMPUTED_VALUE"""),80)</f>
        <v>80</v>
      </c>
      <c r="G285" s="17">
        <f ca="1">IFERROR(__xludf.DUMMYFUNCTION("""COMPUTED_VALUE"""),9.14)</f>
        <v>9.14</v>
      </c>
    </row>
    <row r="286" spans="1:7" ht="28.5" customHeight="1" x14ac:dyDescent="0.15">
      <c r="A286" s="14" t="str">
        <f ca="1">IFERROR(__xludf.DUMMYFUNCTION("""COMPUTED_VALUE"""),"TORRIDEN")</f>
        <v>TORRIDEN</v>
      </c>
      <c r="B286" s="14" t="str">
        <f ca="1">IFERROR(__xludf.DUMMYFUNCTION("""COMPUTED_VALUE"""),"Солнцезащитный крем")</f>
        <v>Солнцезащитный крем</v>
      </c>
      <c r="C286" s="14" t="str">
        <f ca="1">IFERROR(__xludf.DUMMYFUNCTION("""COMPUTED_VALUE"""),"СОЛНЦЕЗАЩИТНОЕ СРЕДСТВО - TORRIDEN DIVE IN MILD SUN CREAM SPF50+ PA++++")</f>
        <v>СОЛНЦЕЗАЩИТНОЕ СРЕДСТВО - TORRIDEN DIVE IN MILD SUN CREAM SPF50+ PA++++</v>
      </c>
      <c r="D286" s="15" t="str">
        <f ca="1">IFERROR(__xludf.DUMMYFUNCTION("""COMPUTED_VALUE"""),"8809784600268")</f>
        <v>8809784600268</v>
      </c>
      <c r="E286" s="16" t="str">
        <f ca="1">IFERROR(__xludf.DUMMYFUNCTION("""COMPUTED_VALUE"""),"60мл")</f>
        <v>60мл</v>
      </c>
      <c r="F286" s="16">
        <f ca="1">IFERROR(__xludf.DUMMYFUNCTION("""COMPUTED_VALUE"""),32)</f>
        <v>32</v>
      </c>
      <c r="G286" s="17">
        <f ca="1">IFERROR(__xludf.DUMMYFUNCTION("""COMPUTED_VALUE"""),9.14)</f>
        <v>9.14</v>
      </c>
    </row>
    <row r="287" spans="1:7" ht="28.5" customHeight="1" x14ac:dyDescent="0.15">
      <c r="A287" s="14" t="str">
        <f ca="1">IFERROR(__xludf.DUMMYFUNCTION("""COMPUTED_VALUE"""),"TORRIDEN")</f>
        <v>TORRIDEN</v>
      </c>
      <c r="B287" s="14" t="str">
        <f ca="1">IFERROR(__xludf.DUMMYFUNCTION("""COMPUTED_VALUE"""),"Солнцезащитный крем")</f>
        <v>Солнцезащитный крем</v>
      </c>
      <c r="C287" s="14" t="str">
        <f ca="1">IFERROR(__xludf.DUMMYFUNCTION("""COMPUTED_VALUE"""),"СОЛНЦЕЗАЩИТНОЕ СРЕДСТВО - TORRIDEN DIVE IN MOISTURE SUN CREAM SPF50+ PA++++")</f>
        <v>СОЛНЦЕЗАЩИТНОЕ СРЕДСТВО - TORRIDEN DIVE IN MOISTURE SUN CREAM SPF50+ PA++++</v>
      </c>
      <c r="D287" s="15" t="str">
        <f ca="1">IFERROR(__xludf.DUMMYFUNCTION("""COMPUTED_VALUE"""),"8809784603955")</f>
        <v>8809784603955</v>
      </c>
      <c r="E287" s="16" t="str">
        <f ca="1">IFERROR(__xludf.DUMMYFUNCTION("""COMPUTED_VALUE"""),"60мл")</f>
        <v>60мл</v>
      </c>
      <c r="F287" s="16">
        <f ca="1">IFERROR(__xludf.DUMMYFUNCTION("""COMPUTED_VALUE"""),220)</f>
        <v>220</v>
      </c>
      <c r="G287" s="17">
        <f ca="1">IFERROR(__xludf.DUMMYFUNCTION("""COMPUTED_VALUE"""),9.14)</f>
        <v>9.14</v>
      </c>
    </row>
    <row r="288" spans="1:7" ht="28.5" customHeight="1" x14ac:dyDescent="0.15">
      <c r="A288" s="14" t="str">
        <f ca="1">IFERROR(__xludf.DUMMYFUNCTION("""COMPUTED_VALUE"""),"TORRIDEN")</f>
        <v>TORRIDEN</v>
      </c>
      <c r="B288" s="14" t="str">
        <f ca="1">IFERROR(__xludf.DUMMYFUNCTION("""COMPUTED_VALUE"""),"Сыворотка")</f>
        <v>Сыворотка</v>
      </c>
      <c r="C288" s="14" t="str">
        <f ca="1">IFERROR(__xludf.DUMMYFUNCTION("""COMPUTED_VALUE"""),"СЫВОРОТКА ДЛЯ ЛИЦА - TORRIDEN BALANCEFUL AZELAIC ACID SERUM")</f>
        <v>СЫВОРОТКА ДЛЯ ЛИЦА - TORRIDEN BALANCEFUL AZELAIC ACID SERUM</v>
      </c>
      <c r="D288" s="15" t="str">
        <f ca="1">IFERROR(__xludf.DUMMYFUNCTION("""COMPUTED_VALUE"""),"8809784606154")</f>
        <v>8809784606154</v>
      </c>
      <c r="E288" s="16" t="str">
        <f ca="1">IFERROR(__xludf.DUMMYFUNCTION("""COMPUTED_VALUE"""),"30мл")</f>
        <v>30мл</v>
      </c>
      <c r="F288" s="16">
        <f ca="1">IFERROR(__xludf.DUMMYFUNCTION("""COMPUTED_VALUE"""),224)</f>
        <v>224</v>
      </c>
      <c r="G288" s="17">
        <f ca="1">IFERROR(__xludf.DUMMYFUNCTION("""COMPUTED_VALUE"""),10.77)</f>
        <v>10.77</v>
      </c>
    </row>
    <row r="289" spans="1:7" ht="28.5" customHeight="1" x14ac:dyDescent="0.15">
      <c r="A289" s="14" t="str">
        <f ca="1">IFERROR(__xludf.DUMMYFUNCTION("""COMPUTED_VALUE"""),"TORRIDEN")</f>
        <v>TORRIDEN</v>
      </c>
      <c r="B289" s="14" t="str">
        <f ca="1">IFERROR(__xludf.DUMMYFUNCTION("""COMPUTED_VALUE"""),"Сыворотка")</f>
        <v>Сыворотка</v>
      </c>
      <c r="C289" s="14" t="str">
        <f ca="1">IFERROR(__xludf.DUMMYFUNCTION("""COMPUTED_VALUE"""),"СЫВОРОТКА ДЛЯ ЛИЦА - TORRIDEN CELLMAZING BRIGHTENING AMPOULE")</f>
        <v>СЫВОРОТКА ДЛЯ ЛИЦА - TORRIDEN CELLMAZING BRIGHTENING AMPOULE</v>
      </c>
      <c r="D289" s="15" t="str">
        <f ca="1">IFERROR(__xludf.DUMMYFUNCTION("""COMPUTED_VALUE"""),"8809784607410")</f>
        <v>8809784607410</v>
      </c>
      <c r="E289" s="16" t="str">
        <f ca="1">IFERROR(__xludf.DUMMYFUNCTION("""COMPUTED_VALUE"""),"50мл")</f>
        <v>50мл</v>
      </c>
      <c r="F289" s="16">
        <f ca="1">IFERROR(__xludf.DUMMYFUNCTION("""COMPUTED_VALUE"""),55)</f>
        <v>55</v>
      </c>
      <c r="G289" s="17">
        <f ca="1">IFERROR(__xludf.DUMMYFUNCTION("""COMPUTED_VALUE"""),11.18)</f>
        <v>11.18</v>
      </c>
    </row>
    <row r="290" spans="1:7" ht="28.5" customHeight="1" x14ac:dyDescent="0.15">
      <c r="A290" s="14" t="str">
        <f ca="1">IFERROR(__xludf.DUMMYFUNCTION("""COMPUTED_VALUE"""),"TORRIDEN")</f>
        <v>TORRIDEN</v>
      </c>
      <c r="B290" s="14" t="str">
        <f ca="1">IFERROR(__xludf.DUMMYFUNCTION("""COMPUTED_VALUE"""),"Сыворотка")</f>
        <v>Сыворотка</v>
      </c>
      <c r="C290" s="14" t="str">
        <f ca="1">IFERROR(__xludf.DUMMYFUNCTION("""COMPUTED_VALUE"""),"СЫВОРОТКА ДЛЯ ЛИЦА - TORRIDEN CELLMAZING PORE PERFECTING AMPOULE")</f>
        <v>СЫВОРОТКА ДЛЯ ЛИЦА - TORRIDEN CELLMAZING PORE PERFECTING AMPOULE</v>
      </c>
      <c r="D290" s="15" t="str">
        <f ca="1">IFERROR(__xludf.DUMMYFUNCTION("""COMPUTED_VALUE"""),"8809784603467")</f>
        <v>8809784603467</v>
      </c>
      <c r="E290" s="16" t="str">
        <f ca="1">IFERROR(__xludf.DUMMYFUNCTION("""COMPUTED_VALUE"""),"30мл")</f>
        <v>30мл</v>
      </c>
      <c r="F290" s="16">
        <f ca="1">IFERROR(__xludf.DUMMYFUNCTION("""COMPUTED_VALUE"""),48)</f>
        <v>48</v>
      </c>
      <c r="G290" s="17">
        <f ca="1">IFERROR(__xludf.DUMMYFUNCTION("""COMPUTED_VALUE"""),10.36)</f>
        <v>10.36</v>
      </c>
    </row>
    <row r="291" spans="1:7" ht="28.5" customHeight="1" x14ac:dyDescent="0.15">
      <c r="A291" s="14" t="str">
        <f ca="1">IFERROR(__xludf.DUMMYFUNCTION("""COMPUTED_VALUE"""),"TORRIDEN")</f>
        <v>TORRIDEN</v>
      </c>
      <c r="B291" s="14" t="str">
        <f ca="1">IFERROR(__xludf.DUMMYFUNCTION("""COMPUTED_VALUE"""),"Тонер")</f>
        <v>Тонер</v>
      </c>
      <c r="C291" s="14" t="str">
        <f ca="1">IFERROR(__xludf.DUMMYFUNCTION("""COMPUTED_VALUE"""),"ТОНЕР ДЛЯ ЛИЦА - TORRIDEN CELLMAZING BRIGHTENING TONER")</f>
        <v>ТОНЕР ДЛЯ ЛИЦА - TORRIDEN CELLMAZING BRIGHTENING TONER</v>
      </c>
      <c r="D291" s="15" t="str">
        <f ca="1">IFERROR(__xludf.DUMMYFUNCTION("""COMPUTED_VALUE"""),"8809784607403")</f>
        <v>8809784607403</v>
      </c>
      <c r="E291" s="16" t="str">
        <f ca="1">IFERROR(__xludf.DUMMYFUNCTION("""COMPUTED_VALUE"""),"200мл")</f>
        <v>200мл</v>
      </c>
      <c r="F291" s="16">
        <f ca="1">IFERROR(__xludf.DUMMYFUNCTION("""COMPUTED_VALUE"""),115)</f>
        <v>115</v>
      </c>
      <c r="G291" s="17">
        <f ca="1">IFERROR(__xludf.DUMMYFUNCTION("""COMPUTED_VALUE"""),9.14)</f>
        <v>9.14</v>
      </c>
    </row>
    <row r="292" spans="1:7" ht="28.5" customHeight="1" x14ac:dyDescent="0.15">
      <c r="A292" s="14" t="str">
        <f ca="1">IFERROR(__xludf.DUMMYFUNCTION("""COMPUTED_VALUE"""),"VT COSMETICS")</f>
        <v>VT COSMETICS</v>
      </c>
      <c r="B292" s="14" t="str">
        <f ca="1">IFERROR(__xludf.DUMMYFUNCTION("""COMPUTED_VALUE"""),"Новый SKU")</f>
        <v>Новый SKU</v>
      </c>
      <c r="C292" s="14" t="str">
        <f ca="1">IFERROR(__xludf.DUMMYFUNCTION("""COMPUTED_VALUE"""),"КОСМЕТИЧЕСКОЕ СРЕДСТВО - VT COSMETICS COLLAGEN REEDLE SHOT 100")</f>
        <v>КОСМЕТИЧЕСКОЕ СРЕДСТВО - VT COSMETICS COLLAGEN REEDLE SHOT 100</v>
      </c>
      <c r="D292" s="15" t="str">
        <f ca="1">IFERROR(__xludf.DUMMYFUNCTION("""COMPUTED_VALUE"""),"8803463003692")</f>
        <v>8803463003692</v>
      </c>
      <c r="E292" s="16" t="str">
        <f ca="1">IFERROR(__xludf.DUMMYFUNCTION("""COMPUTED_VALUE"""),"50мл")</f>
        <v>50мл</v>
      </c>
      <c r="F292" s="16">
        <f ca="1">IFERROR(__xludf.DUMMYFUNCTION("""COMPUTED_VALUE"""),52)</f>
        <v>52</v>
      </c>
      <c r="G292" s="17">
        <f ca="1">IFERROR(__xludf.DUMMYFUNCTION("""COMPUTED_VALUE"""),18.63)</f>
        <v>18.63</v>
      </c>
    </row>
    <row r="293" spans="1:7" ht="28.5" customHeight="1" x14ac:dyDescent="0.15">
      <c r="A293" s="14" t="str">
        <f ca="1">IFERROR(__xludf.DUMMYFUNCTION("""COMPUTED_VALUE"""),"VT COSMETICS")</f>
        <v>VT COSMETICS</v>
      </c>
      <c r="B293" s="14" t="str">
        <f ca="1">IFERROR(__xludf.DUMMYFUNCTION("""COMPUTED_VALUE"""),"Новый SKU")</f>
        <v>Новый SKU</v>
      </c>
      <c r="C293" s="14" t="str">
        <f ca="1">IFERROR(__xludf.DUMMYFUNCTION("""COMPUTED_VALUE"""),"КОСМЕТИЧЕСКОЕ СРЕДСТВО - VT COSMETICS HYDROP REEDLE SHOT 100HL")</f>
        <v>КОСМЕТИЧЕСКОЕ СРЕДСТВО - VT COSMETICS HYDROP REEDLE SHOT 100HL</v>
      </c>
      <c r="D293" s="15" t="str">
        <f ca="1">IFERROR(__xludf.DUMMYFUNCTION("""COMPUTED_VALUE"""),"8803463007546")</f>
        <v>8803463007546</v>
      </c>
      <c r="E293" s="16" t="str">
        <f ca="1">IFERROR(__xludf.DUMMYFUNCTION("""COMPUTED_VALUE"""),"50мл")</f>
        <v>50мл</v>
      </c>
      <c r="F293" s="16">
        <f ca="1">IFERROR(__xludf.DUMMYFUNCTION("""COMPUTED_VALUE"""),22)</f>
        <v>22</v>
      </c>
      <c r="G293" s="17">
        <f ca="1">IFERROR(__xludf.DUMMYFUNCTION("""COMPUTED_VALUE"""),12.92)</f>
        <v>12.92</v>
      </c>
    </row>
    <row r="294" spans="1:7" ht="28.5" customHeight="1" x14ac:dyDescent="0.15">
      <c r="A294" s="14" t="str">
        <f ca="1">IFERROR(__xludf.DUMMYFUNCTION("""COMPUTED_VALUE"""),"VT COSMETICS")</f>
        <v>VT COSMETICS</v>
      </c>
      <c r="B294" s="14" t="str">
        <f ca="1">IFERROR(__xludf.DUMMYFUNCTION("""COMPUTED_VALUE"""),"Новый SKU")</f>
        <v>Новый SKU</v>
      </c>
      <c r="C294" s="14" t="str">
        <f ca="1">IFERROR(__xludf.DUMMYFUNCTION("""COMPUTED_VALUE"""),"КОСМЕТИЧЕСКОЕ СРЕДСТВО - VT COSMETICS HYDROP REEDLE SHOT 300HL")</f>
        <v>КОСМЕТИЧЕСКОЕ СРЕДСТВО - VT COSMETICS HYDROP REEDLE SHOT 300HL</v>
      </c>
      <c r="D294" s="15" t="str">
        <f ca="1">IFERROR(__xludf.DUMMYFUNCTION("""COMPUTED_VALUE"""),"8803463007553")</f>
        <v>8803463007553</v>
      </c>
      <c r="E294" s="16" t="str">
        <f ca="1">IFERROR(__xludf.DUMMYFUNCTION("""COMPUTED_VALUE"""),"50мл")</f>
        <v>50мл</v>
      </c>
      <c r="F294" s="16">
        <f ca="1">IFERROR(__xludf.DUMMYFUNCTION("""COMPUTED_VALUE"""),27)</f>
        <v>27</v>
      </c>
      <c r="G294" s="17">
        <f ca="1">IFERROR(__xludf.DUMMYFUNCTION("""COMPUTED_VALUE"""),16.72)</f>
        <v>16.72</v>
      </c>
    </row>
    <row r="295" spans="1:7" ht="28.5" customHeight="1" x14ac:dyDescent="0.15">
      <c r="A295" s="14" t="str">
        <f ca="1">IFERROR(__xludf.DUMMYFUNCTION("""COMPUTED_VALUE"""),"VT COSMETICS")</f>
        <v>VT COSMETICS</v>
      </c>
      <c r="B295" s="14" t="str">
        <f ca="1">IFERROR(__xludf.DUMMYFUNCTION("""COMPUTED_VALUE"""),"Новый SKU")</f>
        <v>Новый SKU</v>
      </c>
      <c r="C295" s="14" t="str">
        <f ca="1">IFERROR(__xludf.DUMMYFUNCTION("""COMPUTED_VALUE"""),"КОСМЕТИЧЕСКОЕ СРЕДСТВО - VT COSMETICS PDRN REEDLE SHOT 100")</f>
        <v>КОСМЕТИЧЕСКОЕ СРЕДСТВО - VT COSMETICS PDRN REEDLE SHOT 100</v>
      </c>
      <c r="D295" s="15" t="str">
        <f ca="1">IFERROR(__xludf.DUMMYFUNCTION("""COMPUTED_VALUE"""),"8803463006853")</f>
        <v>8803463006853</v>
      </c>
      <c r="E295" s="16" t="str">
        <f ca="1">IFERROR(__xludf.DUMMYFUNCTION("""COMPUTED_VALUE"""),"50мл")</f>
        <v>50мл</v>
      </c>
      <c r="F295" s="16">
        <f ca="1">IFERROR(__xludf.DUMMYFUNCTION("""COMPUTED_VALUE"""),15)</f>
        <v>15</v>
      </c>
      <c r="G295" s="17">
        <f ca="1">IFERROR(__xludf.DUMMYFUNCTION("""COMPUTED_VALUE"""),17.88)</f>
        <v>17.88</v>
      </c>
    </row>
    <row r="296" spans="1:7" ht="28.5" customHeight="1" x14ac:dyDescent="0.15">
      <c r="A296" s="14" t="str">
        <f ca="1">IFERROR(__xludf.DUMMYFUNCTION("""COMPUTED_VALUE"""),"VT COSMETICS")</f>
        <v>VT COSMETICS</v>
      </c>
      <c r="B296" s="14" t="str">
        <f ca="1">IFERROR(__xludf.DUMMYFUNCTION("""COMPUTED_VALUE"""),"Новый SKU")</f>
        <v>Новый SKU</v>
      </c>
      <c r="C296" s="14" t="str">
        <f ca="1">IFERROR(__xludf.DUMMYFUNCTION("""COMPUTED_VALUE"""),"КОСМЕТИЧЕСКОЕ СРЕДСТВО - VT COSMETICS PRO CICA REEDLE SHOT 100")</f>
        <v>КОСМЕТИЧЕСКОЕ СРЕДСТВО - VT COSMETICS PRO CICA REEDLE SHOT 100</v>
      </c>
      <c r="D296" s="15" t="str">
        <f ca="1">IFERROR(__xludf.DUMMYFUNCTION("""COMPUTED_VALUE"""),"8803463003685")</f>
        <v>8803463003685</v>
      </c>
      <c r="E296" s="16" t="str">
        <f ca="1">IFERROR(__xludf.DUMMYFUNCTION("""COMPUTED_VALUE"""),"50мл")</f>
        <v>50мл</v>
      </c>
      <c r="F296" s="16">
        <f ca="1">IFERROR(__xludf.DUMMYFUNCTION("""COMPUTED_VALUE"""),8)</f>
        <v>8</v>
      </c>
      <c r="G296" s="17">
        <f ca="1">IFERROR(__xludf.DUMMYFUNCTION("""COMPUTED_VALUE"""),19.56)</f>
        <v>19.559999999999999</v>
      </c>
    </row>
    <row r="297" spans="1:7" ht="28.5" customHeight="1" x14ac:dyDescent="0.15">
      <c r="A297" s="14" t="str">
        <f ca="1">IFERROR(__xludf.DUMMYFUNCTION("""COMPUTED_VALUE"""),"VT COSMETICS")</f>
        <v>VT COSMETICS</v>
      </c>
      <c r="B297" s="14" t="str">
        <f ca="1">IFERROR(__xludf.DUMMYFUNCTION("""COMPUTED_VALUE"""),"Новый SKU")</f>
        <v>Новый SKU</v>
      </c>
      <c r="C297" s="14" t="str">
        <f ca="1">IFERROR(__xludf.DUMMYFUNCTION("""COMPUTED_VALUE"""),"КОСМЕТИЧЕСКОЕ СРЕДСТВО - VT COSMETICS PRO CICA REEDLE SHOT 300")</f>
        <v>КОСМЕТИЧЕСКОЕ СРЕДСТВО - VT COSMETICS PRO CICA REEDLE SHOT 300</v>
      </c>
      <c r="D297" s="15" t="str">
        <f ca="1">IFERROR(__xludf.DUMMYFUNCTION("""COMPUTED_VALUE"""),"8803463005719")</f>
        <v>8803463005719</v>
      </c>
      <c r="E297" s="16" t="str">
        <f ca="1">IFERROR(__xludf.DUMMYFUNCTION("""COMPUTED_VALUE"""),"50мл")</f>
        <v>50мл</v>
      </c>
      <c r="F297" s="16">
        <f ca="1">IFERROR(__xludf.DUMMYFUNCTION("""COMPUTED_VALUE"""),2)</f>
        <v>2</v>
      </c>
      <c r="G297" s="17">
        <f ca="1">IFERROR(__xludf.DUMMYFUNCTION("""COMPUTED_VALUE"""),23.37)</f>
        <v>23.37</v>
      </c>
    </row>
    <row r="298" spans="1:7" ht="28.5" customHeight="1" x14ac:dyDescent="0.15">
      <c r="A298" s="14" t="str">
        <f ca="1">IFERROR(__xludf.DUMMYFUNCTION("""COMPUTED_VALUE"""),"VT COSMETICS")</f>
        <v>VT COSMETICS</v>
      </c>
      <c r="B298" s="14" t="str">
        <f ca="1">IFERROR(__xludf.DUMMYFUNCTION("""COMPUTED_VALUE"""),"Новый SKU")</f>
        <v>Новый SKU</v>
      </c>
      <c r="C298" s="14" t="str">
        <f ca="1">IFERROR(__xludf.DUMMYFUNCTION("""COMPUTED_VALUE"""),"КОСМЕТИЧЕСКОЕ СРЕДСТВО - VT COSMETICS RED BOOSTER REEDLE SHOT 100")</f>
        <v>КОСМЕТИЧЕСКОЕ СРЕДСТВО - VT COSMETICS RED BOOSTER REEDLE SHOT 100</v>
      </c>
      <c r="D298" s="15" t="str">
        <f ca="1">IFERROR(__xludf.DUMMYFUNCTION("""COMPUTED_VALUE"""),"8803463009175")</f>
        <v>8803463009175</v>
      </c>
      <c r="E298" s="16" t="str">
        <f ca="1">IFERROR(__xludf.DUMMYFUNCTION("""COMPUTED_VALUE"""),"50мл")</f>
        <v>50мл</v>
      </c>
      <c r="F298" s="16">
        <f ca="1">IFERROR(__xludf.DUMMYFUNCTION("""COMPUTED_VALUE"""),84)</f>
        <v>84</v>
      </c>
      <c r="G298" s="17">
        <f ca="1">IFERROR(__xludf.DUMMYFUNCTION("""COMPUTED_VALUE"""),18.24)</f>
        <v>18.239999999999998</v>
      </c>
    </row>
    <row r="299" spans="1:7" ht="28.5" customHeight="1" x14ac:dyDescent="0.15">
      <c r="A299" s="14" t="str">
        <f ca="1">IFERROR(__xludf.DUMMYFUNCTION("""COMPUTED_VALUE"""),"VT COSMETICS")</f>
        <v>VT COSMETICS</v>
      </c>
      <c r="B299" s="14" t="str">
        <f ca="1">IFERROR(__xludf.DUMMYFUNCTION("""COMPUTED_VALUE"""),"Новый SKU")</f>
        <v>Новый SKU</v>
      </c>
      <c r="C299" s="14" t="str">
        <f ca="1">IFERROR(__xludf.DUMMYFUNCTION("""COMPUTED_VALUE"""),"КОСМЕТИЧЕСКОЕ СРЕДСТВО - VT COSMETICS REEDLE SHOT 100")</f>
        <v>КОСМЕТИЧЕСКОЕ СРЕДСТВО - VT COSMETICS REEDLE SHOT 100</v>
      </c>
      <c r="D299" s="15" t="str">
        <f ca="1">IFERROR(__xludf.DUMMYFUNCTION("""COMPUTED_VALUE"""),"8809695678363")</f>
        <v>8809695678363</v>
      </c>
      <c r="E299" s="16" t="str">
        <f ca="1">IFERROR(__xludf.DUMMYFUNCTION("""COMPUTED_VALUE"""),"50мл")</f>
        <v>50мл</v>
      </c>
      <c r="F299" s="16">
        <f ca="1">IFERROR(__xludf.DUMMYFUNCTION("""COMPUTED_VALUE"""),92)</f>
        <v>92</v>
      </c>
      <c r="G299" s="17">
        <f ca="1">IFERROR(__xludf.DUMMYFUNCTION("""COMPUTED_VALUE"""),12.92)</f>
        <v>12.92</v>
      </c>
    </row>
    <row r="300" spans="1:7" ht="28.5" customHeight="1" x14ac:dyDescent="0.15">
      <c r="A300" s="14" t="str">
        <f ca="1">IFERROR(__xludf.DUMMYFUNCTION("""COMPUTED_VALUE"""),"VT COSMETICS")</f>
        <v>VT COSMETICS</v>
      </c>
      <c r="B300" s="14" t="str">
        <f ca="1">IFERROR(__xludf.DUMMYFUNCTION("""COMPUTED_VALUE"""),"Новый SKU")</f>
        <v>Новый SKU</v>
      </c>
      <c r="C300" s="14" t="str">
        <f ca="1">IFERROR(__xludf.DUMMYFUNCTION("""COMPUTED_VALUE"""),"КОСМЕТИЧЕСКОЕ СРЕДСТВО - VT COSMETICS REEDLE SHOT 300")</f>
        <v>КОСМЕТИЧЕСКОЕ СРЕДСТВО - VT COSMETICS REEDLE SHOT 300</v>
      </c>
      <c r="D300" s="15" t="str">
        <f ca="1">IFERROR(__xludf.DUMMYFUNCTION("""COMPUTED_VALUE"""),"8809695678431")</f>
        <v>8809695678431</v>
      </c>
      <c r="E300" s="16" t="str">
        <f ca="1">IFERROR(__xludf.DUMMYFUNCTION("""COMPUTED_VALUE"""),"50мл")</f>
        <v>50мл</v>
      </c>
      <c r="F300" s="16">
        <f ca="1">IFERROR(__xludf.DUMMYFUNCTION("""COMPUTED_VALUE"""),179)</f>
        <v>179</v>
      </c>
      <c r="G300" s="17">
        <f ca="1">IFERROR(__xludf.DUMMYFUNCTION("""COMPUTED_VALUE"""),17.29)</f>
        <v>17.29</v>
      </c>
    </row>
    <row r="301" spans="1:7" ht="28.5" customHeight="1" x14ac:dyDescent="0.15">
      <c r="A301" s="14" t="str">
        <f ca="1">IFERROR(__xludf.DUMMYFUNCTION("""COMPUTED_VALUE"""),"VT COSMETICS")</f>
        <v>VT COSMETICS</v>
      </c>
      <c r="B301" s="14" t="str">
        <f ca="1">IFERROR(__xludf.DUMMYFUNCTION("""COMPUTED_VALUE"""),"Крем для век")</f>
        <v>Крем для век</v>
      </c>
      <c r="C301" s="14" t="str">
        <f ca="1">IFERROR(__xludf.DUMMYFUNCTION("""COMPUTED_VALUE"""),"КРЕМ ДЛЯ ГЛАЗ - VT COSMETICS REEDLE SHOT LIFTING EYE CREAM")</f>
        <v>КРЕМ ДЛЯ ГЛАЗ - VT COSMETICS REEDLE SHOT LIFTING EYE CREAM</v>
      </c>
      <c r="D301" s="15" t="str">
        <f ca="1">IFERROR(__xludf.DUMMYFUNCTION("""COMPUTED_VALUE"""),"8809695679544")</f>
        <v>8809695679544</v>
      </c>
      <c r="E301" s="16" t="str">
        <f ca="1">IFERROR(__xludf.DUMMYFUNCTION("""COMPUTED_VALUE"""),"15мл")</f>
        <v>15мл</v>
      </c>
      <c r="F301" s="16">
        <f ca="1">IFERROR(__xludf.DUMMYFUNCTION("""COMPUTED_VALUE"""),533)</f>
        <v>533</v>
      </c>
      <c r="G301" s="17">
        <f ca="1">IFERROR(__xludf.DUMMYFUNCTION("""COMPUTED_VALUE"""),11.25)</f>
        <v>11.25</v>
      </c>
    </row>
    <row r="302" spans="1:7" ht="28.5" customHeight="1" x14ac:dyDescent="0.15">
      <c r="A302" s="14" t="str">
        <f ca="1">IFERROR(__xludf.DUMMYFUNCTION("""COMPUTED_VALUE"""),"VT COSMETICS")</f>
        <v>VT COSMETICS</v>
      </c>
      <c r="B302" s="14" t="str">
        <f ca="1">IFERROR(__xludf.DUMMYFUNCTION("""COMPUTED_VALUE"""),"Крем для век")</f>
        <v>Крем для век</v>
      </c>
      <c r="C302" s="14" t="str">
        <f ca="1">IFERROR(__xludf.DUMMYFUNCTION("""COMPUTED_VALUE"""),"КРЕМ ДЛЯ ГЛАЗ - VT REEDLE SHOT VITA-LIGHT EYE CREAM VC B1000")</f>
        <v>КРЕМ ДЛЯ ГЛАЗ - VT REEDLE SHOT VITA-LIGHT EYE CREAM VC B1000</v>
      </c>
      <c r="D302" s="15" t="str">
        <f ca="1">IFERROR(__xludf.DUMMYFUNCTION("""COMPUTED_VALUE"""),"8803463004552")</f>
        <v>8803463004552</v>
      </c>
      <c r="E302" s="16" t="str">
        <f ca="1">IFERROR(__xludf.DUMMYFUNCTION("""COMPUTED_VALUE"""),"15мл")</f>
        <v>15мл</v>
      </c>
      <c r="F302" s="16">
        <f ca="1">IFERROR(__xludf.DUMMYFUNCTION("""COMPUTED_VALUE"""),91)</f>
        <v>91</v>
      </c>
      <c r="G302" s="17">
        <f ca="1">IFERROR(__xludf.DUMMYFUNCTION("""COMPUTED_VALUE"""),11.18)</f>
        <v>11.18</v>
      </c>
    </row>
    <row r="303" spans="1:7" ht="28.5" customHeight="1" x14ac:dyDescent="0.15">
      <c r="A303" s="14" t="str">
        <f ca="1">IFERROR(__xludf.DUMMYFUNCTION("""COMPUTED_VALUE"""),"VT COSMETICS")</f>
        <v>VT COSMETICS</v>
      </c>
      <c r="B303" s="14" t="str">
        <f ca="1">IFERROR(__xludf.DUMMYFUNCTION("""COMPUTED_VALUE"""),"Крем")</f>
        <v>Крем</v>
      </c>
      <c r="C303" s="14" t="str">
        <f ca="1">IFERROR(__xludf.DUMMYFUNCTION("""COMPUTED_VALUE"""),"КРЕМ ДЛЯ ЛИЦА - VT COSMETICS AZELAIC ACID CARE CAPSULE CREAM")</f>
        <v>КРЕМ ДЛЯ ЛИЦА - VT COSMETICS AZELAIC ACID CARE CAPSULE CREAM</v>
      </c>
      <c r="D303" s="15" t="str">
        <f ca="1">IFERROR(__xludf.DUMMYFUNCTION("""COMPUTED_VALUE"""),"8803463018108")</f>
        <v>8803463018108</v>
      </c>
      <c r="E303" s="16" t="str">
        <f ca="1">IFERROR(__xludf.DUMMYFUNCTION("""COMPUTED_VALUE"""),"50мл")</f>
        <v>50мл</v>
      </c>
      <c r="F303" s="16">
        <f ca="1">IFERROR(__xludf.DUMMYFUNCTION("""COMPUTED_VALUE"""),8)</f>
        <v>8</v>
      </c>
      <c r="G303" s="17">
        <f ca="1">IFERROR(__xludf.DUMMYFUNCTION("""COMPUTED_VALUE"""),11.78)</f>
        <v>11.78</v>
      </c>
    </row>
    <row r="304" spans="1:7" ht="28.5" customHeight="1" x14ac:dyDescent="0.15">
      <c r="A304" s="14" t="str">
        <f ca="1">IFERROR(__xludf.DUMMYFUNCTION("""COMPUTED_VALUE"""),"VT COSMETICS")</f>
        <v>VT COSMETICS</v>
      </c>
      <c r="B304" s="14" t="str">
        <f ca="1">IFERROR(__xludf.DUMMYFUNCTION("""COMPUTED_VALUE"""),"Крем")</f>
        <v>Крем</v>
      </c>
      <c r="C304" s="14" t="str">
        <f ca="1">IFERROR(__xludf.DUMMYFUNCTION("""COMPUTED_VALUE"""),"КРЕМ ДЛЯ ЛИЦА - VT COSMETICS PDRN CAPSULE CREAM 100")</f>
        <v>КРЕМ ДЛЯ ЛИЦА - VT COSMETICS PDRN CAPSULE CREAM 100</v>
      </c>
      <c r="D304" s="15" t="str">
        <f ca="1">IFERROR(__xludf.DUMMYFUNCTION("""COMPUTED_VALUE"""),"8803463012816")</f>
        <v>8803463012816</v>
      </c>
      <c r="E304" s="16" t="str">
        <f ca="1">IFERROR(__xludf.DUMMYFUNCTION("""COMPUTED_VALUE"""),"50мл")</f>
        <v>50мл</v>
      </c>
      <c r="F304" s="16">
        <f ca="1">IFERROR(__xludf.DUMMYFUNCTION("""COMPUTED_VALUE"""),45)</f>
        <v>45</v>
      </c>
      <c r="G304" s="17">
        <f ca="1">IFERROR(__xludf.DUMMYFUNCTION("""COMPUTED_VALUE"""),11.18)</f>
        <v>11.18</v>
      </c>
    </row>
    <row r="305" spans="1:7" ht="28.5" customHeight="1" x14ac:dyDescent="0.15">
      <c r="A305" s="14" t="str">
        <f ca="1">IFERROR(__xludf.DUMMYFUNCTION("""COMPUTED_VALUE"""),"VT COSMETICS")</f>
        <v>VT COSMETICS</v>
      </c>
      <c r="B305" s="14" t="str">
        <f ca="1">IFERROR(__xludf.DUMMYFUNCTION("""COMPUTED_VALUE"""),"Крем")</f>
        <v>Крем</v>
      </c>
      <c r="C305" s="14" t="str">
        <f ca="1">IFERROR(__xludf.DUMMYFUNCTION("""COMPUTED_VALUE"""),"КРЕМ ДЛЯ ЛИЦА - VT COSMETICS PDRN CREAM 100")</f>
        <v>КРЕМ ДЛЯ ЛИЦА - VT COSMETICS PDRN CREAM 100</v>
      </c>
      <c r="D305" s="15" t="str">
        <f ca="1">IFERROR(__xludf.DUMMYFUNCTION("""COMPUTED_VALUE"""),"8803463006655")</f>
        <v>8803463006655</v>
      </c>
      <c r="E305" s="16" t="str">
        <f ca="1">IFERROR(__xludf.DUMMYFUNCTION("""COMPUTED_VALUE"""),"50мл")</f>
        <v>50мл</v>
      </c>
      <c r="F305" s="16">
        <f ca="1">IFERROR(__xludf.DUMMYFUNCTION("""COMPUTED_VALUE"""),55)</f>
        <v>55</v>
      </c>
      <c r="G305" s="17">
        <f ca="1">IFERROR(__xludf.DUMMYFUNCTION("""COMPUTED_VALUE"""),19.03)</f>
        <v>19.03</v>
      </c>
    </row>
    <row r="306" spans="1:7" ht="28.5" customHeight="1" x14ac:dyDescent="0.15">
      <c r="A306" s="14" t="str">
        <f ca="1">IFERROR(__xludf.DUMMYFUNCTION("""COMPUTED_VALUE"""),"VT COSMETICS")</f>
        <v>VT COSMETICS</v>
      </c>
      <c r="B306" s="14" t="str">
        <f ca="1">IFERROR(__xludf.DUMMYFUNCTION("""COMPUTED_VALUE"""),"Крем")</f>
        <v>Крем</v>
      </c>
      <c r="C306" s="14" t="str">
        <f ca="1">IFERROR(__xludf.DUMMYFUNCTION("""COMPUTED_VALUE"""),"КРЕМ ДЛЯ ЛИЦА - VT COSMETICS PDRN REEDLE SHOT GOLD CREAM")</f>
        <v>КРЕМ ДЛЯ ЛИЦА - VT COSMETICS PDRN REEDLE SHOT GOLD CREAM</v>
      </c>
      <c r="D306" s="15" t="str">
        <f ca="1">IFERROR(__xludf.DUMMYFUNCTION("""COMPUTED_VALUE"""),"8803463013219")</f>
        <v>8803463013219</v>
      </c>
      <c r="E306" s="16" t="str">
        <f ca="1">IFERROR(__xludf.DUMMYFUNCTION("""COMPUTED_VALUE"""),"50мл")</f>
        <v>50мл</v>
      </c>
      <c r="F306" s="16">
        <f ca="1">IFERROR(__xludf.DUMMYFUNCTION("""COMPUTED_VALUE"""),70)</f>
        <v>70</v>
      </c>
      <c r="G306" s="17">
        <f ca="1">IFERROR(__xludf.DUMMYFUNCTION("""COMPUTED_VALUE"""),20.82)</f>
        <v>20.82</v>
      </c>
    </row>
    <row r="307" spans="1:7" ht="28.5" customHeight="1" x14ac:dyDescent="0.15">
      <c r="A307" s="14" t="str">
        <f ca="1">IFERROR(__xludf.DUMMYFUNCTION("""COMPUTED_VALUE"""),"VT COSMETICS")</f>
        <v>VT COSMETICS</v>
      </c>
      <c r="B307" s="14" t="str">
        <f ca="1">IFERROR(__xludf.DUMMYFUNCTION("""COMPUTED_VALUE"""),"Крем")</f>
        <v>Крем</v>
      </c>
      <c r="C307" s="14" t="str">
        <f ca="1">IFERROR(__xludf.DUMMYFUNCTION("""COMPUTED_VALUE"""),"КРЕМ ДЛЯ ЛИЦА - VT COSMETICS RETINAL PEPTIDE CAPSULE CREAM")</f>
        <v>КРЕМ ДЛЯ ЛИЦА - VT COSMETICS RETINAL PEPTIDE CAPSULE CREAM</v>
      </c>
      <c r="D307" s="15" t="str">
        <f ca="1">IFERROR(__xludf.DUMMYFUNCTION("""COMPUTED_VALUE"""),"8803463017880")</f>
        <v>8803463017880</v>
      </c>
      <c r="E307" s="16" t="str">
        <f ca="1">IFERROR(__xludf.DUMMYFUNCTION("""COMPUTED_VALUE"""),"50мл")</f>
        <v>50мл</v>
      </c>
      <c r="F307" s="16">
        <f ca="1">IFERROR(__xludf.DUMMYFUNCTION("""COMPUTED_VALUE"""),54)</f>
        <v>54</v>
      </c>
      <c r="G307" s="17">
        <f ca="1">IFERROR(__xludf.DUMMYFUNCTION("""COMPUTED_VALUE"""),11.78)</f>
        <v>11.78</v>
      </c>
    </row>
    <row r="308" spans="1:7" ht="28.5" customHeight="1" x14ac:dyDescent="0.15">
      <c r="A308" s="14" t="str">
        <f ca="1">IFERROR(__xludf.DUMMYFUNCTION("""COMPUTED_VALUE"""),"VT COSMETICS")</f>
        <v>VT COSMETICS</v>
      </c>
      <c r="B308" s="14" t="str">
        <f ca="1">IFERROR(__xludf.DUMMYFUNCTION("""COMPUTED_VALUE"""),"Крем")</f>
        <v>Крем</v>
      </c>
      <c r="C308" s="14" t="str">
        <f ca="1">IFERROR(__xludf.DUMMYFUNCTION("""COMPUTED_VALUE"""),"КРЕМ ДЛЯ ЛИЦА - VT COSMETICS VITAMIN C ASTAXANTHIN CAPSULE CREAM")</f>
        <v>КРЕМ ДЛЯ ЛИЦА - VT COSMETICS VITAMIN C ASTAXANTHIN CAPSULE CREAM</v>
      </c>
      <c r="D308" s="15" t="str">
        <f ca="1">IFERROR(__xludf.DUMMYFUNCTION("""COMPUTED_VALUE"""),"8803463017859")</f>
        <v>8803463017859</v>
      </c>
      <c r="E308" s="16" t="str">
        <f ca="1">IFERROR(__xludf.DUMMYFUNCTION("""COMPUTED_VALUE"""),"50мл")</f>
        <v>50мл</v>
      </c>
      <c r="F308" s="16">
        <f ca="1">IFERROR(__xludf.DUMMYFUNCTION("""COMPUTED_VALUE"""),50)</f>
        <v>50</v>
      </c>
      <c r="G308" s="17">
        <f ca="1">IFERROR(__xludf.DUMMYFUNCTION("""COMPUTED_VALUE"""),11.78)</f>
        <v>11.78</v>
      </c>
    </row>
    <row r="309" spans="1:7" ht="28.5" customHeight="1" x14ac:dyDescent="0.15">
      <c r="A309" s="14" t="str">
        <f ca="1">IFERROR(__xludf.DUMMYFUNCTION("""COMPUTED_VALUE"""),"VT COSMETICS")</f>
        <v>VT COSMETICS</v>
      </c>
      <c r="B309" s="14" t="str">
        <f ca="1">IFERROR(__xludf.DUMMYFUNCTION("""COMPUTED_VALUE"""),"Крем")</f>
        <v>Крем</v>
      </c>
      <c r="C309" s="14" t="str">
        <f ca="1">IFERROR(__xludf.DUMMYFUNCTION("""COMPUTED_VALUE"""),"КРЕМ ДЛЯ ЛИЦА - VT RETINAL PRO CREAM 0.025")</f>
        <v>КРЕМ ДЛЯ ЛИЦА - VT RETINAL PRO CREAM 0.025</v>
      </c>
      <c r="D309" s="15" t="str">
        <f ca="1">IFERROR(__xludf.DUMMYFUNCTION("""COMPUTED_VALUE"""),"8803463019150")</f>
        <v>8803463019150</v>
      </c>
      <c r="E309" s="16" t="str">
        <f ca="1">IFERROR(__xludf.DUMMYFUNCTION("""COMPUTED_VALUE"""),"20мл")</f>
        <v>20мл</v>
      </c>
      <c r="F309" s="16">
        <f ca="1">IFERROR(__xludf.DUMMYFUNCTION("""COMPUTED_VALUE"""),25)</f>
        <v>25</v>
      </c>
      <c r="G309" s="17">
        <f ca="1">IFERROR(__xludf.DUMMYFUNCTION("""COMPUTED_VALUE"""),13.21)</f>
        <v>13.21</v>
      </c>
    </row>
    <row r="310" spans="1:7" ht="28.5" customHeight="1" x14ac:dyDescent="0.15">
      <c r="A310" s="14" t="str">
        <f ca="1">IFERROR(__xludf.DUMMYFUNCTION("""COMPUTED_VALUE"""),"VT COSMETICS")</f>
        <v>VT COSMETICS</v>
      </c>
      <c r="B310" s="14" t="str">
        <f ca="1">IFERROR(__xludf.DUMMYFUNCTION("""COMPUTED_VALUE"""),"Крем")</f>
        <v>Крем</v>
      </c>
      <c r="C310" s="14" t="str">
        <f ca="1">IFERROR(__xludf.DUMMYFUNCTION("""COMPUTED_VALUE"""),"КРЕМ ДЛЯ ЛИЦА - VT RETINAL PRO CREAM 0.05")</f>
        <v>КРЕМ ДЛЯ ЛИЦА - VT RETINAL PRO CREAM 0.05</v>
      </c>
      <c r="D310" s="15" t="str">
        <f ca="1">IFERROR(__xludf.DUMMYFUNCTION("""COMPUTED_VALUE"""),"8803463019167")</f>
        <v>8803463019167</v>
      </c>
      <c r="E310" s="16" t="str">
        <f ca="1">IFERROR(__xludf.DUMMYFUNCTION("""COMPUTED_VALUE"""),"20мл")</f>
        <v>20мл</v>
      </c>
      <c r="F310" s="16">
        <f ca="1">IFERROR(__xludf.DUMMYFUNCTION("""COMPUTED_VALUE"""),18)</f>
        <v>18</v>
      </c>
      <c r="G310" s="17">
        <f ca="1">IFERROR(__xludf.DUMMYFUNCTION("""COMPUTED_VALUE"""),13.21)</f>
        <v>13.21</v>
      </c>
    </row>
    <row r="311" spans="1:7" ht="28.5" customHeight="1" x14ac:dyDescent="0.15">
      <c r="A311" s="14" t="str">
        <f ca="1">IFERROR(__xludf.DUMMYFUNCTION("""COMPUTED_VALUE"""),"VT COSMETICS")</f>
        <v>VT COSMETICS</v>
      </c>
      <c r="B311" s="14" t="str">
        <f ca="1">IFERROR(__xludf.DUMMYFUNCTION("""COMPUTED_VALUE"""),"Крем")</f>
        <v>Крем</v>
      </c>
      <c r="C311" s="14" t="str">
        <f ca="1">IFERROR(__xludf.DUMMYFUNCTION("""COMPUTED_VALUE"""),"КРЕМ ДЛЯ ЛИЦА - VT RETINAL PRO CREAM 0.1")</f>
        <v>КРЕМ ДЛЯ ЛИЦА - VT RETINAL PRO CREAM 0.1</v>
      </c>
      <c r="D311" s="15" t="str">
        <f ca="1">IFERROR(__xludf.DUMMYFUNCTION("""COMPUTED_VALUE"""),"8803463019174")</f>
        <v>8803463019174</v>
      </c>
      <c r="E311" s="16" t="str">
        <f ca="1">IFERROR(__xludf.DUMMYFUNCTION("""COMPUTED_VALUE"""),"20мл")</f>
        <v>20мл</v>
      </c>
      <c r="F311" s="16">
        <f ca="1">IFERROR(__xludf.DUMMYFUNCTION("""COMPUTED_VALUE"""),14)</f>
        <v>14</v>
      </c>
      <c r="G311" s="17">
        <f ca="1">IFERROR(__xludf.DUMMYFUNCTION("""COMPUTED_VALUE"""),15.24)</f>
        <v>15.24</v>
      </c>
    </row>
    <row r="312" spans="1:7" ht="28.5" customHeight="1" x14ac:dyDescent="0.15">
      <c r="A312" s="14" t="str">
        <f ca="1">IFERROR(__xludf.DUMMYFUNCTION("""COMPUTED_VALUE"""),"VT COSMETICS")</f>
        <v>VT COSMETICS</v>
      </c>
      <c r="B312" s="14" t="str">
        <f ca="1">IFERROR(__xludf.DUMMYFUNCTION("""COMPUTED_VALUE"""),"Маска")</f>
        <v>Маска</v>
      </c>
      <c r="C312" s="14" t="str">
        <f ca="1">IFERROR(__xludf.DUMMYFUNCTION("""COMPUTED_VALUE"""),"МАСКА ДЛЯ ЛИЦА - VT COSMETICS COLLAGEN REEDLE SHOT 100 2STEP MASK, 1")</f>
        <v>МАСКА ДЛЯ ЛИЦА - VT COSMETICS COLLAGEN REEDLE SHOT 100 2STEP MASK, 1</v>
      </c>
      <c r="D312" s="15" t="str">
        <f ca="1">IFERROR(__xludf.DUMMYFUNCTION("""COMPUTED_VALUE"""),"8803463010027")</f>
        <v>8803463010027</v>
      </c>
      <c r="E312" s="16" t="str">
        <f ca="1">IFERROR(__xludf.DUMMYFUNCTION("""COMPUTED_VALUE"""),"5г + 25г")</f>
        <v>5г + 25г</v>
      </c>
      <c r="F312" s="16">
        <f ca="1">IFERROR(__xludf.DUMMYFUNCTION("""COMPUTED_VALUE"""),4)</f>
        <v>4</v>
      </c>
      <c r="G312" s="17">
        <f ca="1">IFERROR(__xludf.DUMMYFUNCTION("""COMPUTED_VALUE"""),3.36)</f>
        <v>3.36</v>
      </c>
    </row>
    <row r="313" spans="1:7" ht="28.5" customHeight="1" x14ac:dyDescent="0.15">
      <c r="A313" s="14" t="str">
        <f ca="1">IFERROR(__xludf.DUMMYFUNCTION("""COMPUTED_VALUE"""),"VT COSMETICS")</f>
        <v>VT COSMETICS</v>
      </c>
      <c r="B313" s="14" t="str">
        <f ca="1">IFERROR(__xludf.DUMMYFUNCTION("""COMPUTED_VALUE"""),"Маска")</f>
        <v>Маска</v>
      </c>
      <c r="C313" s="14" t="str">
        <f ca="1">IFERROR(__xludf.DUMMYFUNCTION("""COMPUTED_VALUE"""),"МАСКА ДЛЯ ЛИЦА - VT COSMETICS COLLAGEN REEDLE SHOT 300 2STEP MASK, 1")</f>
        <v>МАСКА ДЛЯ ЛИЦА - VT COSMETICS COLLAGEN REEDLE SHOT 300 2STEP MASK, 1</v>
      </c>
      <c r="D313" s="15" t="str">
        <f ca="1">IFERROR(__xludf.DUMMYFUNCTION("""COMPUTED_VALUE"""),"8803463010072")</f>
        <v>8803463010072</v>
      </c>
      <c r="E313" s="16" t="str">
        <f ca="1">IFERROR(__xludf.DUMMYFUNCTION("""COMPUTED_VALUE"""),"5г + 25г")</f>
        <v>5г + 25г</v>
      </c>
      <c r="F313" s="16">
        <f ca="1">IFERROR(__xludf.DUMMYFUNCTION("""COMPUTED_VALUE"""),24)</f>
        <v>24</v>
      </c>
      <c r="G313" s="17">
        <f ca="1">IFERROR(__xludf.DUMMYFUNCTION("""COMPUTED_VALUE"""),2.83)</f>
        <v>2.83</v>
      </c>
    </row>
    <row r="314" spans="1:7" ht="28.5" customHeight="1" x14ac:dyDescent="0.15">
      <c r="A314" s="14" t="str">
        <f ca="1">IFERROR(__xludf.DUMMYFUNCTION("""COMPUTED_VALUE"""),"VT COSMETICS")</f>
        <v>VT COSMETICS</v>
      </c>
      <c r="B314" s="14" t="str">
        <f ca="1">IFERROR(__xludf.DUMMYFUNCTION("""COMPUTED_VALUE"""),"Маска")</f>
        <v>Маска</v>
      </c>
      <c r="C314" s="14" t="str">
        <f ca="1">IFERROR(__xludf.DUMMYFUNCTION("""COMPUTED_VALUE"""),"МАСКА ДЛЯ ЛИЦА - VT COSMETICS HYDROP REEDLE SHOT 300HL 2STEP MASK, 1")</f>
        <v>МАСКА ДЛЯ ЛИЦА - VT COSMETICS HYDROP REEDLE SHOT 300HL 2STEP MASK, 1</v>
      </c>
      <c r="D314" s="15" t="str">
        <f ca="1">IFERROR(__xludf.DUMMYFUNCTION("""COMPUTED_VALUE"""),"8803463007614")</f>
        <v>8803463007614</v>
      </c>
      <c r="E314" s="16" t="str">
        <f ca="1">IFERROR(__xludf.DUMMYFUNCTION("""COMPUTED_VALUE"""),"5г + 27г")</f>
        <v>5г + 27г</v>
      </c>
      <c r="F314" s="16">
        <f ca="1">IFERROR(__xludf.DUMMYFUNCTION("""COMPUTED_VALUE"""),12)</f>
        <v>12</v>
      </c>
      <c r="G314" s="17">
        <f ca="1">IFERROR(__xludf.DUMMYFUNCTION("""COMPUTED_VALUE"""),2.56)</f>
        <v>2.56</v>
      </c>
    </row>
    <row r="315" spans="1:7" ht="28.5" customHeight="1" x14ac:dyDescent="0.15">
      <c r="A315" s="14" t="str">
        <f ca="1">IFERROR(__xludf.DUMMYFUNCTION("""COMPUTED_VALUE"""),"VT COSMETICS")</f>
        <v>VT COSMETICS</v>
      </c>
      <c r="B315" s="14" t="str">
        <f ca="1">IFERROR(__xludf.DUMMYFUNCTION("""COMPUTED_VALUE"""),"Маска")</f>
        <v>Маска</v>
      </c>
      <c r="C315" s="14" t="str">
        <f ca="1">IFERROR(__xludf.DUMMYFUNCTION("""COMPUTED_VALUE"""),"МАСКА ДЛЯ ЛИЦА - VT COSMETICS REEDLE SHOT 100 2STEP MASK, 1")</f>
        <v>МАСКА ДЛЯ ЛИЦА - VT COSMETICS REEDLE SHOT 100 2STEP MASK, 1</v>
      </c>
      <c r="D315" s="15" t="str">
        <f ca="1">IFERROR(__xludf.DUMMYFUNCTION("""COMPUTED_VALUE"""),"8803463008574")</f>
        <v>8803463008574</v>
      </c>
      <c r="E315" s="16" t="str">
        <f ca="1">IFERROR(__xludf.DUMMYFUNCTION("""COMPUTED_VALUE"""),"5г + 25г × 5шт")</f>
        <v>5г + 25г × 5шт</v>
      </c>
      <c r="F315" s="16">
        <f ca="1">IFERROR(__xludf.DUMMYFUNCTION("""COMPUTED_VALUE"""),53)</f>
        <v>53</v>
      </c>
      <c r="G315" s="17">
        <f ca="1">IFERROR(__xludf.DUMMYFUNCTION("""COMPUTED_VALUE"""),9.14)</f>
        <v>9.14</v>
      </c>
    </row>
    <row r="316" spans="1:7" ht="28.5" customHeight="1" x14ac:dyDescent="0.15">
      <c r="A316" s="14" t="str">
        <f ca="1">IFERROR(__xludf.DUMMYFUNCTION("""COMPUTED_VALUE"""),"VT COSMETICS")</f>
        <v>VT COSMETICS</v>
      </c>
      <c r="B316" s="14" t="str">
        <f ca="1">IFERROR(__xludf.DUMMYFUNCTION("""COMPUTED_VALUE"""),"Маска")</f>
        <v>Маска</v>
      </c>
      <c r="C316" s="14" t="str">
        <f ca="1">IFERROR(__xludf.DUMMYFUNCTION("""COMPUTED_VALUE"""),"МАСКА ДЛЯ ЛИЦА - VT COSMETICS REEDLE SHOT FOOT PEELING MASK")</f>
        <v>МАСКА ДЛЯ ЛИЦА - VT COSMETICS REEDLE SHOT FOOT PEELING MASK</v>
      </c>
      <c r="D316" s="15" t="str">
        <f ca="1">IFERROR(__xludf.DUMMYFUNCTION("""COMPUTED_VALUE"""),"8803463012236")</f>
        <v>8803463012236</v>
      </c>
      <c r="E316" s="16" t="str">
        <f ca="1">IFERROR(__xludf.DUMMYFUNCTION("""COMPUTED_VALUE"""),"40мл")</f>
        <v>40мл</v>
      </c>
      <c r="F316" s="16">
        <f ca="1">IFERROR(__xludf.DUMMYFUNCTION("""COMPUTED_VALUE"""),1)</f>
        <v>1</v>
      </c>
      <c r="G316" s="17">
        <f ca="1">IFERROR(__xludf.DUMMYFUNCTION("""COMPUTED_VALUE"""),3.51)</f>
        <v>3.51</v>
      </c>
    </row>
    <row r="317" spans="1:7" ht="28.5" customHeight="1" x14ac:dyDescent="0.15">
      <c r="A317" s="14" t="str">
        <f ca="1">IFERROR(__xludf.DUMMYFUNCTION("""COMPUTED_VALUE"""),"VT COSMETICS")</f>
        <v>VT COSMETICS</v>
      </c>
      <c r="B317" s="14" t="str">
        <f ca="1">IFERROR(__xludf.DUMMYFUNCTION("""COMPUTED_VALUE"""),"Маска")</f>
        <v>Маска</v>
      </c>
      <c r="C317" s="14" t="str">
        <f ca="1">IFERROR(__xludf.DUMMYFUNCTION("""COMPUTED_VALUE"""),"МАСКА ДЛЯ ЛИЦА - VT COSMETICS VITAMIN C ASTAXANTHIN MASK")</f>
        <v>МАСКА ДЛЯ ЛИЦА - VT COSMETICS VITAMIN C ASTAXANTHIN MASK</v>
      </c>
      <c r="D317" s="15" t="str">
        <f ca="1">IFERROR(__xludf.DUMMYFUNCTION("""COMPUTED_VALUE"""),"8803463017927")</f>
        <v>8803463017927</v>
      </c>
      <c r="E317" s="16" t="str">
        <f ca="1">IFERROR(__xludf.DUMMYFUNCTION("""COMPUTED_VALUE"""),"320г (30шт)")</f>
        <v>320г (30шт)</v>
      </c>
      <c r="F317" s="16">
        <f ca="1">IFERROR(__xludf.DUMMYFUNCTION("""COMPUTED_VALUE"""),108)</f>
        <v>108</v>
      </c>
      <c r="G317" s="17">
        <f ca="1">IFERROR(__xludf.DUMMYFUNCTION("""COMPUTED_VALUE"""),11.59)</f>
        <v>11.59</v>
      </c>
    </row>
    <row r="318" spans="1:7" ht="28.5" customHeight="1" x14ac:dyDescent="0.15">
      <c r="A318" s="14" t="str">
        <f ca="1">IFERROR(__xludf.DUMMYFUNCTION("""COMPUTED_VALUE"""),"VT COSMETICS")</f>
        <v>VT COSMETICS</v>
      </c>
      <c r="B318" s="14" t="str">
        <f ca="1">IFERROR(__xludf.DUMMYFUNCTION("""COMPUTED_VALUE"""),"Маска")</f>
        <v>Маска</v>
      </c>
      <c r="C318" s="14" t="str">
        <f ca="1">IFERROR(__xludf.DUMMYFUNCTION("""COMPUTED_VALUE"""),"МАСКА ДЛЯ ЛИЦА - VT REEDLE SHOT NOURISHING HAND MASK")</f>
        <v>МАСКА ДЛЯ ЛИЦА - VT REEDLE SHOT NOURISHING HAND MASK</v>
      </c>
      <c r="D318" s="15" t="str">
        <f ca="1">IFERROR(__xludf.DUMMYFUNCTION("""COMPUTED_VALUE"""),"8803463012229")</f>
        <v>8803463012229</v>
      </c>
      <c r="E318" s="16" t="str">
        <f ca="1">IFERROR(__xludf.DUMMYFUNCTION("""COMPUTED_VALUE"""),"16мл")</f>
        <v>16мл</v>
      </c>
      <c r="F318" s="16">
        <f ca="1">IFERROR(__xludf.DUMMYFUNCTION("""COMPUTED_VALUE"""),2)</f>
        <v>2</v>
      </c>
      <c r="G318" s="17">
        <f ca="1">IFERROR(__xludf.DUMMYFUNCTION("""COMPUTED_VALUE"""),3.05)</f>
        <v>3.05</v>
      </c>
    </row>
    <row r="319" spans="1:7" ht="28.5" customHeight="1" x14ac:dyDescent="0.15">
      <c r="A319" s="14" t="str">
        <f ca="1">IFERROR(__xludf.DUMMYFUNCTION("""COMPUTED_VALUE"""),"VT COSMETICS")</f>
        <v>VT COSMETICS</v>
      </c>
      <c r="B319" s="14" t="str">
        <f ca="1">IFERROR(__xludf.DUMMYFUNCTION("""COMPUTED_VALUE"""),"Масло гидрофильное")</f>
        <v>Масло гидрофильное</v>
      </c>
      <c r="C319" s="14" t="str">
        <f ca="1">IFERROR(__xludf.DUMMYFUNCTION("""COMPUTED_VALUE"""),"ОЧИЩАЮЩЕЕ МАСЛО ДЛЯ ЛИЦА - VT AZ CARE CLEANSING OIL")</f>
        <v>ОЧИЩАЮЩЕЕ МАСЛО ДЛЯ ЛИЦА - VT AZ CARE CLEANSING OIL</v>
      </c>
      <c r="D319" s="15" t="str">
        <f ca="1">IFERROR(__xludf.DUMMYFUNCTION("""COMPUTED_VALUE"""),"8803463011550")</f>
        <v>8803463011550</v>
      </c>
      <c r="E319" s="16" t="str">
        <f ca="1">IFERROR(__xludf.DUMMYFUNCTION("""COMPUTED_VALUE"""),"200мл")</f>
        <v>200мл</v>
      </c>
      <c r="F319" s="16">
        <f ca="1">IFERROR(__xludf.DUMMYFUNCTION("""COMPUTED_VALUE"""),99)</f>
        <v>99</v>
      </c>
      <c r="G319" s="17">
        <f ca="1">IFERROR(__xludf.DUMMYFUNCTION("""COMPUTED_VALUE"""),9.14)</f>
        <v>9.14</v>
      </c>
    </row>
    <row r="320" spans="1:7" ht="28.5" customHeight="1" x14ac:dyDescent="0.15">
      <c r="A320" s="14" t="str">
        <f ca="1">IFERROR(__xludf.DUMMYFUNCTION("""COMPUTED_VALUE"""),"VT COSMETICS")</f>
        <v>VT COSMETICS</v>
      </c>
      <c r="B320" s="14" t="str">
        <f ca="1">IFERROR(__xludf.DUMMYFUNCTION("""COMPUTED_VALUE"""),"Молочко для умывания")</f>
        <v>Молочко для умывания</v>
      </c>
      <c r="C320" s="14" t="str">
        <f ca="1">IFERROR(__xludf.DUMMYFUNCTION("""COMPUTED_VALUE"""),"ОЧИЩАЮЩЕЕ МОЛОЧКО ДЛЯ ЛИЦА - VT COSMETICS REEDLE SHOT SYNERGY CLEANSING MILK")</f>
        <v>ОЧИЩАЮЩЕЕ МОЛОЧКО ДЛЯ ЛИЦА - VT COSMETICS REEDLE SHOT SYNERGY CLEANSING MILK</v>
      </c>
      <c r="D320" s="15" t="str">
        <f ca="1">IFERROR(__xludf.DUMMYFUNCTION("""COMPUTED_VALUE"""),"8803463004781")</f>
        <v>8803463004781</v>
      </c>
      <c r="E320" s="16" t="str">
        <f ca="1">IFERROR(__xludf.DUMMYFUNCTION("""COMPUTED_VALUE"""),"200мл")</f>
        <v>200мл</v>
      </c>
      <c r="F320" s="16">
        <f ca="1">IFERROR(__xludf.DUMMYFUNCTION("""COMPUTED_VALUE"""),7)</f>
        <v>7</v>
      </c>
      <c r="G320" s="17">
        <f ca="1">IFERROR(__xludf.DUMMYFUNCTION("""COMPUTED_VALUE"""),11.38)</f>
        <v>11.38</v>
      </c>
    </row>
    <row r="321" spans="1:7" ht="28.5" customHeight="1" x14ac:dyDescent="0.15">
      <c r="A321" s="14" t="str">
        <f ca="1">IFERROR(__xludf.DUMMYFUNCTION("""COMPUTED_VALUE"""),"VT COSMETICS")</f>
        <v>VT COSMETICS</v>
      </c>
      <c r="B321" s="14" t="str">
        <f ca="1">IFERROR(__xludf.DUMMYFUNCTION("""COMPUTED_VALUE"""),"Патчи")</f>
        <v>Патчи</v>
      </c>
      <c r="C321" s="14" t="str">
        <f ca="1">IFERROR(__xludf.DUMMYFUNCTION("""COMPUTED_VALUE"""),"ПАТЧИ КОСМЕТИЧЕСКИЕ - VT CAFFEINE EYE PATCH")</f>
        <v>ПАТЧИ КОСМЕТИЧЕСКИЕ - VT CAFFEINE EYE PATCH</v>
      </c>
      <c r="D321" s="15" t="str">
        <f ca="1">IFERROR(__xludf.DUMMYFUNCTION("""COMPUTED_VALUE"""),"8803463016883")</f>
        <v>8803463016883</v>
      </c>
      <c r="E321" s="16" t="str">
        <f ca="1">IFERROR(__xludf.DUMMYFUNCTION("""COMPUTED_VALUE"""),"1шт (110мл / 60шт)")</f>
        <v>1шт (110мл / 60шт)</v>
      </c>
      <c r="F321" s="16">
        <f ca="1">IFERROR(__xludf.DUMMYFUNCTION("""COMPUTED_VALUE"""),56)</f>
        <v>56</v>
      </c>
      <c r="G321" s="17">
        <f ca="1">IFERROR(__xludf.DUMMYFUNCTION("""COMPUTED_VALUE"""),11.18)</f>
        <v>11.18</v>
      </c>
    </row>
    <row r="322" spans="1:7" ht="28.5" customHeight="1" x14ac:dyDescent="0.15">
      <c r="A322" s="14" t="str">
        <f ca="1">IFERROR(__xludf.DUMMYFUNCTION("""COMPUTED_VALUE"""),"VT COSMETICS")</f>
        <v>VT COSMETICS</v>
      </c>
      <c r="B322" s="14" t="str">
        <f ca="1">IFERROR(__xludf.DUMMYFUNCTION("""COMPUTED_VALUE"""),"Плампер для губ")</f>
        <v>Плампер для губ</v>
      </c>
      <c r="C322" s="14" t="str">
        <f ca="1">IFERROR(__xludf.DUMMYFUNCTION("""COMPUTED_VALUE"""),"ПЛАМПЕР ДЛЯ ГУБ - VT COSMETICS REEDLE SHOT LIP PLUMPER BEGINNER, 4")</f>
        <v>ПЛАМПЕР ДЛЯ ГУБ - VT COSMETICS REEDLE SHOT LIP PLUMPER BEGINNER, 4</v>
      </c>
      <c r="D322" s="15" t="str">
        <f ca="1">IFERROR(__xludf.DUMMYFUNCTION("""COMPUTED_VALUE"""),"8803463006518")</f>
        <v>8803463006518</v>
      </c>
      <c r="E322" s="16" t="str">
        <f ca="1">IFERROR(__xludf.DUMMYFUNCTION("""COMPUTED_VALUE"""),"3г")</f>
        <v>3г</v>
      </c>
      <c r="F322" s="16">
        <f ca="1">IFERROR(__xludf.DUMMYFUNCTION("""COMPUTED_VALUE"""),4)</f>
        <v>4</v>
      </c>
      <c r="G322" s="17">
        <f ca="1">IFERROR(__xludf.DUMMYFUNCTION("""COMPUTED_VALUE"""),8.13)</f>
        <v>8.1300000000000008</v>
      </c>
    </row>
    <row r="323" spans="1:7" ht="28.5" customHeight="1" x14ac:dyDescent="0.15">
      <c r="A323" s="14" t="str">
        <f ca="1">IFERROR(__xludf.DUMMYFUNCTION("""COMPUTED_VALUE"""),"VT COSMETICS")</f>
        <v>VT COSMETICS</v>
      </c>
      <c r="B323" s="14" t="str">
        <f ca="1">IFERROR(__xludf.DUMMYFUNCTION("""COMPUTED_VALUE"""),"Сыворотка для век")</f>
        <v>Сыворотка для век</v>
      </c>
      <c r="C323" s="14" t="str">
        <f ca="1">IFERROR(__xludf.DUMMYFUNCTION("""COMPUTED_VALUE"""),"СЫВОРОТКА ДЛЯ ГЛАЗ - VT COSMETICS PDRN REEDLE SHOT EYE LIFTER")</f>
        <v>СЫВОРОТКА ДЛЯ ГЛАЗ - VT COSMETICS PDRN REEDLE SHOT EYE LIFTER</v>
      </c>
      <c r="D323" s="15" t="str">
        <f ca="1">IFERROR(__xludf.DUMMYFUNCTION("""COMPUTED_VALUE"""),"8803463012199")</f>
        <v>8803463012199</v>
      </c>
      <c r="E323" s="16" t="str">
        <f ca="1">IFERROR(__xludf.DUMMYFUNCTION("""COMPUTED_VALUE"""),"15мл")</f>
        <v>15мл</v>
      </c>
      <c r="F323" s="16">
        <f ca="1">IFERROR(__xludf.DUMMYFUNCTION("""COMPUTED_VALUE"""),464)</f>
        <v>464</v>
      </c>
      <c r="G323" s="17">
        <f ca="1">IFERROR(__xludf.DUMMYFUNCTION("""COMPUTED_VALUE"""),12.73)</f>
        <v>12.73</v>
      </c>
    </row>
    <row r="324" spans="1:7" ht="28.5" customHeight="1" x14ac:dyDescent="0.15">
      <c r="A324" s="14" t="str">
        <f ca="1">IFERROR(__xludf.DUMMYFUNCTION("""COMPUTED_VALUE"""),"VT COSMETICS")</f>
        <v>VT COSMETICS</v>
      </c>
      <c r="B324" s="14" t="str">
        <f ca="1">IFERROR(__xludf.DUMMYFUNCTION("""COMPUTED_VALUE"""),"Сыворотка")</f>
        <v>Сыворотка</v>
      </c>
      <c r="C324" s="14" t="str">
        <f ca="1">IFERROR(__xludf.DUMMYFUNCTION("""COMPUTED_VALUE"""),"СЫВОРОТКА ДЛЯ ЛИЦА - VT COSMETICS A1 CALMING AMPOULE")</f>
        <v>СЫВОРОТКА ДЛЯ ЛИЦА - VT COSMETICS A1 CALMING AMPOULE</v>
      </c>
      <c r="D324" s="15" t="str">
        <f ca="1">IFERROR(__xludf.DUMMYFUNCTION("""COMPUTED_VALUE"""),"8803463010478")</f>
        <v>8803463010478</v>
      </c>
      <c r="E324" s="16" t="str">
        <f ca="1">IFERROR(__xludf.DUMMYFUNCTION("""COMPUTED_VALUE"""),"30мл")</f>
        <v>30мл</v>
      </c>
      <c r="F324" s="16">
        <f ca="1">IFERROR(__xludf.DUMMYFUNCTION("""COMPUTED_VALUE"""),33)</f>
        <v>33</v>
      </c>
      <c r="G324" s="17">
        <f ca="1">IFERROR(__xludf.DUMMYFUNCTION("""COMPUTED_VALUE"""),9.94)</f>
        <v>9.94</v>
      </c>
    </row>
    <row r="325" spans="1:7" ht="28.5" customHeight="1" x14ac:dyDescent="0.15">
      <c r="A325" s="14" t="str">
        <f ca="1">IFERROR(__xludf.DUMMYFUNCTION("""COMPUTED_VALUE"""),"VT COSMETICS")</f>
        <v>VT COSMETICS</v>
      </c>
      <c r="B325" s="14" t="str">
        <f ca="1">IFERROR(__xludf.DUMMYFUNCTION("""COMPUTED_VALUE"""),"Сыворотка")</f>
        <v>Сыворотка</v>
      </c>
      <c r="C325" s="14" t="str">
        <f ca="1">IFERROR(__xludf.DUMMYFUNCTION("""COMPUTED_VALUE"""),"СЫВОРОТКА ДЛЯ ЛИЦА - VT COSMETICS MATCHA CICA LAYER SERUM")</f>
        <v>СЫВОРОТКА ДЛЯ ЛИЦА - VT COSMETICS MATCHA CICA LAYER SERUM</v>
      </c>
      <c r="D325" s="15" t="str">
        <f ca="1">IFERROR(__xludf.DUMMYFUNCTION("""COMPUTED_VALUE"""),"8803463017910")</f>
        <v>8803463017910</v>
      </c>
      <c r="E325" s="16" t="str">
        <f ca="1">IFERROR(__xludf.DUMMYFUNCTION("""COMPUTED_VALUE"""),"30мл")</f>
        <v>30мл</v>
      </c>
      <c r="F325" s="16">
        <f ca="1">IFERROR(__xludf.DUMMYFUNCTION("""COMPUTED_VALUE"""),17)</f>
        <v>17</v>
      </c>
      <c r="G325" s="17">
        <f ca="1">IFERROR(__xludf.DUMMYFUNCTION("""COMPUTED_VALUE"""),11.18)</f>
        <v>11.18</v>
      </c>
    </row>
    <row r="326" spans="1:7" ht="28.5" customHeight="1" x14ac:dyDescent="0.15">
      <c r="A326" s="14" t="str">
        <f ca="1">IFERROR(__xludf.DUMMYFUNCTION("""COMPUTED_VALUE"""),"VT COSMETICS")</f>
        <v>VT COSMETICS</v>
      </c>
      <c r="B326" s="14" t="str">
        <f ca="1">IFERROR(__xludf.DUMMYFUNCTION("""COMPUTED_VALUE"""),"Сыворотка")</f>
        <v>Сыворотка</v>
      </c>
      <c r="C326" s="14" t="str">
        <f ca="1">IFERROR(__xludf.DUMMYFUNCTION("""COMPUTED_VALUE"""),"СЫВОРОТКА ДЛЯ ЛИЦА - VT COSMETICS NIACINAMIDE GLUTATHIONE YELLOW MICRO BUBBLE SERUM")</f>
        <v>СЫВОРОТКА ДЛЯ ЛИЦА - VT COSMETICS NIACINAMIDE GLUTATHIONE YELLOW MICRO BUBBLE SERUM</v>
      </c>
      <c r="D326" s="15" t="str">
        <f ca="1">IFERROR(__xludf.DUMMYFUNCTION("""COMPUTED_VALUE"""),"8803463013295")</f>
        <v>8803463013295</v>
      </c>
      <c r="E326" s="16" t="str">
        <f ca="1">IFERROR(__xludf.DUMMYFUNCTION("""COMPUTED_VALUE"""),"70мл")</f>
        <v>70мл</v>
      </c>
      <c r="F326" s="16">
        <f ca="1">IFERROR(__xludf.DUMMYFUNCTION("""COMPUTED_VALUE"""),13)</f>
        <v>13</v>
      </c>
      <c r="G326" s="17">
        <f ca="1">IFERROR(__xludf.DUMMYFUNCTION("""COMPUTED_VALUE"""),11.18)</f>
        <v>11.18</v>
      </c>
    </row>
    <row r="327" spans="1:7" ht="28.5" customHeight="1" x14ac:dyDescent="0.15">
      <c r="A327" s="14" t="str">
        <f ca="1">IFERROR(__xludf.DUMMYFUNCTION("""COMPUTED_VALUE"""),"VT COSMETICS")</f>
        <v>VT COSMETICS</v>
      </c>
      <c r="B327" s="14" t="str">
        <f ca="1">IFERROR(__xludf.DUMMYFUNCTION("""COMPUTED_VALUE"""),"Сыворотка")</f>
        <v>Сыворотка</v>
      </c>
      <c r="C327" s="14" t="str">
        <f ca="1">IFERROR(__xludf.DUMMYFUNCTION("""COMPUTED_VALUE"""),"СЫВОРОТКА ДЛЯ ЛИЦА - VT COSMETICS PDRN CICA EXOSOME AMPOULE RADIANCE &amp; MOISTURE")</f>
        <v>СЫВОРОТКА ДЛЯ ЛИЦА - VT COSMETICS PDRN CICA EXOSOME AMPOULE RADIANCE &amp; MOISTURE</v>
      </c>
      <c r="D327" s="15" t="str">
        <f ca="1">IFERROR(__xludf.DUMMYFUNCTION("""COMPUTED_VALUE"""),"8803463010515")</f>
        <v>8803463010515</v>
      </c>
      <c r="E327" s="16" t="str">
        <f ca="1">IFERROR(__xludf.DUMMYFUNCTION("""COMPUTED_VALUE"""),"30мл")</f>
        <v>30мл</v>
      </c>
      <c r="F327" s="16">
        <f ca="1">IFERROR(__xludf.DUMMYFUNCTION("""COMPUTED_VALUE"""),2)</f>
        <v>2</v>
      </c>
      <c r="G327" s="17">
        <f ca="1">IFERROR(__xludf.DUMMYFUNCTION("""COMPUTED_VALUE"""),8.79)</f>
        <v>8.7899999999999991</v>
      </c>
    </row>
    <row r="328" spans="1:7" ht="28.5" customHeight="1" x14ac:dyDescent="0.15">
      <c r="A328" s="14" t="str">
        <f ca="1">IFERROR(__xludf.DUMMYFUNCTION("""COMPUTED_VALUE"""),"VT COSMETICS")</f>
        <v>VT COSMETICS</v>
      </c>
      <c r="B328" s="14" t="str">
        <f ca="1">IFERROR(__xludf.DUMMYFUNCTION("""COMPUTED_VALUE"""),"Сыворотка")</f>
        <v>Сыворотка</v>
      </c>
      <c r="C328" s="14" t="str">
        <f ca="1">IFERROR(__xludf.DUMMYFUNCTION("""COMPUTED_VALUE"""),"СЫВОРОТКА ДЛЯ ЛИЦА - VT COSMETICS PDRN GLOW AMPOULE")</f>
        <v>СЫВОРОТКА ДЛЯ ЛИЦА - VT COSMETICS PDRN GLOW AMPOULE</v>
      </c>
      <c r="D328" s="15" t="str">
        <f ca="1">IFERROR(__xludf.DUMMYFUNCTION("""COMPUTED_VALUE"""),"8803463009687")</f>
        <v>8803463009687</v>
      </c>
      <c r="E328" s="16" t="str">
        <f ca="1">IFERROR(__xludf.DUMMYFUNCTION("""COMPUTED_VALUE"""),"100мл")</f>
        <v>100мл</v>
      </c>
      <c r="F328" s="16">
        <f ca="1">IFERROR(__xludf.DUMMYFUNCTION("""COMPUTED_VALUE"""),324)</f>
        <v>324</v>
      </c>
      <c r="G328" s="17">
        <f ca="1">IFERROR(__xludf.DUMMYFUNCTION("""COMPUTED_VALUE"""),11.85)</f>
        <v>11.85</v>
      </c>
    </row>
    <row r="329" spans="1:7" ht="28.5" customHeight="1" x14ac:dyDescent="0.15">
      <c r="A329" s="14" t="str">
        <f ca="1">IFERROR(__xludf.DUMMYFUNCTION("""COMPUTED_VALUE"""),"VT COSMETICS")</f>
        <v>VT COSMETICS</v>
      </c>
      <c r="B329" s="14" t="str">
        <f ca="1">IFERROR(__xludf.DUMMYFUNCTION("""COMPUTED_VALUE"""),"Сыворотка")</f>
        <v>Сыворотка</v>
      </c>
      <c r="C329" s="14" t="str">
        <f ca="1">IFERROR(__xludf.DUMMYFUNCTION("""COMPUTED_VALUE"""),"СЫВОРОТКА ДЛЯ ЛИЦА - VT COSMETICS PDRN HYALURONIC MINT MICRO BUBBLE SERUM")</f>
        <v>СЫВОРОТКА ДЛЯ ЛИЦА - VT COSMETICS PDRN HYALURONIC MINT MICRO BUBBLE SERUM</v>
      </c>
      <c r="D329" s="15" t="str">
        <f ca="1">IFERROR(__xludf.DUMMYFUNCTION("""COMPUTED_VALUE"""),"8803463013301")</f>
        <v>8803463013301</v>
      </c>
      <c r="E329" s="16" t="str">
        <f ca="1">IFERROR(__xludf.DUMMYFUNCTION("""COMPUTED_VALUE"""),"70мл")</f>
        <v>70мл</v>
      </c>
      <c r="F329" s="16">
        <f ca="1">IFERROR(__xludf.DUMMYFUNCTION("""COMPUTED_VALUE"""),60)</f>
        <v>60</v>
      </c>
      <c r="G329" s="17">
        <f ca="1">IFERROR(__xludf.DUMMYFUNCTION("""COMPUTED_VALUE"""),11.59)</f>
        <v>11.59</v>
      </c>
    </row>
    <row r="330" spans="1:7" ht="28.5" customHeight="1" x14ac:dyDescent="0.15">
      <c r="A330" s="14" t="str">
        <f ca="1">IFERROR(__xludf.DUMMYFUNCTION("""COMPUTED_VALUE"""),"VT COSMETICS")</f>
        <v>VT COSMETICS</v>
      </c>
      <c r="B330" s="14" t="str">
        <f ca="1">IFERROR(__xludf.DUMMYFUNCTION("""COMPUTED_VALUE"""),"Сыворотка")</f>
        <v>Сыворотка</v>
      </c>
      <c r="C330" s="14" t="str">
        <f ca="1">IFERROR(__xludf.DUMMYFUNCTION("""COMPUTED_VALUE"""),"СЫВОРОТКА ДЛЯ ЛИЦА - VT COSMETICS PDRN REEDLE SHOT HAIR AMPOULE 300DL")</f>
        <v>СЫВОРОТКА ДЛЯ ЛИЦА - VT COSMETICS PDRN REEDLE SHOT HAIR AMPOULE 300DL</v>
      </c>
      <c r="D330" s="15" t="str">
        <f ca="1">IFERROR(__xludf.DUMMYFUNCTION("""COMPUTED_VALUE"""),"8803463009779")</f>
        <v>8803463009779</v>
      </c>
      <c r="E330" s="16" t="str">
        <f ca="1">IFERROR(__xludf.DUMMYFUNCTION("""COMPUTED_VALUE"""),"15мл")</f>
        <v>15мл</v>
      </c>
      <c r="F330" s="16">
        <f ca="1">IFERROR(__xludf.DUMMYFUNCTION("""COMPUTED_VALUE"""),50)</f>
        <v>50</v>
      </c>
      <c r="G330" s="17">
        <f ca="1">IFERROR(__xludf.DUMMYFUNCTION("""COMPUTED_VALUE"""),24.43)</f>
        <v>24.43</v>
      </c>
    </row>
    <row r="331" spans="1:7" ht="28.5" customHeight="1" x14ac:dyDescent="0.15">
      <c r="A331" s="14" t="str">
        <f ca="1">IFERROR(__xludf.DUMMYFUNCTION("""COMPUTED_VALUE"""),"VT COSMETICS")</f>
        <v>VT COSMETICS</v>
      </c>
      <c r="B331" s="14" t="str">
        <f ca="1">IFERROR(__xludf.DUMMYFUNCTION("""COMPUTED_VALUE"""),"Сыворотка")</f>
        <v>Сыворотка</v>
      </c>
      <c r="C331" s="14" t="str">
        <f ca="1">IFERROR(__xludf.DUMMYFUNCTION("""COMPUTED_VALUE"""),"СЫВОРОТКА ДЛЯ ЛИЦА - VT COSMETICS PDRN REEDLE SHOT HAIR AMPOULE 700DL")</f>
        <v>СЫВОРОТКА ДЛЯ ЛИЦА - VT COSMETICS PDRN REEDLE SHOT HAIR AMPOULE 700DL</v>
      </c>
      <c r="D331" s="15" t="str">
        <f ca="1">IFERROR(__xludf.DUMMYFUNCTION("""COMPUTED_VALUE"""),"8803463009960")</f>
        <v>8803463009960</v>
      </c>
      <c r="E331" s="16" t="str">
        <f ca="1">IFERROR(__xludf.DUMMYFUNCTION("""COMPUTED_VALUE"""),"15мл")</f>
        <v>15мл</v>
      </c>
      <c r="F331" s="16">
        <f ca="1">IFERROR(__xludf.DUMMYFUNCTION("""COMPUTED_VALUE"""),54)</f>
        <v>54</v>
      </c>
      <c r="G331" s="17">
        <f ca="1">IFERROR(__xludf.DUMMYFUNCTION("""COMPUTED_VALUE"""),27.77)</f>
        <v>27.77</v>
      </c>
    </row>
    <row r="332" spans="1:7" ht="28.5" customHeight="1" x14ac:dyDescent="0.15">
      <c r="A332" s="14" t="str">
        <f ca="1">IFERROR(__xludf.DUMMYFUNCTION("""COMPUTED_VALUE"""),"VT COSMETICS")</f>
        <v>VT COSMETICS</v>
      </c>
      <c r="B332" s="14" t="str">
        <f ca="1">IFERROR(__xludf.DUMMYFUNCTION("""COMPUTED_VALUE"""),"Сыворотка")</f>
        <v>Сыворотка</v>
      </c>
      <c r="C332" s="14" t="str">
        <f ca="1">IFERROR(__xludf.DUMMYFUNCTION("""COMPUTED_VALUE"""),"СЫВОРОТКА ДЛЯ ЛИЦА - VT COSMETICS RETINOL COLLAGEN PINK MICRO BUBBLE SERUM")</f>
        <v>СЫВОРОТКА ДЛЯ ЛИЦА - VT COSMETICS RETINOL COLLAGEN PINK MICRO BUBBLE SERUM</v>
      </c>
      <c r="D332" s="15" t="str">
        <f ca="1">IFERROR(__xludf.DUMMYFUNCTION("""COMPUTED_VALUE"""),"8803463013288")</f>
        <v>8803463013288</v>
      </c>
      <c r="E332" s="16" t="str">
        <f ca="1">IFERROR(__xludf.DUMMYFUNCTION("""COMPUTED_VALUE"""),"70мл")</f>
        <v>70мл</v>
      </c>
      <c r="F332" s="16">
        <f ca="1">IFERROR(__xludf.DUMMYFUNCTION("""COMPUTED_VALUE"""),135)</f>
        <v>135</v>
      </c>
      <c r="G332" s="17">
        <f ca="1">IFERROR(__xludf.DUMMYFUNCTION("""COMPUTED_VALUE"""),11.98)</f>
        <v>11.98</v>
      </c>
    </row>
    <row r="333" spans="1:7" ht="28.5" customHeight="1" x14ac:dyDescent="0.15">
      <c r="A333" s="14" t="str">
        <f ca="1">IFERROR(__xludf.DUMMYFUNCTION("""COMPUTED_VALUE"""),"VT COSMETICS")</f>
        <v>VT COSMETICS</v>
      </c>
      <c r="B333" s="14" t="str">
        <f ca="1">IFERROR(__xludf.DUMMYFUNCTION("""COMPUTED_VALUE"""),"Тонер")</f>
        <v>Тонер</v>
      </c>
      <c r="C333" s="14" t="str">
        <f ca="1">IFERROR(__xludf.DUMMYFUNCTION("""COMPUTED_VALUE"""),"ТОНЕР ДЛЯ ЛИЦА - VT COSMETICS PHYTO PDRN PANAX TONER")</f>
        <v>ТОНЕР ДЛЯ ЛИЦА - VT COSMETICS PHYTO PDRN PANAX TONER</v>
      </c>
      <c r="D333" s="15" t="str">
        <f ca="1">IFERROR(__xludf.DUMMYFUNCTION("""COMPUTED_VALUE"""),"8803463012403")</f>
        <v>8803463012403</v>
      </c>
      <c r="E333" s="16" t="str">
        <f ca="1">IFERROR(__xludf.DUMMYFUNCTION("""COMPUTED_VALUE"""),"250мл")</f>
        <v>250мл</v>
      </c>
      <c r="F333" s="16">
        <f ca="1">IFERROR(__xludf.DUMMYFUNCTION("""COMPUTED_VALUE"""),102)</f>
        <v>102</v>
      </c>
      <c r="G333" s="17">
        <f ca="1">IFERROR(__xludf.DUMMYFUNCTION("""COMPUTED_VALUE"""),9.31)</f>
        <v>9.31</v>
      </c>
    </row>
    <row r="334" spans="1:7" ht="28.5" customHeight="1" x14ac:dyDescent="0.15">
      <c r="A334" s="14" t="str">
        <f ca="1">IFERROR(__xludf.DUMMYFUNCTION("""COMPUTED_VALUE"""),"VT COSMETICS")</f>
        <v>VT COSMETICS</v>
      </c>
      <c r="B334" s="14" t="str">
        <f ca="1">IFERROR(__xludf.DUMMYFUNCTION("""COMPUTED_VALUE"""),"Эссенция")</f>
        <v>Эссенция</v>
      </c>
      <c r="C334" s="14" t="str">
        <f ca="1">IFERROR(__xludf.DUMMYFUNCTION("""COMPUTED_VALUE"""),"ЭССЕНЦИЯ ДЛЯ ЛИЦА - VT COSMETICS CICA RETI-A ESSENCE 0.3")</f>
        <v>ЭССЕНЦИЯ ДЛЯ ЛИЦА - VT COSMETICS CICA RETI-A ESSENCE 0.3</v>
      </c>
      <c r="D334" s="15" t="str">
        <f ca="1">IFERROR(__xludf.DUMMYFUNCTION("""COMPUTED_VALUE"""),"8809695679278")</f>
        <v>8809695679278</v>
      </c>
      <c r="E334" s="16" t="str">
        <f ca="1">IFERROR(__xludf.DUMMYFUNCTION("""COMPUTED_VALUE"""),"30мл")</f>
        <v>30мл</v>
      </c>
      <c r="F334" s="16">
        <f ca="1">IFERROR(__xludf.DUMMYFUNCTION("""COMPUTED_VALUE"""),46)</f>
        <v>46</v>
      </c>
      <c r="G334" s="17">
        <f ca="1">IFERROR(__xludf.DUMMYFUNCTION("""COMPUTED_VALUE"""),12.8)</f>
        <v>12.8</v>
      </c>
    </row>
    <row r="335" spans="1:7" ht="28.5" customHeight="1" x14ac:dyDescent="0.15">
      <c r="A335" s="14" t="str">
        <f ca="1">IFERROR(__xludf.DUMMYFUNCTION("""COMPUTED_VALUE"""),"VT COSMETICS")</f>
        <v>VT COSMETICS</v>
      </c>
      <c r="B335" s="14" t="str">
        <f ca="1">IFERROR(__xludf.DUMMYFUNCTION("""COMPUTED_VALUE"""),"Эссенция")</f>
        <v>Эссенция</v>
      </c>
      <c r="C335" s="14" t="str">
        <f ca="1">IFERROR(__xludf.DUMMYFUNCTION("""COMPUTED_VALUE"""),"ЭССЕНЦИЯ ДЛЯ ЛИЦА - VT COSMETICS CICA RETI-A ESSENCE 0.5")</f>
        <v>ЭССЕНЦИЯ ДЛЯ ЛИЦА - VT COSMETICS CICA RETI-A ESSENCE 0.5</v>
      </c>
      <c r="D335" s="15" t="str">
        <f ca="1">IFERROR(__xludf.DUMMYFUNCTION("""COMPUTED_VALUE"""),"8809695679285")</f>
        <v>8809695679285</v>
      </c>
      <c r="E335" s="16" t="str">
        <f ca="1">IFERROR(__xludf.DUMMYFUNCTION("""COMPUTED_VALUE"""),"30мл")</f>
        <v>30мл</v>
      </c>
      <c r="F335" s="16">
        <f ca="1">IFERROR(__xludf.DUMMYFUNCTION("""COMPUTED_VALUE"""),100)</f>
        <v>100</v>
      </c>
      <c r="G335" s="17">
        <f ca="1">IFERROR(__xludf.DUMMYFUNCTION("""COMPUTED_VALUE"""),15.24)</f>
        <v>15.24</v>
      </c>
    </row>
    <row r="336" spans="1:7" ht="28.5" customHeight="1" x14ac:dyDescent="0.15">
      <c r="A336" s="14" t="str">
        <f ca="1">IFERROR(__xludf.DUMMYFUNCTION("""COMPUTED_VALUE"""),"VT COSMETICS")</f>
        <v>VT COSMETICS</v>
      </c>
      <c r="B336" s="14" t="str">
        <f ca="1">IFERROR(__xludf.DUMMYFUNCTION("""COMPUTED_VALUE"""),"Эссенция")</f>
        <v>Эссенция</v>
      </c>
      <c r="C336" s="14" t="str">
        <f ca="1">IFERROR(__xludf.DUMMYFUNCTION("""COMPUTED_VALUE"""),"ЭССЕНЦИЯ ДЛЯ ЛИЦА - VT COSMETICS CICA RETI-A ESSENCE 0.7")</f>
        <v>ЭССЕНЦИЯ ДЛЯ ЛИЦА - VT COSMETICS CICA RETI-A ESSENCE 0.7</v>
      </c>
      <c r="D336" s="15" t="str">
        <f ca="1">IFERROR(__xludf.DUMMYFUNCTION("""COMPUTED_VALUE"""),"8809695679292")</f>
        <v>8809695679292</v>
      </c>
      <c r="E336" s="16" t="str">
        <f ca="1">IFERROR(__xludf.DUMMYFUNCTION("""COMPUTED_VALUE"""),"30мл")</f>
        <v>30мл</v>
      </c>
      <c r="F336" s="16">
        <f ca="1">IFERROR(__xludf.DUMMYFUNCTION("""COMPUTED_VALUE"""),76)</f>
        <v>76</v>
      </c>
      <c r="G336" s="17">
        <f ca="1">IFERROR(__xludf.DUMMYFUNCTION("""COMPUTED_VALUE"""),19.76)</f>
        <v>19.760000000000002</v>
      </c>
    </row>
    <row r="337" spans="1:7" ht="28.5" customHeight="1" x14ac:dyDescent="0.15">
      <c r="A337" s="14" t="str">
        <f ca="1">IFERROR(__xludf.DUMMYFUNCTION("""COMPUTED_VALUE"""),"VT COSMETICS")</f>
        <v>VT COSMETICS</v>
      </c>
      <c r="B337" s="14" t="str">
        <f ca="1">IFERROR(__xludf.DUMMYFUNCTION("""COMPUTED_VALUE"""),"Эссенция")</f>
        <v>Эссенция</v>
      </c>
      <c r="C337" s="14" t="str">
        <f ca="1">IFERROR(__xludf.DUMMYFUNCTION("""COMPUTED_VALUE"""),"ЭССЕНЦИЯ ДЛЯ ЛИЦА - VT COSMETICS PDRN ESSENCE 100")</f>
        <v>ЭССЕНЦИЯ ДЛЯ ЛИЦА - VT COSMETICS PDRN ESSENCE 100</v>
      </c>
      <c r="D337" s="15" t="str">
        <f ca="1">IFERROR(__xludf.DUMMYFUNCTION("""COMPUTED_VALUE"""),"8803463004286")</f>
        <v>8803463004286</v>
      </c>
      <c r="E337" s="16" t="str">
        <f ca="1">IFERROR(__xludf.DUMMYFUNCTION("""COMPUTED_VALUE"""),"30мл")</f>
        <v>30мл</v>
      </c>
      <c r="F337" s="16">
        <f ca="1">IFERROR(__xludf.DUMMYFUNCTION("""COMPUTED_VALUE"""),169)</f>
        <v>169</v>
      </c>
      <c r="G337" s="17">
        <f ca="1">IFERROR(__xludf.DUMMYFUNCTION("""COMPUTED_VALUE"""),17.84)</f>
        <v>17.84</v>
      </c>
    </row>
    <row r="338" spans="1:7" ht="28.5" customHeight="1" x14ac:dyDescent="0.15">
      <c r="A338" s="14" t="str">
        <f ca="1">IFERROR(__xludf.DUMMYFUNCTION("""COMPUTED_VALUE"""),"VT COSMETICS")</f>
        <v>VT COSMETICS</v>
      </c>
      <c r="B338" s="14" t="str">
        <f ca="1">IFERROR(__xludf.DUMMYFUNCTION("""COMPUTED_VALUE"""),"Эссенция")</f>
        <v>Эссенция</v>
      </c>
      <c r="C338" s="14" t="str">
        <f ca="1">IFERROR(__xludf.DUMMYFUNCTION("""COMPUTED_VALUE"""),"ЭССЕНЦИЯ ДЛЯ ЛИЦА - VT COSMETICS PDRN ESSENCE STICK BALM, 9")</f>
        <v>ЭССЕНЦИЯ ДЛЯ ЛИЦА - VT COSMETICS PDRN ESSENCE STICK BALM, 9</v>
      </c>
      <c r="D338" s="15" t="str">
        <f ca="1">IFERROR(__xludf.DUMMYFUNCTION("""COMPUTED_VALUE"""),"8803463007393")</f>
        <v>8803463007393</v>
      </c>
      <c r="E338" s="16" t="str">
        <f ca="1">IFERROR(__xludf.DUMMYFUNCTION("""COMPUTED_VALUE"""),"5г")</f>
        <v>5г</v>
      </c>
      <c r="F338" s="16">
        <f ca="1">IFERROR(__xludf.DUMMYFUNCTION("""COMPUTED_VALUE"""),931)</f>
        <v>931</v>
      </c>
      <c r="G338" s="17">
        <f ca="1">IFERROR(__xludf.DUMMYFUNCTION("""COMPUTED_VALUE"""),10.62)</f>
        <v>10.62</v>
      </c>
    </row>
    <row r="339" spans="1:7" ht="28.5" customHeight="1" x14ac:dyDescent="0.15">
      <c r="A339" s="2"/>
      <c r="B339" s="2"/>
      <c r="C339" s="2"/>
      <c r="D339" s="3"/>
      <c r="E339" s="4"/>
      <c r="F339" s="4"/>
      <c r="G339" s="5"/>
    </row>
    <row r="340" spans="1:7" ht="28.5" customHeight="1" x14ac:dyDescent="0.15">
      <c r="A340" s="2"/>
      <c r="B340" s="2"/>
      <c r="C340" s="2"/>
      <c r="D340" s="3"/>
      <c r="E340" s="4"/>
      <c r="F340" s="4"/>
      <c r="G340" s="5"/>
    </row>
    <row r="341" spans="1:7" ht="28.5" customHeight="1" x14ac:dyDescent="0.15">
      <c r="A341" s="2"/>
      <c r="B341" s="2"/>
      <c r="C341" s="2"/>
      <c r="D341" s="3"/>
      <c r="E341" s="4"/>
      <c r="F341" s="4"/>
      <c r="G341" s="5"/>
    </row>
    <row r="342" spans="1:7" ht="28.5" customHeight="1" x14ac:dyDescent="0.15">
      <c r="A342" s="2"/>
      <c r="B342" s="2"/>
      <c r="C342" s="2"/>
      <c r="D342" s="3"/>
      <c r="E342" s="4"/>
      <c r="F342" s="4"/>
      <c r="G342" s="5"/>
    </row>
    <row r="343" spans="1:7" ht="28.5" customHeight="1" x14ac:dyDescent="0.15">
      <c r="A343" s="2"/>
      <c r="B343" s="2"/>
      <c r="C343" s="2"/>
      <c r="D343" s="3"/>
      <c r="E343" s="4"/>
      <c r="F343" s="4"/>
      <c r="G343" s="5"/>
    </row>
    <row r="344" spans="1:7" ht="28.5" customHeight="1" x14ac:dyDescent="0.15">
      <c r="A344" s="2"/>
      <c r="B344" s="2"/>
      <c r="C344" s="2"/>
      <c r="D344" s="3"/>
      <c r="E344" s="4"/>
      <c r="F344" s="4"/>
      <c r="G344" s="5"/>
    </row>
    <row r="345" spans="1:7" ht="28.5" customHeight="1" x14ac:dyDescent="0.15">
      <c r="A345" s="2"/>
      <c r="B345" s="2"/>
      <c r="C345" s="2"/>
      <c r="D345" s="3"/>
      <c r="E345" s="4"/>
      <c r="F345" s="4"/>
      <c r="G345" s="5"/>
    </row>
    <row r="346" spans="1:7" ht="28.5" customHeight="1" x14ac:dyDescent="0.15">
      <c r="A346" s="2"/>
      <c r="B346" s="2"/>
      <c r="C346" s="2"/>
      <c r="D346" s="3"/>
      <c r="E346" s="4"/>
      <c r="F346" s="4"/>
      <c r="G346" s="5"/>
    </row>
    <row r="347" spans="1:7" ht="28.5" customHeight="1" x14ac:dyDescent="0.15">
      <c r="A347" s="2"/>
      <c r="B347" s="2"/>
      <c r="C347" s="2"/>
      <c r="D347" s="3"/>
      <c r="E347" s="4"/>
      <c r="F347" s="4"/>
      <c r="G347" s="5"/>
    </row>
    <row r="348" spans="1:7" ht="28.5" customHeight="1" x14ac:dyDescent="0.15">
      <c r="A348" s="2"/>
      <c r="B348" s="2"/>
      <c r="C348" s="2"/>
      <c r="D348" s="3"/>
      <c r="E348" s="4"/>
      <c r="F348" s="4"/>
      <c r="G348" s="5"/>
    </row>
    <row r="349" spans="1:7" ht="28.5" customHeight="1" x14ac:dyDescent="0.15">
      <c r="A349" s="2"/>
      <c r="B349" s="2"/>
      <c r="C349" s="2"/>
      <c r="D349" s="3"/>
      <c r="E349" s="4"/>
      <c r="F349" s="4"/>
      <c r="G349" s="5"/>
    </row>
    <row r="350" spans="1:7" ht="28.5" customHeight="1" x14ac:dyDescent="0.15">
      <c r="A350" s="2"/>
      <c r="B350" s="2"/>
      <c r="C350" s="2"/>
      <c r="D350" s="3"/>
      <c r="E350" s="4"/>
      <c r="F350" s="4"/>
      <c r="G350" s="5"/>
    </row>
    <row r="351" spans="1:7" ht="28.5" customHeight="1" x14ac:dyDescent="0.15">
      <c r="A351" s="6"/>
      <c r="B351" s="6"/>
      <c r="C351" s="6"/>
      <c r="D351" s="7"/>
      <c r="E351" s="8"/>
      <c r="F351" s="8"/>
      <c r="G351" s="9"/>
    </row>
    <row r="352" spans="1:7" ht="28.5" customHeight="1" x14ac:dyDescent="0.15">
      <c r="A352" s="6"/>
      <c r="B352" s="6"/>
      <c r="C352" s="6"/>
      <c r="D352" s="7"/>
      <c r="E352" s="8"/>
      <c r="F352" s="8"/>
      <c r="G352" s="9"/>
    </row>
    <row r="353" spans="1:7" ht="28.5" customHeight="1" x14ac:dyDescent="0.15">
      <c r="A353" s="6"/>
      <c r="B353" s="6"/>
      <c r="C353" s="6"/>
      <c r="D353" s="7"/>
      <c r="E353" s="8"/>
      <c r="F353" s="8"/>
      <c r="G353" s="9"/>
    </row>
    <row r="354" spans="1:7" ht="28.5" customHeight="1" x14ac:dyDescent="0.15">
      <c r="A354" s="6"/>
      <c r="B354" s="6"/>
      <c r="C354" s="6"/>
      <c r="D354" s="7"/>
      <c r="E354" s="8"/>
      <c r="F354" s="8"/>
      <c r="G354" s="9"/>
    </row>
    <row r="355" spans="1:7" ht="28.5" customHeight="1" x14ac:dyDescent="0.15">
      <c r="A355" s="6"/>
      <c r="B355" s="6"/>
      <c r="C355" s="6"/>
      <c r="D355" s="7"/>
      <c r="E355" s="8"/>
      <c r="F355" s="8"/>
      <c r="G355" s="9"/>
    </row>
    <row r="356" spans="1:7" ht="28.5" customHeight="1" x14ac:dyDescent="0.15">
      <c r="A356" s="6"/>
      <c r="B356" s="6"/>
      <c r="C356" s="6"/>
      <c r="D356" s="7"/>
      <c r="E356" s="8"/>
      <c r="F356" s="8"/>
      <c r="G356" s="9"/>
    </row>
    <row r="357" spans="1:7" ht="28.5" customHeight="1" x14ac:dyDescent="0.15">
      <c r="A357" s="6"/>
      <c r="B357" s="6"/>
      <c r="C357" s="6"/>
      <c r="D357" s="7"/>
      <c r="E357" s="8"/>
      <c r="F357" s="8"/>
      <c r="G357" s="9"/>
    </row>
    <row r="358" spans="1:7" ht="28.5" customHeight="1" x14ac:dyDescent="0.15">
      <c r="A358" s="6"/>
      <c r="B358" s="6"/>
      <c r="C358" s="6"/>
      <c r="D358" s="7"/>
      <c r="E358" s="8"/>
      <c r="F358" s="8"/>
      <c r="G358" s="9"/>
    </row>
    <row r="359" spans="1:7" ht="28.5" customHeight="1" x14ac:dyDescent="0.15">
      <c r="A359" s="6"/>
      <c r="B359" s="6"/>
      <c r="C359" s="6"/>
      <c r="D359" s="7"/>
      <c r="E359" s="8"/>
      <c r="F359" s="8"/>
      <c r="G359" s="9"/>
    </row>
    <row r="360" spans="1:7" ht="28.5" customHeight="1" x14ac:dyDescent="0.15">
      <c r="A360" s="6"/>
      <c r="B360" s="6"/>
      <c r="C360" s="6"/>
      <c r="D360" s="7"/>
      <c r="E360" s="8"/>
      <c r="F360" s="8"/>
      <c r="G360" s="9"/>
    </row>
    <row r="361" spans="1:7" ht="28.5" customHeight="1" x14ac:dyDescent="0.15">
      <c r="A361" s="6"/>
      <c r="B361" s="6"/>
      <c r="C361" s="6"/>
      <c r="D361" s="7"/>
      <c r="E361" s="8"/>
      <c r="F361" s="8"/>
      <c r="G361" s="9"/>
    </row>
    <row r="362" spans="1:7" ht="28.5" customHeight="1" x14ac:dyDescent="0.15">
      <c r="A362" s="6"/>
      <c r="B362" s="6"/>
      <c r="C362" s="6"/>
      <c r="D362" s="7"/>
      <c r="E362" s="8"/>
      <c r="F362" s="8"/>
      <c r="G362" s="9"/>
    </row>
    <row r="363" spans="1:7" ht="28.5" customHeight="1" x14ac:dyDescent="0.15">
      <c r="A363" s="6"/>
      <c r="B363" s="6"/>
      <c r="C363" s="6"/>
      <c r="D363" s="7"/>
      <c r="E363" s="8"/>
      <c r="F363" s="8"/>
      <c r="G363" s="9"/>
    </row>
    <row r="364" spans="1:7" ht="28.5" customHeight="1" x14ac:dyDescent="0.15">
      <c r="A364" s="6"/>
      <c r="B364" s="6"/>
      <c r="C364" s="6"/>
      <c r="D364" s="7"/>
      <c r="E364" s="8"/>
      <c r="F364" s="8"/>
      <c r="G364" s="9"/>
    </row>
    <row r="365" spans="1:7" ht="28.5" customHeight="1" x14ac:dyDescent="0.15">
      <c r="A365" s="6"/>
      <c r="B365" s="6"/>
      <c r="C365" s="6"/>
      <c r="D365" s="7"/>
      <c r="E365" s="8"/>
      <c r="F365" s="8"/>
      <c r="G365" s="9"/>
    </row>
    <row r="366" spans="1:7" ht="28.5" customHeight="1" x14ac:dyDescent="0.15">
      <c r="A366" s="6"/>
      <c r="B366" s="6"/>
      <c r="C366" s="6"/>
      <c r="D366" s="7"/>
      <c r="E366" s="8"/>
      <c r="F366" s="8"/>
      <c r="G366" s="9"/>
    </row>
    <row r="367" spans="1:7" ht="28.5" customHeight="1" x14ac:dyDescent="0.15">
      <c r="A367" s="6"/>
      <c r="B367" s="6"/>
      <c r="C367" s="6"/>
      <c r="D367" s="7"/>
      <c r="E367" s="8"/>
      <c r="F367" s="8"/>
      <c r="G367" s="9"/>
    </row>
    <row r="368" spans="1:7" ht="28.5" customHeight="1" x14ac:dyDescent="0.15">
      <c r="A368" s="6"/>
      <c r="B368" s="6"/>
      <c r="C368" s="6"/>
      <c r="D368" s="7"/>
      <c r="E368" s="8"/>
      <c r="F368" s="8"/>
      <c r="G368" s="9"/>
    </row>
    <row r="369" spans="1:7" ht="28.5" customHeight="1" x14ac:dyDescent="0.15">
      <c r="A369" s="6"/>
      <c r="B369" s="6"/>
      <c r="C369" s="6"/>
      <c r="D369" s="7"/>
      <c r="E369" s="8"/>
      <c r="F369" s="8"/>
      <c r="G369" s="9"/>
    </row>
    <row r="370" spans="1:7" ht="28.5" customHeight="1" x14ac:dyDescent="0.15">
      <c r="A370" s="6"/>
      <c r="B370" s="6"/>
      <c r="C370" s="6"/>
      <c r="D370" s="7"/>
      <c r="E370" s="8"/>
      <c r="F370" s="8"/>
      <c r="G370" s="9"/>
    </row>
    <row r="371" spans="1:7" ht="28.5" customHeight="1" x14ac:dyDescent="0.15">
      <c r="A371" s="6"/>
      <c r="B371" s="6"/>
      <c r="C371" s="6"/>
      <c r="D371" s="7"/>
      <c r="E371" s="8"/>
      <c r="F371" s="8"/>
      <c r="G371" s="9"/>
    </row>
    <row r="372" spans="1:7" ht="28.5" customHeight="1" x14ac:dyDescent="0.15">
      <c r="A372" s="6"/>
      <c r="B372" s="6"/>
      <c r="C372" s="6"/>
      <c r="D372" s="7"/>
      <c r="E372" s="8"/>
      <c r="F372" s="8"/>
      <c r="G372" s="9"/>
    </row>
    <row r="373" spans="1:7" ht="28.5" customHeight="1" x14ac:dyDescent="0.15">
      <c r="A373" s="6"/>
      <c r="B373" s="6"/>
      <c r="C373" s="6"/>
      <c r="D373" s="7"/>
      <c r="E373" s="8"/>
      <c r="F373" s="8"/>
      <c r="G373" s="9"/>
    </row>
    <row r="374" spans="1:7" ht="28.5" customHeight="1" x14ac:dyDescent="0.15">
      <c r="A374" s="6"/>
      <c r="B374" s="6"/>
      <c r="C374" s="6"/>
      <c r="D374" s="7"/>
      <c r="E374" s="8"/>
      <c r="F374" s="8"/>
      <c r="G374" s="9"/>
    </row>
    <row r="375" spans="1:7" ht="28.5" customHeight="1" x14ac:dyDescent="0.15">
      <c r="A375" s="6"/>
      <c r="B375" s="6"/>
      <c r="C375" s="6"/>
      <c r="D375" s="7"/>
      <c r="E375" s="8"/>
      <c r="F375" s="8"/>
      <c r="G375" s="9"/>
    </row>
    <row r="376" spans="1:7" ht="28.5" customHeight="1" x14ac:dyDescent="0.15">
      <c r="A376" s="6"/>
      <c r="B376" s="6"/>
      <c r="C376" s="6"/>
      <c r="D376" s="7"/>
      <c r="E376" s="8"/>
      <c r="F376" s="8"/>
      <c r="G376" s="9"/>
    </row>
    <row r="377" spans="1:7" ht="28.5" customHeight="1" x14ac:dyDescent="0.15">
      <c r="A377" s="6"/>
      <c r="B377" s="6"/>
      <c r="C377" s="6"/>
      <c r="D377" s="7"/>
      <c r="E377" s="8"/>
      <c r="F377" s="8"/>
      <c r="G377" s="9"/>
    </row>
    <row r="378" spans="1:7" ht="28.5" customHeight="1" x14ac:dyDescent="0.15">
      <c r="A378" s="6"/>
      <c r="B378" s="6"/>
      <c r="C378" s="6"/>
      <c r="D378" s="7"/>
      <c r="E378" s="8"/>
      <c r="F378" s="8"/>
      <c r="G378" s="9"/>
    </row>
    <row r="379" spans="1:7" ht="28.5" customHeight="1" x14ac:dyDescent="0.15">
      <c r="A379" s="6"/>
      <c r="B379" s="6"/>
      <c r="C379" s="6"/>
      <c r="D379" s="7"/>
      <c r="E379" s="8"/>
      <c r="F379" s="8"/>
      <c r="G379" s="9"/>
    </row>
    <row r="380" spans="1:7" ht="28.5" customHeight="1" x14ac:dyDescent="0.15">
      <c r="A380" s="6"/>
      <c r="B380" s="6"/>
      <c r="C380" s="6"/>
      <c r="D380" s="7"/>
      <c r="E380" s="8"/>
      <c r="F380" s="8"/>
      <c r="G380" s="9"/>
    </row>
    <row r="381" spans="1:7" ht="28.5" customHeight="1" x14ac:dyDescent="0.15">
      <c r="A381" s="6"/>
      <c r="B381" s="6"/>
      <c r="C381" s="6"/>
      <c r="D381" s="7"/>
      <c r="E381" s="8"/>
      <c r="F381" s="8"/>
      <c r="G381" s="9"/>
    </row>
    <row r="382" spans="1:7" ht="28.5" customHeight="1" x14ac:dyDescent="0.15">
      <c r="A382" s="6"/>
      <c r="B382" s="6"/>
      <c r="C382" s="6"/>
      <c r="D382" s="7"/>
      <c r="E382" s="8"/>
      <c r="F382" s="8"/>
      <c r="G382" s="9"/>
    </row>
    <row r="383" spans="1:7" ht="28.5" customHeight="1" x14ac:dyDescent="0.15">
      <c r="A383" s="6"/>
      <c r="B383" s="6"/>
      <c r="C383" s="6"/>
      <c r="D383" s="7"/>
      <c r="E383" s="8"/>
      <c r="F383" s="8"/>
      <c r="G383" s="9"/>
    </row>
    <row r="384" spans="1:7" ht="28.5" customHeight="1" x14ac:dyDescent="0.15">
      <c r="A384" s="6"/>
      <c r="B384" s="6"/>
      <c r="C384" s="6"/>
      <c r="D384" s="7"/>
      <c r="E384" s="8"/>
      <c r="F384" s="8"/>
      <c r="G384" s="9"/>
    </row>
    <row r="385" spans="1:7" ht="28.5" customHeight="1" x14ac:dyDescent="0.15">
      <c r="A385" s="6"/>
      <c r="B385" s="6"/>
      <c r="C385" s="6"/>
      <c r="D385" s="7"/>
      <c r="E385" s="8"/>
      <c r="F385" s="8"/>
      <c r="G385" s="9"/>
    </row>
    <row r="386" spans="1:7" ht="28.5" customHeight="1" x14ac:dyDescent="0.15">
      <c r="A386" s="6"/>
      <c r="B386" s="6"/>
      <c r="C386" s="6"/>
      <c r="D386" s="7"/>
      <c r="E386" s="8"/>
      <c r="F386" s="8"/>
      <c r="G386" s="9"/>
    </row>
    <row r="387" spans="1:7" ht="28.5" customHeight="1" x14ac:dyDescent="0.15">
      <c r="A387" s="6"/>
      <c r="B387" s="6"/>
      <c r="C387" s="6"/>
      <c r="D387" s="7"/>
      <c r="E387" s="8"/>
      <c r="F387" s="8"/>
      <c r="G387" s="9"/>
    </row>
    <row r="388" spans="1:7" ht="28.5" customHeight="1" x14ac:dyDescent="0.15">
      <c r="A388" s="6"/>
      <c r="B388" s="6"/>
      <c r="C388" s="6"/>
      <c r="D388" s="7"/>
      <c r="E388" s="8"/>
      <c r="F388" s="8"/>
      <c r="G388" s="9"/>
    </row>
    <row r="389" spans="1:7" ht="28.5" customHeight="1" x14ac:dyDescent="0.15">
      <c r="A389" s="6"/>
      <c r="B389" s="6"/>
      <c r="C389" s="6"/>
      <c r="D389" s="7"/>
      <c r="E389" s="8"/>
      <c r="F389" s="8"/>
      <c r="G389" s="9"/>
    </row>
    <row r="390" spans="1:7" ht="28.5" customHeight="1" x14ac:dyDescent="0.15">
      <c r="A390" s="6"/>
      <c r="B390" s="6"/>
      <c r="C390" s="6"/>
      <c r="D390" s="7"/>
      <c r="E390" s="8"/>
      <c r="F390" s="8"/>
      <c r="G390" s="9"/>
    </row>
    <row r="391" spans="1:7" ht="28.5" customHeight="1" x14ac:dyDescent="0.15">
      <c r="A391" s="6"/>
      <c r="B391" s="6"/>
      <c r="C391" s="6"/>
      <c r="D391" s="7"/>
      <c r="E391" s="8"/>
      <c r="F391" s="8"/>
      <c r="G391" s="9"/>
    </row>
    <row r="392" spans="1:7" ht="28.5" customHeight="1" x14ac:dyDescent="0.15">
      <c r="A392" s="6"/>
      <c r="B392" s="6"/>
      <c r="C392" s="6"/>
      <c r="D392" s="7"/>
      <c r="E392" s="8"/>
      <c r="F392" s="8"/>
      <c r="G392" s="9"/>
    </row>
    <row r="393" spans="1:7" ht="28.5" customHeight="1" x14ac:dyDescent="0.15">
      <c r="A393" s="6"/>
      <c r="B393" s="6"/>
      <c r="C393" s="6"/>
      <c r="D393" s="7"/>
      <c r="E393" s="8"/>
      <c r="F393" s="8"/>
      <c r="G393" s="9"/>
    </row>
    <row r="394" spans="1:7" ht="28.5" customHeight="1" x14ac:dyDescent="0.15">
      <c r="A394" s="6"/>
      <c r="B394" s="6"/>
      <c r="C394" s="6"/>
      <c r="D394" s="7"/>
      <c r="E394" s="8"/>
      <c r="F394" s="8"/>
      <c r="G394" s="9"/>
    </row>
    <row r="395" spans="1:7" ht="28.5" customHeight="1" x14ac:dyDescent="0.15">
      <c r="A395" s="6"/>
      <c r="B395" s="6"/>
      <c r="C395" s="6"/>
      <c r="D395" s="7"/>
      <c r="E395" s="8"/>
      <c r="F395" s="8"/>
      <c r="G395" s="9"/>
    </row>
    <row r="396" spans="1:7" ht="28.5" customHeight="1" x14ac:dyDescent="0.15">
      <c r="A396" s="6"/>
      <c r="B396" s="6"/>
      <c r="C396" s="6"/>
      <c r="D396" s="7"/>
      <c r="E396" s="8"/>
      <c r="F396" s="8"/>
      <c r="G396" s="9"/>
    </row>
    <row r="397" spans="1:7" ht="28.5" customHeight="1" x14ac:dyDescent="0.15">
      <c r="A397" s="6"/>
      <c r="B397" s="6"/>
      <c r="C397" s="6"/>
      <c r="D397" s="7"/>
      <c r="E397" s="8"/>
      <c r="F397" s="8"/>
      <c r="G397" s="9"/>
    </row>
    <row r="398" spans="1:7" ht="28.5" customHeight="1" x14ac:dyDescent="0.15">
      <c r="A398" s="6"/>
      <c r="B398" s="6"/>
      <c r="C398" s="6"/>
      <c r="D398" s="7"/>
      <c r="E398" s="8"/>
      <c r="F398" s="8"/>
      <c r="G398" s="9"/>
    </row>
    <row r="399" spans="1:7" ht="28.5" customHeight="1" x14ac:dyDescent="0.15">
      <c r="A399" s="6"/>
      <c r="B399" s="6"/>
      <c r="C399" s="6"/>
      <c r="D399" s="7"/>
      <c r="E399" s="8"/>
      <c r="F399" s="8"/>
      <c r="G399" s="9"/>
    </row>
    <row r="400" spans="1:7" ht="28.5" customHeight="1" x14ac:dyDescent="0.15">
      <c r="A400" s="6"/>
      <c r="B400" s="6"/>
      <c r="C400" s="6"/>
      <c r="D400" s="7"/>
      <c r="E400" s="8"/>
      <c r="F400" s="8"/>
      <c r="G400" s="9"/>
    </row>
    <row r="401" spans="1:7" ht="28.5" customHeight="1" x14ac:dyDescent="0.15">
      <c r="A401" s="6"/>
      <c r="B401" s="6"/>
      <c r="C401" s="6"/>
      <c r="D401" s="7"/>
      <c r="E401" s="8"/>
      <c r="F401" s="8"/>
      <c r="G401" s="9"/>
    </row>
    <row r="402" spans="1:7" ht="28.5" customHeight="1" x14ac:dyDescent="0.15">
      <c r="A402" s="6"/>
      <c r="B402" s="6"/>
      <c r="C402" s="6"/>
      <c r="D402" s="7"/>
      <c r="E402" s="8"/>
      <c r="F402" s="8"/>
      <c r="G402" s="9"/>
    </row>
    <row r="403" spans="1:7" ht="28.5" customHeight="1" x14ac:dyDescent="0.15">
      <c r="A403" s="6"/>
      <c r="B403" s="6"/>
      <c r="C403" s="6"/>
      <c r="D403" s="7"/>
      <c r="E403" s="8"/>
      <c r="F403" s="8"/>
      <c r="G403" s="9"/>
    </row>
    <row r="404" spans="1:7" ht="28.5" customHeight="1" x14ac:dyDescent="0.15">
      <c r="A404" s="6"/>
      <c r="B404" s="6"/>
      <c r="C404" s="6"/>
      <c r="D404" s="7"/>
      <c r="E404" s="8"/>
      <c r="F404" s="8"/>
      <c r="G404" s="9"/>
    </row>
    <row r="405" spans="1:7" ht="28.5" customHeight="1" x14ac:dyDescent="0.15">
      <c r="A405" s="6"/>
      <c r="B405" s="6"/>
      <c r="C405" s="6"/>
      <c r="D405" s="7"/>
      <c r="E405" s="8"/>
      <c r="F405" s="8"/>
      <c r="G405" s="9"/>
    </row>
    <row r="406" spans="1:7" ht="28.5" customHeight="1" x14ac:dyDescent="0.15">
      <c r="A406" s="6"/>
      <c r="B406" s="6"/>
      <c r="C406" s="6"/>
      <c r="D406" s="7"/>
      <c r="E406" s="8"/>
      <c r="F406" s="8"/>
      <c r="G406" s="9"/>
    </row>
    <row r="407" spans="1:7" ht="28.5" customHeight="1" x14ac:dyDescent="0.15">
      <c r="A407" s="6"/>
      <c r="B407" s="6"/>
      <c r="C407" s="6"/>
      <c r="D407" s="7"/>
      <c r="E407" s="8"/>
      <c r="F407" s="8"/>
      <c r="G407" s="9"/>
    </row>
    <row r="408" spans="1:7" ht="28.5" customHeight="1" x14ac:dyDescent="0.15">
      <c r="A408" s="6"/>
      <c r="B408" s="6"/>
      <c r="C408" s="6"/>
      <c r="D408" s="7"/>
      <c r="E408" s="8"/>
      <c r="F408" s="8"/>
      <c r="G408" s="9"/>
    </row>
    <row r="409" spans="1:7" ht="28.5" customHeight="1" x14ac:dyDescent="0.15">
      <c r="A409" s="6"/>
      <c r="B409" s="6"/>
      <c r="C409" s="6"/>
      <c r="D409" s="7"/>
      <c r="E409" s="8"/>
      <c r="F409" s="8"/>
      <c r="G409" s="9"/>
    </row>
    <row r="410" spans="1:7" ht="28.5" customHeight="1" x14ac:dyDescent="0.15">
      <c r="A410" s="6"/>
      <c r="B410" s="6"/>
      <c r="C410" s="6"/>
      <c r="D410" s="7"/>
      <c r="E410" s="8"/>
      <c r="F410" s="8"/>
      <c r="G410" s="9"/>
    </row>
    <row r="411" spans="1:7" ht="28.5" customHeight="1" x14ac:dyDescent="0.15">
      <c r="A411" s="6"/>
      <c r="B411" s="6"/>
      <c r="C411" s="6"/>
      <c r="D411" s="7"/>
      <c r="E411" s="8"/>
      <c r="F411" s="8"/>
      <c r="G411" s="9"/>
    </row>
    <row r="412" spans="1:7" ht="28.5" customHeight="1" x14ac:dyDescent="0.15">
      <c r="A412" s="6"/>
      <c r="B412" s="6"/>
      <c r="C412" s="6"/>
      <c r="D412" s="7"/>
      <c r="E412" s="8"/>
      <c r="F412" s="8"/>
      <c r="G412" s="9"/>
    </row>
    <row r="413" spans="1:7" ht="28.5" customHeight="1" x14ac:dyDescent="0.15">
      <c r="A413" s="6"/>
      <c r="B413" s="6"/>
      <c r="C413" s="6"/>
      <c r="D413" s="7"/>
      <c r="E413" s="8"/>
      <c r="F413" s="8"/>
      <c r="G413" s="9"/>
    </row>
    <row r="414" spans="1:7" ht="28.5" customHeight="1" x14ac:dyDescent="0.15">
      <c r="A414" s="6"/>
      <c r="B414" s="6"/>
      <c r="C414" s="6"/>
      <c r="D414" s="7"/>
      <c r="E414" s="8"/>
      <c r="F414" s="8"/>
      <c r="G414" s="9"/>
    </row>
    <row r="415" spans="1:7" ht="28.5" customHeight="1" x14ac:dyDescent="0.15">
      <c r="A415" s="6"/>
      <c r="B415" s="6"/>
      <c r="C415" s="6"/>
      <c r="D415" s="7"/>
      <c r="E415" s="8"/>
      <c r="F415" s="8"/>
      <c r="G415" s="9"/>
    </row>
    <row r="416" spans="1:7" ht="28.5" customHeight="1" x14ac:dyDescent="0.15">
      <c r="A416" s="6"/>
      <c r="B416" s="6"/>
      <c r="C416" s="6"/>
      <c r="D416" s="7"/>
      <c r="E416" s="8"/>
      <c r="F416" s="8"/>
      <c r="G416" s="9"/>
    </row>
    <row r="417" spans="1:7" ht="28.5" customHeight="1" x14ac:dyDescent="0.15">
      <c r="A417" s="6"/>
      <c r="B417" s="6"/>
      <c r="C417" s="6"/>
      <c r="D417" s="7"/>
      <c r="E417" s="8"/>
      <c r="F417" s="8"/>
      <c r="G417" s="9"/>
    </row>
    <row r="418" spans="1:7" ht="28.5" customHeight="1" x14ac:dyDescent="0.15">
      <c r="A418" s="6"/>
      <c r="B418" s="6"/>
      <c r="C418" s="6"/>
      <c r="D418" s="7"/>
      <c r="E418" s="8"/>
      <c r="F418" s="8"/>
      <c r="G418" s="9"/>
    </row>
    <row r="419" spans="1:7" ht="28.5" customHeight="1" x14ac:dyDescent="0.15">
      <c r="A419" s="6"/>
      <c r="B419" s="6"/>
      <c r="C419" s="6"/>
      <c r="D419" s="7"/>
      <c r="E419" s="8"/>
      <c r="F419" s="8"/>
      <c r="G419" s="9"/>
    </row>
    <row r="420" spans="1:7" ht="28.5" customHeight="1" x14ac:dyDescent="0.15">
      <c r="A420" s="6"/>
      <c r="B420" s="6"/>
      <c r="C420" s="6"/>
      <c r="D420" s="7"/>
      <c r="E420" s="8"/>
      <c r="F420" s="8"/>
      <c r="G420" s="9"/>
    </row>
    <row r="421" spans="1:7" ht="28.5" customHeight="1" x14ac:dyDescent="0.15">
      <c r="A421" s="6"/>
      <c r="B421" s="6"/>
      <c r="C421" s="6"/>
      <c r="D421" s="7"/>
      <c r="E421" s="8"/>
      <c r="F421" s="8"/>
      <c r="G421" s="9"/>
    </row>
    <row r="422" spans="1:7" ht="28.5" customHeight="1" x14ac:dyDescent="0.15">
      <c r="A422" s="6"/>
      <c r="B422" s="6"/>
      <c r="C422" s="6"/>
      <c r="D422" s="7"/>
      <c r="E422" s="8"/>
      <c r="F422" s="8"/>
      <c r="G422" s="9"/>
    </row>
    <row r="423" spans="1:7" ht="28.5" customHeight="1" x14ac:dyDescent="0.15">
      <c r="A423" s="6"/>
      <c r="B423" s="6"/>
      <c r="C423" s="6"/>
      <c r="D423" s="7"/>
      <c r="E423" s="8"/>
      <c r="F423" s="8"/>
      <c r="G423" s="9"/>
    </row>
    <row r="424" spans="1:7" ht="28.5" customHeight="1" x14ac:dyDescent="0.15">
      <c r="A424" s="6"/>
      <c r="B424" s="6"/>
      <c r="C424" s="6"/>
      <c r="D424" s="7"/>
      <c r="E424" s="8"/>
      <c r="F424" s="8"/>
      <c r="G424" s="9"/>
    </row>
    <row r="425" spans="1:7" ht="28.5" customHeight="1" x14ac:dyDescent="0.15">
      <c r="A425" s="6"/>
      <c r="B425" s="6"/>
      <c r="C425" s="6"/>
      <c r="D425" s="7"/>
      <c r="E425" s="8"/>
      <c r="F425" s="8"/>
      <c r="G425" s="9"/>
    </row>
    <row r="426" spans="1:7" ht="28.5" customHeight="1" x14ac:dyDescent="0.15">
      <c r="A426" s="6"/>
      <c r="B426" s="6"/>
      <c r="C426" s="6"/>
      <c r="D426" s="7"/>
      <c r="E426" s="8"/>
      <c r="F426" s="8"/>
      <c r="G426" s="9"/>
    </row>
    <row r="427" spans="1:7" ht="28.5" customHeight="1" x14ac:dyDescent="0.15">
      <c r="A427" s="6"/>
      <c r="B427" s="6"/>
      <c r="C427" s="6"/>
      <c r="D427" s="7"/>
      <c r="E427" s="8"/>
      <c r="F427" s="8"/>
      <c r="G427" s="9"/>
    </row>
    <row r="428" spans="1:7" ht="28.5" customHeight="1" x14ac:dyDescent="0.15">
      <c r="A428" s="6"/>
      <c r="B428" s="6"/>
      <c r="C428" s="6"/>
      <c r="D428" s="7"/>
      <c r="E428" s="8"/>
      <c r="F428" s="8"/>
      <c r="G428" s="9"/>
    </row>
    <row r="429" spans="1:7" ht="28.5" customHeight="1" x14ac:dyDescent="0.15">
      <c r="A429" s="6"/>
      <c r="B429" s="6"/>
      <c r="C429" s="6"/>
      <c r="D429" s="7"/>
      <c r="E429" s="8"/>
      <c r="F429" s="8"/>
      <c r="G429" s="9"/>
    </row>
    <row r="430" spans="1:7" ht="28.5" customHeight="1" x14ac:dyDescent="0.15">
      <c r="A430" s="6"/>
      <c r="B430" s="6"/>
      <c r="C430" s="6"/>
      <c r="D430" s="7"/>
      <c r="E430" s="8"/>
      <c r="F430" s="8"/>
      <c r="G430" s="9"/>
    </row>
    <row r="431" spans="1:7" ht="28.5" customHeight="1" x14ac:dyDescent="0.15">
      <c r="A431" s="6"/>
      <c r="B431" s="6"/>
      <c r="C431" s="6"/>
      <c r="D431" s="7"/>
      <c r="E431" s="8"/>
      <c r="F431" s="8"/>
      <c r="G431" s="9"/>
    </row>
    <row r="432" spans="1:7" ht="28.5" customHeight="1" x14ac:dyDescent="0.15">
      <c r="A432" s="6"/>
      <c r="B432" s="6"/>
      <c r="C432" s="6"/>
      <c r="D432" s="7"/>
      <c r="E432" s="8"/>
      <c r="F432" s="8"/>
      <c r="G432" s="9"/>
    </row>
    <row r="433" spans="1:7" ht="28.5" customHeight="1" x14ac:dyDescent="0.15">
      <c r="A433" s="6"/>
      <c r="B433" s="6"/>
      <c r="C433" s="6"/>
      <c r="D433" s="7"/>
      <c r="E433" s="8"/>
      <c r="F433" s="8"/>
      <c r="G433" s="9"/>
    </row>
    <row r="434" spans="1:7" ht="28.5" customHeight="1" x14ac:dyDescent="0.15">
      <c r="A434" s="6"/>
      <c r="B434" s="6"/>
      <c r="C434" s="6"/>
      <c r="D434" s="7"/>
      <c r="E434" s="8"/>
      <c r="F434" s="8"/>
      <c r="G434" s="9"/>
    </row>
    <row r="435" spans="1:7" ht="28.5" customHeight="1" x14ac:dyDescent="0.15">
      <c r="A435" s="6"/>
      <c r="B435" s="6"/>
      <c r="C435" s="6"/>
      <c r="D435" s="7"/>
      <c r="E435" s="8"/>
      <c r="F435" s="8"/>
      <c r="G435" s="9"/>
    </row>
    <row r="436" spans="1:7" ht="28.5" customHeight="1" x14ac:dyDescent="0.15">
      <c r="A436" s="6"/>
      <c r="B436" s="6"/>
      <c r="C436" s="6"/>
      <c r="D436" s="7"/>
      <c r="E436" s="8"/>
      <c r="F436" s="8"/>
      <c r="G436" s="9"/>
    </row>
    <row r="437" spans="1:7" ht="28.5" customHeight="1" x14ac:dyDescent="0.15">
      <c r="A437" s="6"/>
      <c r="B437" s="6"/>
      <c r="C437" s="6"/>
      <c r="D437" s="7"/>
      <c r="E437" s="8"/>
      <c r="F437" s="8"/>
      <c r="G437" s="9"/>
    </row>
    <row r="438" spans="1:7" ht="28.5" customHeight="1" x14ac:dyDescent="0.15">
      <c r="A438" s="6"/>
      <c r="B438" s="6"/>
      <c r="C438" s="6"/>
      <c r="D438" s="7"/>
      <c r="E438" s="8"/>
      <c r="F438" s="8"/>
      <c r="G438" s="9"/>
    </row>
    <row r="439" spans="1:7" ht="28.5" customHeight="1" x14ac:dyDescent="0.15">
      <c r="A439" s="6"/>
      <c r="B439" s="6"/>
      <c r="C439" s="6"/>
      <c r="D439" s="7"/>
      <c r="E439" s="8"/>
      <c r="F439" s="8"/>
      <c r="G439" s="9"/>
    </row>
    <row r="440" spans="1:7" ht="28.5" customHeight="1" x14ac:dyDescent="0.15">
      <c r="A440" s="6"/>
      <c r="B440" s="6"/>
      <c r="C440" s="6"/>
      <c r="D440" s="7"/>
      <c r="E440" s="8"/>
      <c r="F440" s="8"/>
      <c r="G440" s="9"/>
    </row>
    <row r="441" spans="1:7" ht="28.5" customHeight="1" x14ac:dyDescent="0.15">
      <c r="A441" s="6"/>
      <c r="B441" s="6"/>
      <c r="C441" s="6"/>
      <c r="D441" s="7"/>
      <c r="E441" s="8"/>
      <c r="F441" s="8"/>
      <c r="G441" s="9"/>
    </row>
    <row r="442" spans="1:7" ht="28.5" customHeight="1" x14ac:dyDescent="0.15">
      <c r="A442" s="6"/>
      <c r="B442" s="6"/>
      <c r="C442" s="6"/>
      <c r="D442" s="7"/>
      <c r="E442" s="8"/>
      <c r="F442" s="8"/>
      <c r="G442" s="9"/>
    </row>
    <row r="443" spans="1:7" ht="28.5" customHeight="1" x14ac:dyDescent="0.15">
      <c r="A443" s="6"/>
      <c r="B443" s="6"/>
      <c r="C443" s="6"/>
      <c r="D443" s="7"/>
      <c r="E443" s="8"/>
      <c r="F443" s="8"/>
      <c r="G443" s="9"/>
    </row>
    <row r="444" spans="1:7" ht="28.5" customHeight="1" x14ac:dyDescent="0.15">
      <c r="A444" s="6"/>
      <c r="B444" s="6"/>
      <c r="C444" s="6"/>
      <c r="D444" s="7"/>
      <c r="E444" s="8"/>
      <c r="F444" s="8"/>
      <c r="G444" s="9"/>
    </row>
    <row r="445" spans="1:7" ht="28.5" customHeight="1" x14ac:dyDescent="0.15">
      <c r="A445" s="6"/>
      <c r="B445" s="6"/>
      <c r="C445" s="6"/>
      <c r="D445" s="7"/>
      <c r="E445" s="8"/>
      <c r="F445" s="8"/>
      <c r="G445" s="9"/>
    </row>
    <row r="446" spans="1:7" ht="28.5" customHeight="1" x14ac:dyDescent="0.15">
      <c r="A446" s="6"/>
      <c r="B446" s="6"/>
      <c r="C446" s="6"/>
      <c r="D446" s="7"/>
      <c r="E446" s="8"/>
      <c r="F446" s="8"/>
      <c r="G446" s="9"/>
    </row>
    <row r="447" spans="1:7" ht="28.5" customHeight="1" x14ac:dyDescent="0.15">
      <c r="A447" s="6"/>
      <c r="B447" s="6"/>
      <c r="C447" s="6"/>
      <c r="D447" s="7"/>
      <c r="E447" s="8"/>
      <c r="F447" s="8"/>
      <c r="G447" s="9"/>
    </row>
    <row r="448" spans="1:7" ht="28.5" customHeight="1" x14ac:dyDescent="0.15">
      <c r="A448" s="6"/>
      <c r="B448" s="6"/>
      <c r="C448" s="6"/>
      <c r="D448" s="7"/>
      <c r="E448" s="8"/>
      <c r="F448" s="8"/>
      <c r="G448" s="9"/>
    </row>
    <row r="449" spans="1:7" ht="28.5" customHeight="1" x14ac:dyDescent="0.15">
      <c r="A449" s="6"/>
      <c r="B449" s="6"/>
      <c r="C449" s="6"/>
      <c r="D449" s="7"/>
      <c r="E449" s="8"/>
      <c r="F449" s="8"/>
      <c r="G449" s="9"/>
    </row>
    <row r="450" spans="1:7" ht="28.5" customHeight="1" x14ac:dyDescent="0.15">
      <c r="A450" s="6"/>
      <c r="B450" s="6"/>
      <c r="C450" s="6"/>
      <c r="D450" s="7"/>
      <c r="E450" s="8"/>
      <c r="F450" s="8"/>
      <c r="G450" s="9"/>
    </row>
    <row r="451" spans="1:7" ht="28.5" customHeight="1" x14ac:dyDescent="0.15">
      <c r="A451" s="6"/>
      <c r="B451" s="6"/>
      <c r="C451" s="6"/>
      <c r="D451" s="7"/>
      <c r="E451" s="8"/>
      <c r="F451" s="8"/>
      <c r="G451" s="9"/>
    </row>
    <row r="452" spans="1:7" ht="28.5" customHeight="1" x14ac:dyDescent="0.15">
      <c r="A452" s="6"/>
      <c r="B452" s="6"/>
      <c r="C452" s="6"/>
      <c r="D452" s="7"/>
      <c r="E452" s="8"/>
      <c r="F452" s="8"/>
      <c r="G452" s="9"/>
    </row>
    <row r="453" spans="1:7" ht="28.5" customHeight="1" x14ac:dyDescent="0.15">
      <c r="A453" s="6"/>
      <c r="B453" s="6"/>
      <c r="C453" s="6"/>
      <c r="D453" s="7"/>
      <c r="E453" s="8"/>
      <c r="F453" s="8"/>
      <c r="G453" s="9"/>
    </row>
    <row r="454" spans="1:7" ht="28.5" customHeight="1" x14ac:dyDescent="0.15">
      <c r="A454" s="6"/>
      <c r="B454" s="6"/>
      <c r="C454" s="6"/>
      <c r="D454" s="7"/>
      <c r="E454" s="8"/>
      <c r="F454" s="8"/>
      <c r="G454" s="9"/>
    </row>
    <row r="455" spans="1:7" ht="28.5" customHeight="1" x14ac:dyDescent="0.15">
      <c r="A455" s="6"/>
      <c r="B455" s="6"/>
      <c r="C455" s="6"/>
      <c r="D455" s="7"/>
      <c r="E455" s="8"/>
      <c r="F455" s="8"/>
      <c r="G455" s="9"/>
    </row>
    <row r="456" spans="1:7" ht="28.5" customHeight="1" x14ac:dyDescent="0.15">
      <c r="A456" s="6"/>
      <c r="B456" s="6"/>
      <c r="C456" s="6"/>
      <c r="D456" s="7"/>
      <c r="E456" s="8"/>
      <c r="F456" s="8"/>
      <c r="G456" s="9"/>
    </row>
    <row r="457" spans="1:7" ht="28.5" customHeight="1" x14ac:dyDescent="0.15">
      <c r="A457" s="6"/>
      <c r="B457" s="6"/>
      <c r="C457" s="6"/>
      <c r="D457" s="7"/>
      <c r="E457" s="8"/>
      <c r="F457" s="8"/>
      <c r="G457" s="9"/>
    </row>
    <row r="458" spans="1:7" ht="28.5" customHeight="1" x14ac:dyDescent="0.15">
      <c r="A458" s="6"/>
      <c r="B458" s="6"/>
      <c r="C458" s="6"/>
      <c r="D458" s="7"/>
      <c r="E458" s="8"/>
      <c r="F458" s="8"/>
      <c r="G458" s="9"/>
    </row>
    <row r="459" spans="1:7" ht="28.5" customHeight="1" x14ac:dyDescent="0.15">
      <c r="A459" s="6"/>
      <c r="B459" s="6"/>
      <c r="C459" s="6"/>
      <c r="D459" s="7"/>
      <c r="E459" s="8"/>
      <c r="F459" s="8"/>
      <c r="G459" s="9"/>
    </row>
    <row r="460" spans="1:7" ht="28.5" customHeight="1" x14ac:dyDescent="0.15">
      <c r="A460" s="6"/>
      <c r="B460" s="6"/>
      <c r="C460" s="6"/>
      <c r="D460" s="7"/>
      <c r="E460" s="8"/>
      <c r="F460" s="8"/>
      <c r="G460" s="9"/>
    </row>
    <row r="461" spans="1:7" ht="28.5" customHeight="1" x14ac:dyDescent="0.15">
      <c r="A461" s="6"/>
      <c r="B461" s="6"/>
      <c r="C461" s="6"/>
      <c r="D461" s="7"/>
      <c r="E461" s="8"/>
      <c r="F461" s="8"/>
      <c r="G461" s="9"/>
    </row>
    <row r="462" spans="1:7" ht="28.5" customHeight="1" x14ac:dyDescent="0.15">
      <c r="A462" s="6"/>
      <c r="B462" s="6"/>
      <c r="C462" s="6"/>
      <c r="D462" s="7"/>
      <c r="E462" s="8"/>
      <c r="F462" s="8"/>
      <c r="G462" s="9"/>
    </row>
    <row r="463" spans="1:7" ht="28.5" customHeight="1" x14ac:dyDescent="0.15">
      <c r="A463" s="6"/>
      <c r="B463" s="6"/>
      <c r="C463" s="6"/>
      <c r="D463" s="7"/>
      <c r="E463" s="8"/>
      <c r="F463" s="8"/>
      <c r="G463" s="9"/>
    </row>
    <row r="464" spans="1:7" ht="28.5" customHeight="1" x14ac:dyDescent="0.15">
      <c r="A464" s="6"/>
      <c r="B464" s="6"/>
      <c r="C464" s="6"/>
      <c r="D464" s="7"/>
      <c r="E464" s="8"/>
      <c r="F464" s="8"/>
      <c r="G464" s="9"/>
    </row>
    <row r="465" spans="1:7" ht="28.5" customHeight="1" x14ac:dyDescent="0.15">
      <c r="A465" s="6"/>
      <c r="B465" s="6"/>
      <c r="C465" s="6"/>
      <c r="D465" s="7"/>
      <c r="E465" s="8"/>
      <c r="F465" s="8"/>
      <c r="G465" s="9"/>
    </row>
    <row r="466" spans="1:7" ht="28.5" customHeight="1" x14ac:dyDescent="0.15">
      <c r="A466" s="6"/>
      <c r="B466" s="6"/>
      <c r="C466" s="6"/>
      <c r="D466" s="7"/>
      <c r="E466" s="8"/>
      <c r="F466" s="8"/>
      <c r="G466" s="9"/>
    </row>
    <row r="467" spans="1:7" ht="28.5" customHeight="1" x14ac:dyDescent="0.15">
      <c r="A467" s="6"/>
      <c r="B467" s="6"/>
      <c r="C467" s="6"/>
      <c r="D467" s="7"/>
      <c r="E467" s="8"/>
      <c r="F467" s="8"/>
      <c r="G467" s="9"/>
    </row>
    <row r="468" spans="1:7" ht="28.5" customHeight="1" x14ac:dyDescent="0.15">
      <c r="A468" s="6"/>
      <c r="B468" s="6"/>
      <c r="C468" s="6"/>
      <c r="D468" s="7"/>
      <c r="E468" s="8"/>
      <c r="F468" s="8"/>
      <c r="G468" s="9"/>
    </row>
    <row r="469" spans="1:7" ht="28.5" customHeight="1" x14ac:dyDescent="0.15">
      <c r="A469" s="6"/>
      <c r="B469" s="6"/>
      <c r="C469" s="6"/>
      <c r="D469" s="7"/>
      <c r="E469" s="8"/>
      <c r="F469" s="8"/>
      <c r="G469" s="9"/>
    </row>
    <row r="470" spans="1:7" ht="28.5" customHeight="1" x14ac:dyDescent="0.15">
      <c r="A470" s="6"/>
      <c r="B470" s="6"/>
      <c r="C470" s="6"/>
      <c r="D470" s="7"/>
      <c r="E470" s="8"/>
      <c r="F470" s="8"/>
      <c r="G470" s="9"/>
    </row>
    <row r="471" spans="1:7" ht="28.5" customHeight="1" x14ac:dyDescent="0.15">
      <c r="A471" s="6"/>
      <c r="B471" s="6"/>
      <c r="C471" s="6"/>
      <c r="D471" s="7"/>
      <c r="E471" s="8"/>
      <c r="F471" s="8"/>
      <c r="G471" s="9"/>
    </row>
    <row r="472" spans="1:7" ht="28.5" customHeight="1" x14ac:dyDescent="0.15">
      <c r="A472" s="6"/>
      <c r="B472" s="6"/>
      <c r="C472" s="6"/>
      <c r="D472" s="7"/>
      <c r="E472" s="8"/>
      <c r="F472" s="8"/>
      <c r="G472" s="9"/>
    </row>
    <row r="473" spans="1:7" ht="28.5" customHeight="1" x14ac:dyDescent="0.15">
      <c r="A473" s="6"/>
      <c r="B473" s="6"/>
      <c r="C473" s="6"/>
      <c r="D473" s="7"/>
      <c r="E473" s="8"/>
      <c r="F473" s="8"/>
      <c r="G473" s="9"/>
    </row>
    <row r="474" spans="1:7" ht="28.5" customHeight="1" x14ac:dyDescent="0.15">
      <c r="A474" s="6"/>
      <c r="B474" s="6"/>
      <c r="C474" s="6"/>
      <c r="D474" s="7"/>
      <c r="E474" s="8"/>
      <c r="F474" s="8"/>
      <c r="G474" s="9"/>
    </row>
    <row r="475" spans="1:7" ht="28.5" customHeight="1" x14ac:dyDescent="0.15">
      <c r="A475" s="6"/>
      <c r="B475" s="6"/>
      <c r="C475" s="6"/>
      <c r="D475" s="7"/>
      <c r="E475" s="8"/>
      <c r="F475" s="8"/>
      <c r="G475" s="9"/>
    </row>
    <row r="476" spans="1:7" ht="28.5" customHeight="1" x14ac:dyDescent="0.15">
      <c r="A476" s="6"/>
      <c r="B476" s="6"/>
      <c r="C476" s="6"/>
      <c r="D476" s="7"/>
      <c r="E476" s="8"/>
      <c r="F476" s="8"/>
      <c r="G476" s="9"/>
    </row>
    <row r="477" spans="1:7" ht="28.5" customHeight="1" x14ac:dyDescent="0.15">
      <c r="A477" s="6"/>
      <c r="B477" s="6"/>
      <c r="C477" s="6"/>
      <c r="D477" s="7"/>
      <c r="E477" s="8"/>
      <c r="F477" s="8"/>
      <c r="G477" s="9"/>
    </row>
    <row r="478" spans="1:7" ht="28.5" customHeight="1" x14ac:dyDescent="0.15">
      <c r="A478" s="6"/>
      <c r="B478" s="6"/>
      <c r="C478" s="6"/>
      <c r="D478" s="7"/>
      <c r="E478" s="8"/>
      <c r="F478" s="8"/>
      <c r="G478" s="9"/>
    </row>
    <row r="479" spans="1:7" ht="28.5" customHeight="1" x14ac:dyDescent="0.15">
      <c r="A479" s="6"/>
      <c r="B479" s="6"/>
      <c r="C479" s="6"/>
      <c r="D479" s="7"/>
      <c r="E479" s="8"/>
      <c r="F479" s="8"/>
      <c r="G479" s="9"/>
    </row>
    <row r="480" spans="1:7" ht="28.5" customHeight="1" x14ac:dyDescent="0.15">
      <c r="A480" s="6"/>
      <c r="B480" s="6"/>
      <c r="C480" s="6"/>
      <c r="D480" s="7"/>
      <c r="E480" s="8"/>
      <c r="F480" s="8"/>
      <c r="G480" s="9"/>
    </row>
    <row r="481" spans="1:7" ht="28.5" customHeight="1" x14ac:dyDescent="0.15">
      <c r="A481" s="6"/>
      <c r="B481" s="6"/>
      <c r="C481" s="6"/>
      <c r="D481" s="7"/>
      <c r="E481" s="8"/>
      <c r="F481" s="8"/>
      <c r="G481" s="9"/>
    </row>
    <row r="482" spans="1:7" ht="28.5" customHeight="1" x14ac:dyDescent="0.15">
      <c r="A482" s="6"/>
      <c r="B482" s="6"/>
      <c r="C482" s="6"/>
      <c r="D482" s="7"/>
      <c r="E482" s="8"/>
      <c r="F482" s="8"/>
      <c r="G482" s="9"/>
    </row>
    <row r="483" spans="1:7" ht="28.5" customHeight="1" x14ac:dyDescent="0.15">
      <c r="A483" s="6"/>
      <c r="B483" s="6"/>
      <c r="C483" s="6"/>
      <c r="D483" s="7"/>
      <c r="E483" s="8"/>
      <c r="F483" s="8"/>
      <c r="G483" s="9"/>
    </row>
    <row r="484" spans="1:7" ht="28.5" customHeight="1" x14ac:dyDescent="0.15">
      <c r="A484" s="6"/>
      <c r="B484" s="6"/>
      <c r="C484" s="6"/>
      <c r="D484" s="7"/>
      <c r="E484" s="8"/>
      <c r="F484" s="8"/>
      <c r="G484" s="9"/>
    </row>
    <row r="485" spans="1:7" ht="28.5" customHeight="1" x14ac:dyDescent="0.15">
      <c r="A485" s="6"/>
      <c r="B485" s="6"/>
      <c r="C485" s="6"/>
      <c r="D485" s="7"/>
      <c r="E485" s="8"/>
      <c r="F485" s="8"/>
      <c r="G485" s="9"/>
    </row>
    <row r="486" spans="1:7" ht="28.5" customHeight="1" x14ac:dyDescent="0.15">
      <c r="A486" s="6"/>
      <c r="B486" s="6"/>
      <c r="C486" s="6"/>
      <c r="D486" s="7"/>
      <c r="E486" s="8"/>
      <c r="F486" s="8"/>
      <c r="G486" s="9"/>
    </row>
    <row r="487" spans="1:7" ht="28.5" customHeight="1" x14ac:dyDescent="0.15">
      <c r="A487" s="6"/>
      <c r="B487" s="6"/>
      <c r="C487" s="6"/>
      <c r="D487" s="7"/>
      <c r="E487" s="8"/>
      <c r="F487" s="8"/>
      <c r="G487" s="9"/>
    </row>
    <row r="488" spans="1:7" ht="28.5" customHeight="1" x14ac:dyDescent="0.15">
      <c r="A488" s="6"/>
      <c r="B488" s="6"/>
      <c r="C488" s="6"/>
      <c r="D488" s="7"/>
      <c r="E488" s="8"/>
      <c r="F488" s="8"/>
      <c r="G488" s="9"/>
    </row>
    <row r="489" spans="1:7" ht="28.5" customHeight="1" x14ac:dyDescent="0.15">
      <c r="A489" s="6"/>
      <c r="B489" s="6"/>
      <c r="C489" s="6"/>
      <c r="D489" s="7"/>
      <c r="E489" s="8"/>
      <c r="F489" s="8"/>
      <c r="G489" s="9"/>
    </row>
    <row r="490" spans="1:7" ht="28.5" customHeight="1" x14ac:dyDescent="0.15">
      <c r="A490" s="6"/>
      <c r="B490" s="6"/>
      <c r="C490" s="6"/>
      <c r="D490" s="7"/>
      <c r="E490" s="8"/>
      <c r="F490" s="8"/>
      <c r="G490" s="9"/>
    </row>
    <row r="491" spans="1:7" ht="28.5" customHeight="1" x14ac:dyDescent="0.15">
      <c r="A491" s="6"/>
      <c r="B491" s="6"/>
      <c r="C491" s="6"/>
      <c r="D491" s="7"/>
      <c r="E491" s="8"/>
      <c r="F491" s="8"/>
      <c r="G491" s="9"/>
    </row>
    <row r="492" spans="1:7" ht="28.5" customHeight="1" x14ac:dyDescent="0.15">
      <c r="A492" s="6"/>
      <c r="B492" s="6"/>
      <c r="C492" s="6"/>
      <c r="D492" s="7"/>
      <c r="E492" s="8"/>
      <c r="F492" s="8"/>
      <c r="G492" s="9"/>
    </row>
    <row r="493" spans="1:7" ht="28.5" customHeight="1" x14ac:dyDescent="0.15">
      <c r="A493" s="6"/>
      <c r="B493" s="6"/>
      <c r="C493" s="6"/>
      <c r="D493" s="7"/>
      <c r="E493" s="8"/>
      <c r="F493" s="8"/>
      <c r="G493" s="9"/>
    </row>
    <row r="494" spans="1:7" ht="28.5" customHeight="1" x14ac:dyDescent="0.15">
      <c r="A494" s="6"/>
      <c r="B494" s="6"/>
      <c r="C494" s="6"/>
      <c r="D494" s="7"/>
      <c r="E494" s="8"/>
      <c r="F494" s="8"/>
      <c r="G494" s="9"/>
    </row>
    <row r="495" spans="1:7" ht="28.5" customHeight="1" x14ac:dyDescent="0.15">
      <c r="A495" s="6"/>
      <c r="B495" s="6"/>
      <c r="C495" s="6"/>
      <c r="D495" s="7"/>
      <c r="E495" s="8"/>
      <c r="F495" s="8"/>
      <c r="G495" s="9"/>
    </row>
    <row r="496" spans="1:7" ht="28.5" customHeight="1" x14ac:dyDescent="0.15">
      <c r="A496" s="6"/>
      <c r="B496" s="6"/>
      <c r="C496" s="6"/>
      <c r="D496" s="7"/>
      <c r="E496" s="8"/>
      <c r="F496" s="8"/>
      <c r="G496" s="9"/>
    </row>
    <row r="497" spans="1:7" ht="28.5" customHeight="1" x14ac:dyDescent="0.15">
      <c r="A497" s="6"/>
      <c r="B497" s="6"/>
      <c r="C497" s="6"/>
      <c r="D497" s="7"/>
      <c r="E497" s="8"/>
      <c r="F497" s="8"/>
      <c r="G497" s="9"/>
    </row>
    <row r="498" spans="1:7" ht="28.5" customHeight="1" x14ac:dyDescent="0.15">
      <c r="A498" s="6"/>
      <c r="B498" s="6"/>
      <c r="C498" s="6"/>
      <c r="D498" s="7"/>
      <c r="E498" s="8"/>
      <c r="F498" s="8"/>
      <c r="G498" s="9"/>
    </row>
    <row r="499" spans="1:7" ht="28.5" customHeight="1" x14ac:dyDescent="0.15">
      <c r="A499" s="6"/>
      <c r="B499" s="6"/>
      <c r="C499" s="6"/>
      <c r="D499" s="7"/>
      <c r="E499" s="8"/>
      <c r="F499" s="8"/>
      <c r="G499" s="9"/>
    </row>
    <row r="500" spans="1:7" ht="28.5" customHeight="1" x14ac:dyDescent="0.15">
      <c r="A500" s="6"/>
      <c r="B500" s="6"/>
      <c r="C500" s="6"/>
      <c r="D500" s="7"/>
      <c r="E500" s="8"/>
      <c r="F500" s="8"/>
      <c r="G500" s="9"/>
    </row>
  </sheetData>
  <autoFilter ref="A4:G350" xr:uid="{00000000-0009-0000-0000-000000000000}"/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SAFIYA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Баранский</cp:lastModifiedBy>
  <dcterms:modified xsi:type="dcterms:W3CDTF">2026-08-12T08:00:00Z</dcterms:modified>
</cp:coreProperties>
</file>
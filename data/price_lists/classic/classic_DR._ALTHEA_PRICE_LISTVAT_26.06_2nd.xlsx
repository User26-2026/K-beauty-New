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DR.ALTHEA(강은)\매출\"/>
    </mc:Choice>
  </mc:AlternateContent>
  <xr:revisionPtr revIDLastSave="0" documentId="8_{EE9AB0E4-9AB1-48DE-8011-142CF41BA0A6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LIST" sheetId="2" r:id="rId1"/>
  </sheets>
  <calcPr calcId="191029"/>
</workbook>
</file>

<file path=xl/calcChain.xml><?xml version="1.0" encoding="utf-8"?>
<calcChain xmlns="http://schemas.openxmlformats.org/spreadsheetml/2006/main">
  <c r="K2" i="2" l="1"/>
  <c r="L36" i="2"/>
  <c r="L37" i="2"/>
  <c r="L38" i="2"/>
  <c r="L39" i="2"/>
  <c r="L40" i="2"/>
  <c r="L41" i="2"/>
  <c r="L42" i="2"/>
  <c r="L43" i="2"/>
  <c r="L44" i="2"/>
  <c r="L46" i="2"/>
  <c r="L47" i="2"/>
  <c r="L48" i="2"/>
  <c r="L49" i="2"/>
  <c r="L50" i="2"/>
  <c r="L51" i="2"/>
  <c r="L52" i="2"/>
  <c r="L53" i="2"/>
  <c r="L55" i="2"/>
  <c r="L56" i="2"/>
  <c r="L57" i="2"/>
  <c r="L58" i="2"/>
  <c r="L59" i="2"/>
  <c r="L60" i="2"/>
  <c r="L62" i="2"/>
  <c r="L63" i="2"/>
  <c r="L64" i="2"/>
  <c r="L65" i="2"/>
  <c r="L66" i="2"/>
  <c r="L67" i="2"/>
  <c r="L69" i="2"/>
  <c r="L70" i="2"/>
  <c r="L35" i="2"/>
  <c r="L32" i="2"/>
  <c r="L33" i="2"/>
  <c r="L31" i="2"/>
  <c r="L25" i="2"/>
  <c r="L26" i="2"/>
  <c r="L27" i="2"/>
  <c r="L28" i="2"/>
  <c r="L29" i="2"/>
  <c r="L24" i="2"/>
  <c r="L19" i="2"/>
  <c r="L20" i="2"/>
  <c r="L21" i="2"/>
  <c r="L22" i="2"/>
  <c r="L18" i="2"/>
  <c r="L14" i="2"/>
  <c r="L15" i="2"/>
  <c r="L16" i="2"/>
  <c r="L13" i="2"/>
  <c r="L6" i="2"/>
  <c r="L7" i="2"/>
  <c r="L8" i="2"/>
  <c r="L9" i="2"/>
  <c r="L10" i="2"/>
  <c r="L11" i="2"/>
  <c r="L5" i="2"/>
  <c r="M16" i="2" l="1"/>
  <c r="M43" i="2"/>
  <c r="M47" i="2"/>
  <c r="M51" i="2"/>
  <c r="M6" i="2"/>
  <c r="M39" i="2"/>
  <c r="M10" i="2"/>
  <c r="M21" i="2"/>
  <c r="M66" i="2"/>
  <c r="M56" i="2"/>
  <c r="M55" i="2"/>
  <c r="M67" i="2"/>
  <c r="M33" i="2"/>
  <c r="M64" i="2"/>
  <c r="M38" i="2"/>
  <c r="M32" i="2"/>
  <c r="M53" i="2"/>
  <c r="M59" i="2"/>
  <c r="M31" i="2"/>
  <c r="M15" i="2"/>
  <c r="M27" i="2"/>
  <c r="M11" i="2"/>
  <c r="M9" i="2"/>
  <c r="M28" i="2"/>
  <c r="M44" i="2"/>
  <c r="M26" i="2"/>
  <c r="M60" i="2"/>
  <c r="M13" i="2"/>
  <c r="M20" i="2"/>
  <c r="M25" i="2"/>
  <c r="M52" i="2"/>
  <c r="M46" i="2"/>
  <c r="M24" i="2"/>
  <c r="M65" i="2"/>
  <c r="M58" i="2"/>
  <c r="M37" i="2"/>
  <c r="M29" i="2"/>
  <c r="M57" i="2"/>
  <c r="M50" i="2"/>
  <c r="M36" i="2"/>
  <c r="M35" i="2"/>
  <c r="M5" i="2"/>
  <c r="M8" i="2"/>
  <c r="M18" i="2"/>
  <c r="M70" i="2"/>
  <c r="M48" i="2"/>
  <c r="M41" i="2"/>
  <c r="L2" i="2"/>
  <c r="M14" i="2"/>
  <c r="M49" i="2"/>
  <c r="M42" i="2"/>
  <c r="M7" i="2"/>
  <c r="M22" i="2"/>
  <c r="M69" i="2"/>
  <c r="M62" i="2"/>
  <c r="M40" i="2"/>
  <c r="M63" i="2"/>
  <c r="M19" i="2" l="1"/>
  <c r="M2" i="2" s="1"/>
</calcChain>
</file>

<file path=xl/sharedStrings.xml><?xml version="1.0" encoding="utf-8"?>
<sst xmlns="http://schemas.openxmlformats.org/spreadsheetml/2006/main" count="256" uniqueCount="124">
  <si>
    <t>No.</t>
  </si>
  <si>
    <t>Product Name</t>
  </si>
  <si>
    <t>Size</t>
  </si>
  <si>
    <t>Retail
(KRW)</t>
  </si>
  <si>
    <t>Carton
Qty</t>
  </si>
  <si>
    <t>Barcode</t>
  </si>
  <si>
    <t>MOQ Range</t>
  </si>
  <si>
    <t>Unit Price
(KRW)</t>
  </si>
  <si>
    <t>345 Relief Cream (Renewal)</t>
  </si>
  <si>
    <t>50ml/1EA</t>
  </si>
  <si>
    <t>1 carton = 40 products</t>
  </si>
  <si>
    <t>50box ~ 200box</t>
  </si>
  <si>
    <t>345 Relief Cream 15ml</t>
  </si>
  <si>
    <t>15ml/ 1EA</t>
  </si>
  <si>
    <t>345 Relief Serum</t>
  </si>
  <si>
    <t>30ml/1EA</t>
  </si>
  <si>
    <t>5~25box</t>
  </si>
  <si>
    <t>345 Relief Serum 15ml</t>
  </si>
  <si>
    <t>345 Relief Cream Mist 60ml</t>
  </si>
  <si>
    <t>60ml/1EA</t>
  </si>
  <si>
    <t>10~30box</t>
  </si>
  <si>
    <t>345 Relief Cream Mist 100ml</t>
  </si>
  <si>
    <t>100ml/1EA</t>
  </si>
  <si>
    <t>345 Relief Cream Mask</t>
  </si>
  <si>
    <t>28g*4EA</t>
  </si>
  <si>
    <t>1 carton = 40 products = 160 individual sheetmasks</t>
  </si>
  <si>
    <t>3~10box</t>
  </si>
  <si>
    <t>-</t>
  </si>
  <si>
    <t xml:space="preserve">  AQUA MARINE</t>
  </si>
  <si>
    <t>Aqua Marine Deep Serum</t>
  </si>
  <si>
    <t>Aqua Marine Watery Cream</t>
  </si>
  <si>
    <t>Aqua Marine Jelly Mist</t>
  </si>
  <si>
    <t>Aqua Blue Hydration Mask</t>
  </si>
  <si>
    <t xml:space="preserve">  MASK</t>
  </si>
  <si>
    <t>Cushion Veil Calming Mask</t>
  </si>
  <si>
    <t>35g*4EA</t>
  </si>
  <si>
    <t>Jelly Seal Dewy Mask</t>
  </si>
  <si>
    <t>Vita Glow Mask</t>
  </si>
  <si>
    <t>Oasis Soothing Mask</t>
  </si>
  <si>
    <t>27g*5EA</t>
  </si>
  <si>
    <t>1 carton = 30 products = 150 individual sheetmasks</t>
  </si>
  <si>
    <t>Marine Anti-Blemish Mask</t>
  </si>
  <si>
    <t>1 carton = 30 products = 150 individual sheets</t>
  </si>
  <si>
    <t xml:space="preserve">  CLEANSER</t>
  </si>
  <si>
    <t>Gentle Pore Cleansing Oil</t>
  </si>
  <si>
    <t>150ml/1EA</t>
  </si>
  <si>
    <t>1 carton = 35 products</t>
  </si>
  <si>
    <t>3~5box</t>
  </si>
  <si>
    <t>Amino Acid Gentle Bubble Cleanser</t>
  </si>
  <si>
    <t>140ml/1EA</t>
  </si>
  <si>
    <t>Green Relief Amino Gel Cleanser</t>
  </si>
  <si>
    <t>100ml / 1EA</t>
  </si>
  <si>
    <t>Premium Quick Step Sebum Cleanser</t>
  </si>
  <si>
    <t>1 carton = 60 products</t>
  </si>
  <si>
    <t>Pure Grinding Cleansing Balm</t>
  </si>
  <si>
    <t>Pore Refresh Grinding Cleansing Balm</t>
  </si>
  <si>
    <t xml:space="preserve">  TONER / TONER PAD</t>
  </si>
  <si>
    <t>2% Salicylic Acid Clear Pad</t>
  </si>
  <si>
    <t>170g / 1EA
(1EA=65pads)</t>
  </si>
  <si>
    <t>1 carton = 30 products</t>
  </si>
  <si>
    <t>StretchFit Calming Pad</t>
  </si>
  <si>
    <t>250g / 1EA
(1EA=50 sheets)</t>
  </si>
  <si>
    <t>1 carton = 20 products</t>
  </si>
  <si>
    <t>0.5% Mild Acid Pore Pad</t>
  </si>
  <si>
    <t xml:space="preserve">  SERUM</t>
  </si>
  <si>
    <t>Skin Relief Essence</t>
  </si>
  <si>
    <t>Natural Radiance Essence</t>
  </si>
  <si>
    <t>Multi-Action Infusion Serum</t>
  </si>
  <si>
    <t>15% Niacinamide Purity Serum</t>
  </si>
  <si>
    <t>25ml/1EA</t>
  </si>
  <si>
    <t>0.1% Gentle Retinol Serum</t>
  </si>
  <si>
    <t>Vitamin C Boosting Serum</t>
  </si>
  <si>
    <t>Gentle Vitamin C Serum</t>
  </si>
  <si>
    <t>Retinol Flat Iron Eye Roller</t>
  </si>
  <si>
    <t>ABC Glow Whipped Serum,</t>
  </si>
  <si>
    <t>100ml/1ea</t>
  </si>
  <si>
    <t>Eyelash Boost Serum</t>
  </si>
  <si>
    <t xml:space="preserve">  MOISTURIZER / CREAM</t>
  </si>
  <si>
    <t>Niathione Cream 30ml</t>
  </si>
  <si>
    <t>Niathione Cream 50ml</t>
  </si>
  <si>
    <t>147 Barrier Cream (Renewal)</t>
  </si>
  <si>
    <t>147 Barrier Cream (Renewal) 15ml</t>
  </si>
  <si>
    <t>PDRN Reju 2000 Cream</t>
  </si>
  <si>
    <t>20g/1EA</t>
  </si>
  <si>
    <t>1 carton = 50 products</t>
  </si>
  <si>
    <t>PDRN Reju 5000 Cream</t>
  </si>
  <si>
    <t>Melaclear Cream</t>
  </si>
  <si>
    <t>Pure Retinol 0.15% Cream</t>
  </si>
  <si>
    <t xml:space="preserve">  SPF</t>
  </si>
  <si>
    <t>Aqua Glowing Sunscreen</t>
  </si>
  <si>
    <t>45ml/1EA</t>
  </si>
  <si>
    <t>1 carton = .40 products</t>
  </si>
  <si>
    <t>Green Tea Fresh Sunscreen</t>
  </si>
  <si>
    <t>Aqua Glowing Sunscreen (EU/UK VER)</t>
  </si>
  <si>
    <t>Green Tea Fresh Sunscreen (EU/UK VER)</t>
  </si>
  <si>
    <t xml:space="preserve">  CUSHION</t>
  </si>
  <si>
    <t>Aurora Cover Cushion (no refill) #13, #21, #23</t>
  </si>
  <si>
    <t>15g*1EA</t>
  </si>
  <si>
    <t>1 carton = 80 products (1 shade)</t>
  </si>
  <si>
    <t>8809447254715
8809447254722
8809447254739</t>
  </si>
  <si>
    <t>Aurora Cover Cushion Refill 13, 21, 23</t>
  </si>
  <si>
    <t>8809447251417
8809447251424
8809447251431</t>
  </si>
  <si>
    <t>Aurora Cover Cushion Moisture (no refill) #13, #21, #23</t>
  </si>
  <si>
    <t>8809447254630
8809447254616
8809447254623</t>
  </si>
  <si>
    <t>Aurora Cover Cushion Moisture Refill 13, 21, 23</t>
  </si>
  <si>
    <t>8809447251103
8809447251110
8809447251127</t>
  </si>
  <si>
    <t>Double Serum Balm Foundation (no refill) #21, #23</t>
  </si>
  <si>
    <t>12g*1EA</t>
  </si>
  <si>
    <t>8809447254586
8809447254593</t>
  </si>
  <si>
    <t>Dr.Althea Double Serum Balm Foundation1.0 Refill #21, #23</t>
  </si>
  <si>
    <t>1 carton = 70 products (1 shade)</t>
  </si>
  <si>
    <t>8809447251547
8809447251554</t>
  </si>
  <si>
    <t xml:space="preserve">  POWDER &amp; LIP</t>
  </si>
  <si>
    <t>15% calamine Spot Powder</t>
  </si>
  <si>
    <t>15ml/1ea</t>
  </si>
  <si>
    <t>1 carton = 120 products</t>
  </si>
  <si>
    <t>Soft Melting Vegan Lip Balm</t>
  </si>
  <si>
    <t>4.1g/1EA</t>
  </si>
  <si>
    <t>1 carton = 500 products</t>
  </si>
  <si>
    <t>Order(BOX)</t>
    <phoneticPr fontId="1" type="noConversion"/>
  </si>
  <si>
    <t>Amount(krw)</t>
    <phoneticPr fontId="1" type="noConversion"/>
  </si>
  <si>
    <t>Order(EA)</t>
    <phoneticPr fontId="1" type="noConversion"/>
  </si>
  <si>
    <t xml:space="preserve">  345 RELIEF</t>
    <phoneticPr fontId="1" type="noConversion"/>
  </si>
  <si>
    <r>
      <t xml:space="preserve">Dr.Althea
</t>
    </r>
    <r>
      <rPr>
        <b/>
        <sz val="14"/>
        <color theme="0"/>
        <rFont val="맑은 고딕"/>
        <family val="3"/>
        <charset val="129"/>
        <scheme val="major"/>
      </rPr>
      <t>product list(order sheet)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</si>
</sst>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0_ "/>
  </numFmts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12"/>
      <color indexed="8"/>
      <name val="Verdana"/>
      <family val="2"/>
    </font>
    <font>
      <b/>
      <sz val="48"/>
      <color theme="0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8"/>
      <color theme="0"/>
      <name val="맑은 고딕"/>
      <family val="3"/>
      <charset val="129"/>
      <scheme val="major"/>
    </font>
    <font>
      <b/>
      <sz val="11"/>
      <color theme="5"/>
      <name val="맑은 고딕"/>
      <family val="3"/>
      <charset val="129"/>
      <scheme val="major"/>
    </font>
    <font>
      <b/>
      <sz val="11"/>
      <color rgb="FF00206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thick">
        <color rgb="FFFF0000"/>
      </bottom>
      <diagonal/>
    </border>
  </borders>
  <cellStyleXfs count="2">
    <xf numFmtId="0" fontId="0" fillId="0" borderId="0"/>
    <xf numFmtId="0" fontId="6" fillId="0" borderId="0" applyNumberFormat="0" applyFill="0" applyBorder="0" applyProtection="0">
      <alignment vertical="top" wrapText="1"/>
    </xf>
  </cellStyleXfs>
  <cellXfs count="6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2" fontId="3" fillId="2" borderId="3" xfId="0" applyNumberFormat="1" applyFont="1" applyFill="1" applyBorder="1" applyAlignment="1">
      <alignment horizontal="center" vertical="center" wrapText="1"/>
    </xf>
    <xf numFmtId="42" fontId="3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42" fontId="3" fillId="2" borderId="6" xfId="0" applyNumberFormat="1" applyFont="1" applyFill="1" applyBorder="1" applyAlignment="1">
      <alignment horizontal="center" vertical="center" wrapText="1"/>
    </xf>
    <xf numFmtId="42" fontId="3" fillId="2" borderId="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42" fontId="3" fillId="2" borderId="9" xfId="0" applyNumberFormat="1" applyFont="1" applyFill="1" applyBorder="1" applyAlignment="1">
      <alignment horizontal="center" vertical="center" wrapText="1"/>
    </xf>
    <xf numFmtId="42" fontId="3" fillId="2" borderId="10" xfId="0" applyNumberFormat="1" applyFont="1" applyFill="1" applyBorder="1" applyAlignment="1">
      <alignment horizontal="center" vertical="center"/>
    </xf>
    <xf numFmtId="42" fontId="3" fillId="2" borderId="24" xfId="0" applyNumberFormat="1" applyFont="1" applyFill="1" applyBorder="1" applyAlignment="1">
      <alignment horizontal="center" vertical="center"/>
    </xf>
    <xf numFmtId="42" fontId="3" fillId="2" borderId="11" xfId="0" applyNumberFormat="1" applyFont="1" applyFill="1" applyBorder="1" applyAlignment="1">
      <alignment horizontal="center" vertical="center"/>
    </xf>
    <xf numFmtId="42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42" fontId="4" fillId="2" borderId="1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42" fontId="4" fillId="3" borderId="23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42" fontId="5" fillId="4" borderId="13" xfId="0" applyNumberFormat="1" applyFont="1" applyFill="1" applyBorder="1" applyAlignment="1">
      <alignment horizontal="center" vertical="center" wrapText="1"/>
    </xf>
    <xf numFmtId="42" fontId="5" fillId="4" borderId="14" xfId="0" applyNumberFormat="1" applyFont="1" applyFill="1" applyBorder="1" applyAlignment="1">
      <alignment horizontal="center" vertical="center" wrapText="1"/>
    </xf>
    <xf numFmtId="42" fontId="5" fillId="4" borderId="15" xfId="0" applyNumberFormat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7" fillId="4" borderId="0" xfId="1" applyFont="1" applyFill="1" applyAlignment="1">
      <alignment horizontal="center" vertical="center" wrapText="1"/>
    </xf>
    <xf numFmtId="0" fontId="10" fillId="4" borderId="0" xfId="1" applyFont="1" applyFill="1" applyAlignment="1">
      <alignment horizontal="center" vertical="center" wrapText="1"/>
    </xf>
    <xf numFmtId="0" fontId="8" fillId="4" borderId="0" xfId="1" applyFont="1" applyFill="1" applyAlignment="1">
      <alignment horizontal="center" vertical="center" wrapText="1"/>
    </xf>
    <xf numFmtId="0" fontId="12" fillId="3" borderId="22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left" vertical="center"/>
    </xf>
    <xf numFmtId="176" fontId="3" fillId="2" borderId="3" xfId="0" applyNumberFormat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/>
    </xf>
    <xf numFmtId="176" fontId="3" fillId="2" borderId="9" xfId="0" applyNumberFormat="1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12" fillId="3" borderId="23" xfId="0" applyFont="1" applyFill="1" applyBorder="1" applyAlignment="1">
      <alignment vertical="center"/>
    </xf>
  </cellXfs>
  <cellStyles count="2">
    <cellStyle name="표준" xfId="0" builtinId="0"/>
    <cellStyle name="표준 2" xfId="1" xr:uid="{D9602B5F-A8F2-4739-8506-36737BFAC2F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65D2-4BFF-42BA-BC7A-C4D61800D839}">
  <dimension ref="A1:O70"/>
  <sheetViews>
    <sheetView showGridLines="0" tabSelected="1" zoomScale="80" zoomScaleNormal="80" workbookViewId="0">
      <selection activeCell="I14" sqref="I14"/>
    </sheetView>
  </sheetViews>
  <sheetFormatPr defaultRowHeight="13.5" x14ac:dyDescent="0.3"/>
  <cols>
    <col min="1" max="1" width="5" style="1" customWidth="1"/>
    <col min="2" max="2" width="18" style="1" customWidth="1"/>
    <col min="3" max="3" width="52.75" style="22" customWidth="1"/>
    <col min="4" max="4" width="14.875" style="1" customWidth="1"/>
    <col min="5" max="5" width="11" style="20" customWidth="1"/>
    <col min="6" max="6" width="40" style="1" customWidth="1"/>
    <col min="7" max="7" width="5.125" style="1" customWidth="1"/>
    <col min="8" max="8" width="17" style="1" customWidth="1"/>
    <col min="9" max="9" width="14" style="20" customWidth="1"/>
    <col min="10" max="10" width="1" style="21" customWidth="1"/>
    <col min="11" max="12" width="12" style="1" customWidth="1"/>
    <col min="13" max="13" width="16.375" style="20" customWidth="1"/>
    <col min="14" max="14" width="1.125" style="1" customWidth="1"/>
    <col min="15" max="16384" width="9" style="1"/>
  </cols>
  <sheetData>
    <row r="1" spans="1:15" ht="149.25" customHeight="1" thickBot="1" x14ac:dyDescent="0.35">
      <c r="A1" s="50" t="s">
        <v>123</v>
      </c>
      <c r="B1" s="50"/>
      <c r="C1" s="50"/>
      <c r="D1" s="50"/>
      <c r="E1" s="51"/>
      <c r="F1" s="52"/>
      <c r="G1" s="52"/>
      <c r="H1" s="52"/>
      <c r="I1" s="52"/>
      <c r="J1" s="52"/>
      <c r="K1" s="52"/>
      <c r="L1" s="52"/>
      <c r="M1" s="52"/>
      <c r="N1" s="52"/>
    </row>
    <row r="2" spans="1:15" s="2" customFormat="1" ht="28.5" customHeight="1" thickTop="1" thickBot="1" x14ac:dyDescent="0.35">
      <c r="A2" s="57"/>
      <c r="B2" s="57"/>
      <c r="C2" s="57"/>
      <c r="D2" s="57"/>
      <c r="E2" s="57"/>
      <c r="F2" s="57"/>
      <c r="G2" s="57"/>
      <c r="H2" s="57"/>
      <c r="I2" s="57"/>
      <c r="J2" s="23"/>
      <c r="K2" s="41">
        <f>SUM(K5:K70)</f>
        <v>0</v>
      </c>
      <c r="L2" s="34">
        <f>SUM(L5:L70)</f>
        <v>0</v>
      </c>
      <c r="M2" s="24">
        <f>SUM(M5:M70)</f>
        <v>0</v>
      </c>
    </row>
    <row r="3" spans="1:15" s="26" customFormat="1" ht="33" customHeight="1" thickBot="1" x14ac:dyDescent="0.35">
      <c r="A3" s="29" t="s">
        <v>0</v>
      </c>
      <c r="B3" s="30" t="s">
        <v>5</v>
      </c>
      <c r="C3" s="30" t="s">
        <v>1</v>
      </c>
      <c r="D3" s="30" t="s">
        <v>2</v>
      </c>
      <c r="E3" s="31" t="s">
        <v>3</v>
      </c>
      <c r="F3" s="56" t="s">
        <v>4</v>
      </c>
      <c r="G3" s="56"/>
      <c r="H3" s="30" t="s">
        <v>6</v>
      </c>
      <c r="I3" s="32" t="s">
        <v>7</v>
      </c>
      <c r="J3" s="25"/>
      <c r="K3" s="42" t="s">
        <v>119</v>
      </c>
      <c r="L3" s="35" t="s">
        <v>121</v>
      </c>
      <c r="M3" s="33" t="s">
        <v>120</v>
      </c>
    </row>
    <row r="4" spans="1:15" s="2" customFormat="1" ht="31.5" customHeight="1" thickBot="1" x14ac:dyDescent="0.35">
      <c r="A4" s="53" t="s">
        <v>122</v>
      </c>
      <c r="B4" s="54"/>
      <c r="C4" s="54"/>
      <c r="D4" s="54"/>
      <c r="E4" s="54"/>
      <c r="F4" s="54"/>
      <c r="G4" s="54"/>
      <c r="H4" s="54"/>
      <c r="I4" s="55"/>
      <c r="J4" s="23"/>
      <c r="K4" s="43"/>
      <c r="L4" s="27"/>
      <c r="M4" s="28"/>
    </row>
    <row r="5" spans="1:15" ht="45" customHeight="1" x14ac:dyDescent="0.3">
      <c r="A5" s="3">
        <v>1</v>
      </c>
      <c r="B5" s="58">
        <v>8809447256221</v>
      </c>
      <c r="C5" s="5" t="s">
        <v>8</v>
      </c>
      <c r="D5" s="4" t="s">
        <v>9</v>
      </c>
      <c r="E5" s="6">
        <v>29000</v>
      </c>
      <c r="F5" s="4" t="s">
        <v>10</v>
      </c>
      <c r="G5" s="4">
        <v>40</v>
      </c>
      <c r="H5" s="4" t="s">
        <v>11</v>
      </c>
      <c r="I5" s="7">
        <v>14590</v>
      </c>
      <c r="K5" s="44"/>
      <c r="L5" s="36">
        <f>G5*K5</f>
        <v>0</v>
      </c>
      <c r="M5" s="7">
        <f>I5*L5</f>
        <v>0</v>
      </c>
    </row>
    <row r="6" spans="1:15" ht="45" customHeight="1" x14ac:dyDescent="0.3">
      <c r="A6" s="8">
        <v>2</v>
      </c>
      <c r="B6" s="59">
        <v>8809447256429</v>
      </c>
      <c r="C6" s="10" t="s">
        <v>12</v>
      </c>
      <c r="D6" s="9" t="s">
        <v>13</v>
      </c>
      <c r="E6" s="11">
        <v>12000</v>
      </c>
      <c r="F6" s="9" t="s">
        <v>10</v>
      </c>
      <c r="G6" s="9">
        <v>40</v>
      </c>
      <c r="H6" s="9" t="s">
        <v>11</v>
      </c>
      <c r="I6" s="12">
        <v>6040</v>
      </c>
      <c r="K6" s="45"/>
      <c r="L6" s="37">
        <f>G6*K6</f>
        <v>0</v>
      </c>
      <c r="M6" s="12">
        <f t="shared" ref="M6:M11" si="0">I6*L6</f>
        <v>0</v>
      </c>
    </row>
    <row r="7" spans="1:15" ht="45" customHeight="1" x14ac:dyDescent="0.3">
      <c r="A7" s="8">
        <v>3</v>
      </c>
      <c r="B7" s="59">
        <v>8809447257051</v>
      </c>
      <c r="C7" s="10" t="s">
        <v>14</v>
      </c>
      <c r="D7" s="9" t="s">
        <v>15</v>
      </c>
      <c r="E7" s="11">
        <v>21000</v>
      </c>
      <c r="F7" s="9" t="s">
        <v>10</v>
      </c>
      <c r="G7" s="9">
        <v>40</v>
      </c>
      <c r="H7" s="9" t="s">
        <v>16</v>
      </c>
      <c r="I7" s="12">
        <v>8990</v>
      </c>
      <c r="K7" s="45"/>
      <c r="L7" s="37">
        <f>G7*K7</f>
        <v>0</v>
      </c>
      <c r="M7" s="12">
        <f t="shared" si="0"/>
        <v>0</v>
      </c>
    </row>
    <row r="8" spans="1:15" ht="45" customHeight="1" x14ac:dyDescent="0.3">
      <c r="A8" s="8">
        <v>4</v>
      </c>
      <c r="B8" s="59">
        <v>8809447256429</v>
      </c>
      <c r="C8" s="10" t="s">
        <v>17</v>
      </c>
      <c r="D8" s="9" t="s">
        <v>13</v>
      </c>
      <c r="E8" s="11">
        <v>13000</v>
      </c>
      <c r="F8" s="9" t="s">
        <v>10</v>
      </c>
      <c r="G8" s="9">
        <v>40</v>
      </c>
      <c r="H8" s="9" t="s">
        <v>16</v>
      </c>
      <c r="I8" s="12">
        <v>6040</v>
      </c>
      <c r="K8" s="45"/>
      <c r="L8" s="37">
        <f>G8*K8</f>
        <v>0</v>
      </c>
      <c r="M8" s="12">
        <f t="shared" si="0"/>
        <v>0</v>
      </c>
    </row>
    <row r="9" spans="1:15" ht="45" customHeight="1" x14ac:dyDescent="0.3">
      <c r="A9" s="8">
        <v>5</v>
      </c>
      <c r="B9" s="59">
        <v>8809447256122</v>
      </c>
      <c r="C9" s="10" t="s">
        <v>18</v>
      </c>
      <c r="D9" s="9" t="s">
        <v>19</v>
      </c>
      <c r="E9" s="11">
        <v>16000</v>
      </c>
      <c r="F9" s="9" t="s">
        <v>10</v>
      </c>
      <c r="G9" s="9">
        <v>40</v>
      </c>
      <c r="H9" s="9" t="s">
        <v>20</v>
      </c>
      <c r="I9" s="12">
        <v>7200</v>
      </c>
      <c r="K9" s="45"/>
      <c r="L9" s="37">
        <f>G9*K9</f>
        <v>0</v>
      </c>
      <c r="M9" s="12">
        <f t="shared" si="0"/>
        <v>0</v>
      </c>
    </row>
    <row r="10" spans="1:15" ht="45" customHeight="1" x14ac:dyDescent="0.3">
      <c r="A10" s="8">
        <v>6</v>
      </c>
      <c r="B10" s="59">
        <v>8809447256115</v>
      </c>
      <c r="C10" s="10" t="s">
        <v>21</v>
      </c>
      <c r="D10" s="9" t="s">
        <v>22</v>
      </c>
      <c r="E10" s="11">
        <v>26000</v>
      </c>
      <c r="F10" s="9" t="s">
        <v>10</v>
      </c>
      <c r="G10" s="9">
        <v>40</v>
      </c>
      <c r="H10" s="9" t="s">
        <v>20</v>
      </c>
      <c r="I10" s="12">
        <v>11690</v>
      </c>
      <c r="K10" s="45"/>
      <c r="L10" s="37">
        <f>G10*K10</f>
        <v>0</v>
      </c>
      <c r="M10" s="12">
        <f t="shared" si="0"/>
        <v>0</v>
      </c>
    </row>
    <row r="11" spans="1:15" ht="45" customHeight="1" thickBot="1" x14ac:dyDescent="0.35">
      <c r="A11" s="8">
        <v>7</v>
      </c>
      <c r="B11" s="60">
        <v>8809447256290</v>
      </c>
      <c r="C11" s="10" t="s">
        <v>23</v>
      </c>
      <c r="D11" s="9" t="s">
        <v>24</v>
      </c>
      <c r="E11" s="11">
        <v>15000</v>
      </c>
      <c r="F11" s="9" t="s">
        <v>25</v>
      </c>
      <c r="G11" s="9">
        <v>40</v>
      </c>
      <c r="H11" s="9" t="s">
        <v>26</v>
      </c>
      <c r="I11" s="12">
        <v>5780</v>
      </c>
      <c r="K11" s="45"/>
      <c r="L11" s="37">
        <f>G11*K11</f>
        <v>0</v>
      </c>
      <c r="M11" s="12">
        <f t="shared" si="0"/>
        <v>0</v>
      </c>
    </row>
    <row r="12" spans="1:15" s="2" customFormat="1" ht="30" customHeight="1" thickBot="1" x14ac:dyDescent="0.35">
      <c r="A12" s="62" t="s">
        <v>28</v>
      </c>
      <c r="B12" s="63"/>
      <c r="C12" s="63"/>
      <c r="D12" s="63"/>
      <c r="E12" s="63"/>
      <c r="F12" s="63"/>
      <c r="G12" s="63"/>
      <c r="H12" s="63"/>
      <c r="I12" s="64"/>
      <c r="J12" s="23"/>
      <c r="K12" s="43"/>
      <c r="L12" s="27"/>
      <c r="M12" s="28"/>
      <c r="O12" s="1"/>
    </row>
    <row r="13" spans="1:15" ht="45" customHeight="1" x14ac:dyDescent="0.3">
      <c r="A13" s="3">
        <v>1</v>
      </c>
      <c r="B13" s="58">
        <v>8809447256191</v>
      </c>
      <c r="C13" s="5" t="s">
        <v>29</v>
      </c>
      <c r="D13" s="4" t="s">
        <v>15</v>
      </c>
      <c r="E13" s="6">
        <v>19000</v>
      </c>
      <c r="F13" s="4" t="s">
        <v>10</v>
      </c>
      <c r="G13" s="4">
        <v>40</v>
      </c>
      <c r="H13" s="4" t="s">
        <v>16</v>
      </c>
      <c r="I13" s="7">
        <v>7730</v>
      </c>
      <c r="K13" s="44"/>
      <c r="L13" s="36">
        <f>G13*K13</f>
        <v>0</v>
      </c>
      <c r="M13" s="7">
        <f>I13*L13</f>
        <v>0</v>
      </c>
    </row>
    <row r="14" spans="1:15" ht="45" customHeight="1" x14ac:dyDescent="0.3">
      <c r="A14" s="8">
        <v>2</v>
      </c>
      <c r="B14" s="59">
        <v>8809447256085</v>
      </c>
      <c r="C14" s="10" t="s">
        <v>30</v>
      </c>
      <c r="D14" s="9" t="s">
        <v>9</v>
      </c>
      <c r="E14" s="11">
        <v>19000</v>
      </c>
      <c r="F14" s="9" t="s">
        <v>10</v>
      </c>
      <c r="G14" s="9">
        <v>40</v>
      </c>
      <c r="H14" s="9" t="s">
        <v>16</v>
      </c>
      <c r="I14" s="12">
        <v>7730</v>
      </c>
      <c r="K14" s="45"/>
      <c r="L14" s="37">
        <f>G14*K14</f>
        <v>0</v>
      </c>
      <c r="M14" s="12">
        <f t="shared" ref="M14:M16" si="1">I14*L14</f>
        <v>0</v>
      </c>
    </row>
    <row r="15" spans="1:15" ht="45" customHeight="1" x14ac:dyDescent="0.3">
      <c r="A15" s="8">
        <v>3</v>
      </c>
      <c r="B15" s="59">
        <v>8809447256184</v>
      </c>
      <c r="C15" s="10" t="s">
        <v>31</v>
      </c>
      <c r="D15" s="9" t="s">
        <v>22</v>
      </c>
      <c r="E15" s="11">
        <v>26000</v>
      </c>
      <c r="F15" s="9" t="s">
        <v>10</v>
      </c>
      <c r="G15" s="9">
        <v>40</v>
      </c>
      <c r="H15" s="9" t="s">
        <v>16</v>
      </c>
      <c r="I15" s="12">
        <v>11130</v>
      </c>
      <c r="K15" s="45"/>
      <c r="L15" s="37">
        <f>G15*K15</f>
        <v>0</v>
      </c>
      <c r="M15" s="12">
        <f t="shared" si="1"/>
        <v>0</v>
      </c>
    </row>
    <row r="16" spans="1:15" ht="45" customHeight="1" thickBot="1" x14ac:dyDescent="0.35">
      <c r="A16" s="13">
        <v>4</v>
      </c>
      <c r="B16" s="61">
        <v>8809447255767</v>
      </c>
      <c r="C16" s="15" t="s">
        <v>32</v>
      </c>
      <c r="D16" s="14" t="s">
        <v>24</v>
      </c>
      <c r="E16" s="16">
        <v>15000</v>
      </c>
      <c r="F16" s="14" t="s">
        <v>25</v>
      </c>
      <c r="G16" s="14">
        <v>40</v>
      </c>
      <c r="H16" s="14" t="s">
        <v>26</v>
      </c>
      <c r="I16" s="17">
        <v>5780</v>
      </c>
      <c r="K16" s="46"/>
      <c r="L16" s="38">
        <f>G16*K16</f>
        <v>0</v>
      </c>
      <c r="M16" s="17">
        <f t="shared" si="1"/>
        <v>0</v>
      </c>
    </row>
    <row r="17" spans="1:15" s="2" customFormat="1" ht="30.75" customHeight="1" thickBot="1" x14ac:dyDescent="0.35">
      <c r="A17" s="62" t="s">
        <v>33</v>
      </c>
      <c r="B17" s="63"/>
      <c r="C17" s="63"/>
      <c r="D17" s="63"/>
      <c r="E17" s="63"/>
      <c r="F17" s="63"/>
      <c r="G17" s="63"/>
      <c r="H17" s="63"/>
      <c r="I17" s="64"/>
      <c r="J17" s="23"/>
      <c r="K17" s="43"/>
      <c r="L17" s="27"/>
      <c r="M17" s="28"/>
      <c r="O17" s="1"/>
    </row>
    <row r="18" spans="1:15" ht="45" customHeight="1" x14ac:dyDescent="0.3">
      <c r="A18" s="3">
        <v>1</v>
      </c>
      <c r="B18" s="58">
        <v>8809447255729</v>
      </c>
      <c r="C18" s="5" t="s">
        <v>34</v>
      </c>
      <c r="D18" s="4" t="s">
        <v>35</v>
      </c>
      <c r="E18" s="6">
        <v>18000</v>
      </c>
      <c r="F18" s="4" t="s">
        <v>25</v>
      </c>
      <c r="G18" s="4">
        <v>40</v>
      </c>
      <c r="H18" s="4" t="s">
        <v>26</v>
      </c>
      <c r="I18" s="7">
        <v>6940</v>
      </c>
      <c r="K18" s="44"/>
      <c r="L18" s="36">
        <f>G18*K18</f>
        <v>0</v>
      </c>
      <c r="M18" s="7">
        <f>I18*L18</f>
        <v>0</v>
      </c>
    </row>
    <row r="19" spans="1:15" ht="45" customHeight="1" x14ac:dyDescent="0.3">
      <c r="A19" s="8">
        <v>2</v>
      </c>
      <c r="B19" s="59">
        <v>8809447255743</v>
      </c>
      <c r="C19" s="10" t="s">
        <v>36</v>
      </c>
      <c r="D19" s="9" t="s">
        <v>24</v>
      </c>
      <c r="E19" s="11">
        <v>15000</v>
      </c>
      <c r="F19" s="9" t="s">
        <v>25</v>
      </c>
      <c r="G19" s="9">
        <v>40</v>
      </c>
      <c r="H19" s="9" t="s">
        <v>26</v>
      </c>
      <c r="I19" s="12">
        <v>5780</v>
      </c>
      <c r="K19" s="45"/>
      <c r="L19" s="37">
        <f>G19*K19</f>
        <v>0</v>
      </c>
      <c r="M19" s="12">
        <f t="shared" ref="M19:M22" si="2">I19*L19</f>
        <v>0</v>
      </c>
    </row>
    <row r="20" spans="1:15" ht="45" customHeight="1" x14ac:dyDescent="0.3">
      <c r="A20" s="8">
        <v>3</v>
      </c>
      <c r="B20" s="59">
        <v>8809447255804</v>
      </c>
      <c r="C20" s="10" t="s">
        <v>37</v>
      </c>
      <c r="D20" s="9" t="s">
        <v>24</v>
      </c>
      <c r="E20" s="11">
        <v>15000</v>
      </c>
      <c r="F20" s="9" t="s">
        <v>25</v>
      </c>
      <c r="G20" s="9">
        <v>40</v>
      </c>
      <c r="H20" s="9" t="s">
        <v>26</v>
      </c>
      <c r="I20" s="12">
        <v>5780</v>
      </c>
      <c r="K20" s="45"/>
      <c r="L20" s="37">
        <f>G20*K20</f>
        <v>0</v>
      </c>
      <c r="M20" s="12">
        <f t="shared" si="2"/>
        <v>0</v>
      </c>
    </row>
    <row r="21" spans="1:15" ht="45" customHeight="1" x14ac:dyDescent="0.3">
      <c r="A21" s="8">
        <v>4</v>
      </c>
      <c r="B21" s="59">
        <v>8809447251936</v>
      </c>
      <c r="C21" s="10" t="s">
        <v>38</v>
      </c>
      <c r="D21" s="9" t="s">
        <v>39</v>
      </c>
      <c r="E21" s="11">
        <v>19000</v>
      </c>
      <c r="F21" s="9" t="s">
        <v>40</v>
      </c>
      <c r="G21" s="9">
        <v>30</v>
      </c>
      <c r="H21" s="9" t="s">
        <v>26</v>
      </c>
      <c r="I21" s="12">
        <v>9360</v>
      </c>
      <c r="K21" s="45"/>
      <c r="L21" s="37">
        <f>G21*K21</f>
        <v>0</v>
      </c>
      <c r="M21" s="12">
        <f t="shared" si="2"/>
        <v>0</v>
      </c>
    </row>
    <row r="22" spans="1:15" ht="45" customHeight="1" thickBot="1" x14ac:dyDescent="0.35">
      <c r="A22" s="13">
        <v>5</v>
      </c>
      <c r="B22" s="61">
        <v>8809447251998</v>
      </c>
      <c r="C22" s="15" t="s">
        <v>41</v>
      </c>
      <c r="D22" s="14" t="s">
        <v>39</v>
      </c>
      <c r="E22" s="16">
        <v>19000</v>
      </c>
      <c r="F22" s="14" t="s">
        <v>42</v>
      </c>
      <c r="G22" s="14">
        <v>30</v>
      </c>
      <c r="H22" s="14" t="s">
        <v>26</v>
      </c>
      <c r="I22" s="17">
        <v>9360</v>
      </c>
      <c r="K22" s="46"/>
      <c r="L22" s="38">
        <f>G22*K22</f>
        <v>0</v>
      </c>
      <c r="M22" s="17">
        <f t="shared" si="2"/>
        <v>0</v>
      </c>
    </row>
    <row r="23" spans="1:15" s="2" customFormat="1" ht="31.5" customHeight="1" thickBot="1" x14ac:dyDescent="0.35">
      <c r="A23" s="62" t="s">
        <v>43</v>
      </c>
      <c r="B23" s="63"/>
      <c r="C23" s="63"/>
      <c r="D23" s="63"/>
      <c r="E23" s="63"/>
      <c r="F23" s="63"/>
      <c r="G23" s="63"/>
      <c r="H23" s="63"/>
      <c r="I23" s="64"/>
      <c r="J23" s="23"/>
      <c r="K23" s="43"/>
      <c r="L23" s="27"/>
      <c r="M23" s="28"/>
      <c r="O23" s="1"/>
    </row>
    <row r="24" spans="1:15" ht="45" customHeight="1" x14ac:dyDescent="0.3">
      <c r="A24" s="3">
        <v>1</v>
      </c>
      <c r="B24" s="58">
        <v>8809447255583</v>
      </c>
      <c r="C24" s="5" t="s">
        <v>44</v>
      </c>
      <c r="D24" s="4" t="s">
        <v>45</v>
      </c>
      <c r="E24" s="6">
        <v>28000</v>
      </c>
      <c r="F24" s="4" t="s">
        <v>46</v>
      </c>
      <c r="G24" s="4">
        <v>35</v>
      </c>
      <c r="H24" s="4" t="s">
        <v>47</v>
      </c>
      <c r="I24" s="7">
        <v>11390</v>
      </c>
      <c r="K24" s="44"/>
      <c r="L24" s="36">
        <f>G24*K24</f>
        <v>0</v>
      </c>
      <c r="M24" s="7">
        <f>I24*L24</f>
        <v>0</v>
      </c>
    </row>
    <row r="25" spans="1:15" ht="45" customHeight="1" x14ac:dyDescent="0.3">
      <c r="A25" s="8">
        <v>2</v>
      </c>
      <c r="B25" s="59">
        <v>8809447251400</v>
      </c>
      <c r="C25" s="10" t="s">
        <v>48</v>
      </c>
      <c r="D25" s="9" t="s">
        <v>49</v>
      </c>
      <c r="E25" s="11">
        <v>19000</v>
      </c>
      <c r="F25" s="9" t="s">
        <v>10</v>
      </c>
      <c r="G25" s="9">
        <v>40</v>
      </c>
      <c r="H25" s="9" t="s">
        <v>47</v>
      </c>
      <c r="I25" s="12">
        <v>8540</v>
      </c>
      <c r="K25" s="45"/>
      <c r="L25" s="37">
        <f>G25*K25</f>
        <v>0</v>
      </c>
      <c r="M25" s="12">
        <f t="shared" ref="M25:M29" si="3">I25*L25</f>
        <v>0</v>
      </c>
    </row>
    <row r="26" spans="1:15" ht="45" customHeight="1" x14ac:dyDescent="0.3">
      <c r="A26" s="8">
        <v>3</v>
      </c>
      <c r="B26" s="59">
        <v>8809447254708</v>
      </c>
      <c r="C26" s="10" t="s">
        <v>50</v>
      </c>
      <c r="D26" s="9" t="s">
        <v>51</v>
      </c>
      <c r="E26" s="11">
        <v>19000</v>
      </c>
      <c r="F26" s="9" t="s">
        <v>10</v>
      </c>
      <c r="G26" s="9">
        <v>40</v>
      </c>
      <c r="H26" s="9" t="s">
        <v>47</v>
      </c>
      <c r="I26" s="12">
        <v>7530</v>
      </c>
      <c r="K26" s="45"/>
      <c r="L26" s="37">
        <f>G26*K26</f>
        <v>0</v>
      </c>
      <c r="M26" s="12">
        <f t="shared" si="3"/>
        <v>0</v>
      </c>
    </row>
    <row r="27" spans="1:15" ht="45" customHeight="1" x14ac:dyDescent="0.3">
      <c r="A27" s="8">
        <v>4</v>
      </c>
      <c r="B27" s="59">
        <v>8809447253756</v>
      </c>
      <c r="C27" s="10" t="s">
        <v>52</v>
      </c>
      <c r="D27" s="9" t="s">
        <v>22</v>
      </c>
      <c r="E27" s="11">
        <v>25000</v>
      </c>
      <c r="F27" s="9" t="s">
        <v>53</v>
      </c>
      <c r="G27" s="9">
        <v>60</v>
      </c>
      <c r="H27" s="9" t="s">
        <v>47</v>
      </c>
      <c r="I27" s="12">
        <v>9100</v>
      </c>
      <c r="K27" s="45"/>
      <c r="L27" s="37">
        <f>G27*K27</f>
        <v>0</v>
      </c>
      <c r="M27" s="12">
        <f t="shared" si="3"/>
        <v>0</v>
      </c>
    </row>
    <row r="28" spans="1:15" ht="45" customHeight="1" x14ac:dyDescent="0.3">
      <c r="A28" s="8">
        <v>5</v>
      </c>
      <c r="B28" s="59">
        <v>8809447255071</v>
      </c>
      <c r="C28" s="10" t="s">
        <v>54</v>
      </c>
      <c r="D28" s="9" t="s">
        <v>9</v>
      </c>
      <c r="E28" s="11">
        <v>25000</v>
      </c>
      <c r="F28" s="9" t="s">
        <v>10</v>
      </c>
      <c r="G28" s="9">
        <v>40</v>
      </c>
      <c r="H28" s="9" t="s">
        <v>16</v>
      </c>
      <c r="I28" s="12">
        <v>9900</v>
      </c>
      <c r="K28" s="45"/>
      <c r="L28" s="37">
        <f>G28*K28</f>
        <v>0</v>
      </c>
      <c r="M28" s="12">
        <f t="shared" si="3"/>
        <v>0</v>
      </c>
    </row>
    <row r="29" spans="1:15" ht="45" customHeight="1" thickBot="1" x14ac:dyDescent="0.35">
      <c r="A29" s="13">
        <v>6</v>
      </c>
      <c r="B29" s="61">
        <v>8809447255620</v>
      </c>
      <c r="C29" s="15" t="s">
        <v>55</v>
      </c>
      <c r="D29" s="14" t="s">
        <v>9</v>
      </c>
      <c r="E29" s="16">
        <v>25000</v>
      </c>
      <c r="F29" s="14" t="s">
        <v>10</v>
      </c>
      <c r="G29" s="14">
        <v>40</v>
      </c>
      <c r="H29" s="14" t="s">
        <v>16</v>
      </c>
      <c r="I29" s="17">
        <v>9900</v>
      </c>
      <c r="K29" s="46"/>
      <c r="L29" s="38">
        <f>G29*K29</f>
        <v>0</v>
      </c>
      <c r="M29" s="17">
        <f t="shared" si="3"/>
        <v>0</v>
      </c>
    </row>
    <row r="30" spans="1:15" s="2" customFormat="1" ht="30" customHeight="1" thickBot="1" x14ac:dyDescent="0.35">
      <c r="A30" s="62" t="s">
        <v>56</v>
      </c>
      <c r="B30" s="63"/>
      <c r="C30" s="63"/>
      <c r="D30" s="63"/>
      <c r="E30" s="63"/>
      <c r="F30" s="63"/>
      <c r="G30" s="63"/>
      <c r="H30" s="63"/>
      <c r="I30" s="64"/>
      <c r="J30" s="23"/>
      <c r="K30" s="43"/>
      <c r="L30" s="27"/>
      <c r="M30" s="28"/>
      <c r="O30" s="1"/>
    </row>
    <row r="31" spans="1:15" ht="45" customHeight="1" x14ac:dyDescent="0.3">
      <c r="A31" s="3">
        <v>1</v>
      </c>
      <c r="B31" s="58">
        <v>8809447255293</v>
      </c>
      <c r="C31" s="5" t="s">
        <v>57</v>
      </c>
      <c r="D31" s="4" t="s">
        <v>58</v>
      </c>
      <c r="E31" s="6">
        <v>28000</v>
      </c>
      <c r="F31" s="4" t="s">
        <v>59</v>
      </c>
      <c r="G31" s="4">
        <v>30</v>
      </c>
      <c r="H31" s="4" t="s">
        <v>47</v>
      </c>
      <c r="I31" s="7">
        <v>11690</v>
      </c>
      <c r="K31" s="44"/>
      <c r="L31" s="36">
        <f>G31*K31</f>
        <v>0</v>
      </c>
      <c r="M31" s="7">
        <f>I31*L31</f>
        <v>0</v>
      </c>
    </row>
    <row r="32" spans="1:15" ht="45" customHeight="1" x14ac:dyDescent="0.3">
      <c r="A32" s="8">
        <v>2</v>
      </c>
      <c r="B32" s="59">
        <v>8809447256306</v>
      </c>
      <c r="C32" s="10" t="s">
        <v>60</v>
      </c>
      <c r="D32" s="9" t="s">
        <v>61</v>
      </c>
      <c r="E32" s="11">
        <v>25000</v>
      </c>
      <c r="F32" s="9" t="s">
        <v>62</v>
      </c>
      <c r="G32" s="9">
        <v>20</v>
      </c>
      <c r="H32" s="9" t="s">
        <v>26</v>
      </c>
      <c r="I32" s="12">
        <v>10170</v>
      </c>
      <c r="K32" s="45"/>
      <c r="L32" s="37">
        <f>G32*K32</f>
        <v>0</v>
      </c>
      <c r="M32" s="12">
        <f t="shared" ref="M32:M33" si="4">I32*L32</f>
        <v>0</v>
      </c>
    </row>
    <row r="33" spans="1:15" ht="45" customHeight="1" thickBot="1" x14ac:dyDescent="0.35">
      <c r="A33" s="13">
        <v>3</v>
      </c>
      <c r="B33" s="61">
        <v>8809447257419</v>
      </c>
      <c r="C33" s="15" t="s">
        <v>63</v>
      </c>
      <c r="D33" s="14" t="s">
        <v>27</v>
      </c>
      <c r="E33" s="16">
        <v>22000</v>
      </c>
      <c r="F33" s="14" t="s">
        <v>27</v>
      </c>
      <c r="G33" s="14">
        <v>1</v>
      </c>
      <c r="H33" s="14" t="s">
        <v>47</v>
      </c>
      <c r="I33" s="17">
        <v>9190</v>
      </c>
      <c r="K33" s="46"/>
      <c r="L33" s="38">
        <f>G33*K33</f>
        <v>0</v>
      </c>
      <c r="M33" s="17">
        <f t="shared" si="4"/>
        <v>0</v>
      </c>
    </row>
    <row r="34" spans="1:15" s="2" customFormat="1" ht="29.25" customHeight="1" thickBot="1" x14ac:dyDescent="0.35">
      <c r="A34" s="62" t="s">
        <v>64</v>
      </c>
      <c r="B34" s="63"/>
      <c r="C34" s="63"/>
      <c r="D34" s="63"/>
      <c r="E34" s="63"/>
      <c r="F34" s="63"/>
      <c r="G34" s="63"/>
      <c r="H34" s="63"/>
      <c r="I34" s="64"/>
      <c r="J34" s="23"/>
      <c r="K34" s="43"/>
      <c r="L34" s="27"/>
      <c r="M34" s="28"/>
      <c r="O34" s="1"/>
    </row>
    <row r="35" spans="1:15" ht="45" customHeight="1" x14ac:dyDescent="0.3">
      <c r="A35" s="3">
        <v>1</v>
      </c>
      <c r="B35" s="58">
        <v>8809447253473</v>
      </c>
      <c r="C35" s="5" t="s">
        <v>65</v>
      </c>
      <c r="D35" s="4" t="s">
        <v>15</v>
      </c>
      <c r="E35" s="6">
        <v>19000</v>
      </c>
      <c r="F35" s="4" t="s">
        <v>10</v>
      </c>
      <c r="G35" s="4">
        <v>40</v>
      </c>
      <c r="H35" s="4" t="s">
        <v>47</v>
      </c>
      <c r="I35" s="7">
        <v>6310</v>
      </c>
      <c r="K35" s="44"/>
      <c r="L35" s="36">
        <f>G35*K35</f>
        <v>0</v>
      </c>
      <c r="M35" s="7">
        <f>I35*L35</f>
        <v>0</v>
      </c>
    </row>
    <row r="36" spans="1:15" ht="45" customHeight="1" x14ac:dyDescent="0.3">
      <c r="A36" s="8">
        <v>2</v>
      </c>
      <c r="B36" s="59">
        <v>8809447253480</v>
      </c>
      <c r="C36" s="10" t="s">
        <v>66</v>
      </c>
      <c r="D36" s="9" t="s">
        <v>15</v>
      </c>
      <c r="E36" s="11">
        <v>19000</v>
      </c>
      <c r="F36" s="9" t="s">
        <v>10</v>
      </c>
      <c r="G36" s="9">
        <v>40</v>
      </c>
      <c r="H36" s="9" t="s">
        <v>47</v>
      </c>
      <c r="I36" s="12">
        <v>6310</v>
      </c>
      <c r="K36" s="45"/>
      <c r="L36" s="37">
        <f>G36*K36</f>
        <v>0</v>
      </c>
      <c r="M36" s="12">
        <f t="shared" ref="M36:M70" si="5">I36*L36</f>
        <v>0</v>
      </c>
    </row>
    <row r="37" spans="1:15" ht="45" customHeight="1" x14ac:dyDescent="0.3">
      <c r="A37" s="8">
        <v>3</v>
      </c>
      <c r="B37" s="59">
        <v>8809447254203</v>
      </c>
      <c r="C37" s="10" t="s">
        <v>67</v>
      </c>
      <c r="D37" s="9" t="s">
        <v>15</v>
      </c>
      <c r="E37" s="11">
        <v>19000</v>
      </c>
      <c r="F37" s="9" t="s">
        <v>10</v>
      </c>
      <c r="G37" s="9">
        <v>40</v>
      </c>
      <c r="H37" s="9" t="s">
        <v>47</v>
      </c>
      <c r="I37" s="12">
        <v>7320</v>
      </c>
      <c r="K37" s="45"/>
      <c r="L37" s="37">
        <f>G37*K37</f>
        <v>0</v>
      </c>
      <c r="M37" s="12">
        <f t="shared" si="5"/>
        <v>0</v>
      </c>
    </row>
    <row r="38" spans="1:15" ht="45" customHeight="1" x14ac:dyDescent="0.3">
      <c r="A38" s="8">
        <v>4</v>
      </c>
      <c r="B38" s="59">
        <v>8809447254609</v>
      </c>
      <c r="C38" s="10" t="s">
        <v>68</v>
      </c>
      <c r="D38" s="9" t="s">
        <v>69</v>
      </c>
      <c r="E38" s="11">
        <v>29000</v>
      </c>
      <c r="F38" s="9" t="s">
        <v>10</v>
      </c>
      <c r="G38" s="9">
        <v>40</v>
      </c>
      <c r="H38" s="9" t="s">
        <v>16</v>
      </c>
      <c r="I38" s="12">
        <v>11180</v>
      </c>
      <c r="K38" s="45"/>
      <c r="L38" s="37">
        <f>G38*K38</f>
        <v>0</v>
      </c>
      <c r="M38" s="12">
        <f t="shared" si="5"/>
        <v>0</v>
      </c>
    </row>
    <row r="39" spans="1:15" ht="45" customHeight="1" x14ac:dyDescent="0.3">
      <c r="A39" s="8">
        <v>5</v>
      </c>
      <c r="B39" s="59">
        <v>8809447255286</v>
      </c>
      <c r="C39" s="10" t="s">
        <v>70</v>
      </c>
      <c r="D39" s="9" t="s">
        <v>15</v>
      </c>
      <c r="E39" s="11">
        <v>29000</v>
      </c>
      <c r="F39" s="9" t="s">
        <v>10</v>
      </c>
      <c r="G39" s="9">
        <v>40</v>
      </c>
      <c r="H39" s="9" t="s">
        <v>16</v>
      </c>
      <c r="I39" s="12">
        <v>11180</v>
      </c>
      <c r="K39" s="45"/>
      <c r="L39" s="37">
        <f>G39*K39</f>
        <v>0</v>
      </c>
      <c r="M39" s="12">
        <f t="shared" si="5"/>
        <v>0</v>
      </c>
    </row>
    <row r="40" spans="1:15" ht="45" customHeight="1" x14ac:dyDescent="0.3">
      <c r="A40" s="8">
        <v>6</v>
      </c>
      <c r="B40" s="59">
        <v>8809447255385</v>
      </c>
      <c r="C40" s="10" t="s">
        <v>71</v>
      </c>
      <c r="D40" s="9" t="s">
        <v>15</v>
      </c>
      <c r="E40" s="11">
        <v>29000</v>
      </c>
      <c r="F40" s="9" t="s">
        <v>10</v>
      </c>
      <c r="G40" s="9">
        <v>40</v>
      </c>
      <c r="H40" s="9" t="s">
        <v>20</v>
      </c>
      <c r="I40" s="12">
        <v>11490</v>
      </c>
      <c r="K40" s="45"/>
      <c r="L40" s="37">
        <f>G40*K40</f>
        <v>0</v>
      </c>
      <c r="M40" s="12">
        <f t="shared" si="5"/>
        <v>0</v>
      </c>
    </row>
    <row r="41" spans="1:15" ht="45" customHeight="1" x14ac:dyDescent="0.3">
      <c r="A41" s="8">
        <v>7</v>
      </c>
      <c r="B41" s="59">
        <v>8809447255101</v>
      </c>
      <c r="C41" s="10" t="s">
        <v>72</v>
      </c>
      <c r="D41" s="9" t="s">
        <v>15</v>
      </c>
      <c r="E41" s="11">
        <v>29000</v>
      </c>
      <c r="F41" s="9" t="s">
        <v>10</v>
      </c>
      <c r="G41" s="9">
        <v>40</v>
      </c>
      <c r="H41" s="9" t="s">
        <v>20</v>
      </c>
      <c r="I41" s="12">
        <v>11490</v>
      </c>
      <c r="K41" s="45"/>
      <c r="L41" s="37">
        <f>G41*K41</f>
        <v>0</v>
      </c>
      <c r="M41" s="12">
        <f t="shared" si="5"/>
        <v>0</v>
      </c>
    </row>
    <row r="42" spans="1:15" ht="45" customHeight="1" x14ac:dyDescent="0.3">
      <c r="A42" s="8">
        <v>8</v>
      </c>
      <c r="B42" s="59">
        <v>8809447256658</v>
      </c>
      <c r="C42" s="10" t="s">
        <v>73</v>
      </c>
      <c r="D42" s="9" t="s">
        <v>69</v>
      </c>
      <c r="E42" s="11">
        <v>25000</v>
      </c>
      <c r="F42" s="9" t="s">
        <v>10</v>
      </c>
      <c r="G42" s="9">
        <v>40</v>
      </c>
      <c r="H42" s="9" t="s">
        <v>20</v>
      </c>
      <c r="I42" s="12">
        <v>11240</v>
      </c>
      <c r="K42" s="45"/>
      <c r="L42" s="37">
        <f>G42*K42</f>
        <v>0</v>
      </c>
      <c r="M42" s="12">
        <f t="shared" si="5"/>
        <v>0</v>
      </c>
    </row>
    <row r="43" spans="1:15" ht="45" customHeight="1" x14ac:dyDescent="0.3">
      <c r="A43" s="8">
        <v>9</v>
      </c>
      <c r="B43" s="59">
        <v>8809447256238</v>
      </c>
      <c r="C43" s="10" t="s">
        <v>74</v>
      </c>
      <c r="D43" s="9" t="s">
        <v>75</v>
      </c>
      <c r="E43" s="11">
        <v>28000</v>
      </c>
      <c r="F43" s="9" t="s">
        <v>10</v>
      </c>
      <c r="G43" s="9">
        <v>40</v>
      </c>
      <c r="H43" s="9" t="s">
        <v>47</v>
      </c>
      <c r="I43" s="12">
        <v>11090</v>
      </c>
      <c r="K43" s="45"/>
      <c r="L43" s="37">
        <f>G43*K43</f>
        <v>0</v>
      </c>
      <c r="M43" s="12">
        <f t="shared" si="5"/>
        <v>0</v>
      </c>
    </row>
    <row r="44" spans="1:15" ht="45" customHeight="1" thickBot="1" x14ac:dyDescent="0.35">
      <c r="A44" s="13">
        <v>10</v>
      </c>
      <c r="B44" s="61">
        <v>8809447256672</v>
      </c>
      <c r="C44" s="15" t="s">
        <v>76</v>
      </c>
      <c r="D44" s="14" t="s">
        <v>27</v>
      </c>
      <c r="E44" s="16">
        <v>17700</v>
      </c>
      <c r="F44" s="14" t="s">
        <v>10</v>
      </c>
      <c r="G44" s="14">
        <v>40</v>
      </c>
      <c r="H44" s="14" t="s">
        <v>47</v>
      </c>
      <c r="I44" s="17">
        <v>7390</v>
      </c>
      <c r="K44" s="45"/>
      <c r="L44" s="37">
        <f>G44*K44</f>
        <v>0</v>
      </c>
      <c r="M44" s="12">
        <f t="shared" si="5"/>
        <v>0</v>
      </c>
    </row>
    <row r="45" spans="1:15" s="2" customFormat="1" ht="30" customHeight="1" thickBot="1" x14ac:dyDescent="0.35">
      <c r="A45" s="62" t="s">
        <v>77</v>
      </c>
      <c r="B45" s="63"/>
      <c r="C45" s="63"/>
      <c r="D45" s="63"/>
      <c r="E45" s="63"/>
      <c r="F45" s="63"/>
      <c r="G45" s="63"/>
      <c r="H45" s="63"/>
      <c r="I45" s="64"/>
      <c r="J45" s="23"/>
      <c r="K45" s="43"/>
      <c r="L45" s="27"/>
      <c r="M45" s="28"/>
      <c r="O45" s="1"/>
    </row>
    <row r="46" spans="1:15" ht="45" customHeight="1" x14ac:dyDescent="0.3">
      <c r="A46" s="3">
        <v>1</v>
      </c>
      <c r="B46" s="58">
        <v>8809447255040</v>
      </c>
      <c r="C46" s="5" t="s">
        <v>78</v>
      </c>
      <c r="D46" s="4" t="s">
        <v>15</v>
      </c>
      <c r="E46" s="6">
        <v>28000</v>
      </c>
      <c r="F46" s="4" t="s">
        <v>10</v>
      </c>
      <c r="G46" s="4">
        <v>40</v>
      </c>
      <c r="H46" s="4" t="s">
        <v>47</v>
      </c>
      <c r="I46" s="7">
        <v>13190</v>
      </c>
      <c r="K46" s="45"/>
      <c r="L46" s="37">
        <f>G46*K46</f>
        <v>0</v>
      </c>
      <c r="M46" s="12">
        <f t="shared" si="5"/>
        <v>0</v>
      </c>
    </row>
    <row r="47" spans="1:15" ht="45" customHeight="1" x14ac:dyDescent="0.3">
      <c r="A47" s="8">
        <v>2</v>
      </c>
      <c r="B47" s="59">
        <v>8809447255217</v>
      </c>
      <c r="C47" s="10" t="s">
        <v>79</v>
      </c>
      <c r="D47" s="9" t="s">
        <v>9</v>
      </c>
      <c r="E47" s="11">
        <v>49000</v>
      </c>
      <c r="F47" s="9" t="s">
        <v>10</v>
      </c>
      <c r="G47" s="9">
        <v>40</v>
      </c>
      <c r="H47" s="9" t="s">
        <v>47</v>
      </c>
      <c r="I47" s="12">
        <v>23070</v>
      </c>
      <c r="K47" s="45"/>
      <c r="L47" s="37">
        <f>G47*K47</f>
        <v>0</v>
      </c>
      <c r="M47" s="12">
        <f t="shared" si="5"/>
        <v>0</v>
      </c>
    </row>
    <row r="48" spans="1:15" ht="45" customHeight="1" x14ac:dyDescent="0.3">
      <c r="A48" s="8">
        <v>3</v>
      </c>
      <c r="B48" s="59">
        <v>8809447251363</v>
      </c>
      <c r="C48" s="10" t="s">
        <v>80</v>
      </c>
      <c r="D48" s="9" t="s">
        <v>9</v>
      </c>
      <c r="E48" s="11">
        <v>29000</v>
      </c>
      <c r="F48" s="9" t="s">
        <v>10</v>
      </c>
      <c r="G48" s="9">
        <v>40</v>
      </c>
      <c r="H48" s="9" t="s">
        <v>20</v>
      </c>
      <c r="I48" s="12">
        <v>14590</v>
      </c>
      <c r="K48" s="45"/>
      <c r="L48" s="37">
        <f>G48*K48</f>
        <v>0</v>
      </c>
      <c r="M48" s="12">
        <f t="shared" si="5"/>
        <v>0</v>
      </c>
    </row>
    <row r="49" spans="1:15" ht="45" customHeight="1" x14ac:dyDescent="0.3">
      <c r="A49" s="8">
        <v>4</v>
      </c>
      <c r="B49" s="59">
        <v>8809447257105</v>
      </c>
      <c r="C49" s="10" t="s">
        <v>81</v>
      </c>
      <c r="D49" s="9" t="s">
        <v>13</v>
      </c>
      <c r="E49" s="11">
        <v>12000</v>
      </c>
      <c r="F49" s="9" t="s">
        <v>10</v>
      </c>
      <c r="G49" s="9">
        <v>40</v>
      </c>
      <c r="H49" s="9" t="s">
        <v>11</v>
      </c>
      <c r="I49" s="12">
        <v>6040</v>
      </c>
      <c r="K49" s="45"/>
      <c r="L49" s="37">
        <f>G49*K49</f>
        <v>0</v>
      </c>
      <c r="M49" s="12">
        <f t="shared" si="5"/>
        <v>0</v>
      </c>
    </row>
    <row r="50" spans="1:15" ht="45" customHeight="1" x14ac:dyDescent="0.3">
      <c r="A50" s="8">
        <v>5</v>
      </c>
      <c r="B50" s="59">
        <v>8809447257129</v>
      </c>
      <c r="C50" s="10" t="s">
        <v>82</v>
      </c>
      <c r="D50" s="9" t="s">
        <v>83</v>
      </c>
      <c r="E50" s="11">
        <v>22000</v>
      </c>
      <c r="F50" s="9" t="s">
        <v>84</v>
      </c>
      <c r="G50" s="9">
        <v>50</v>
      </c>
      <c r="H50" s="9" t="s">
        <v>20</v>
      </c>
      <c r="I50" s="12">
        <v>8950</v>
      </c>
      <c r="K50" s="45"/>
      <c r="L50" s="37">
        <f>G50*K50</f>
        <v>0</v>
      </c>
      <c r="M50" s="12">
        <f t="shared" si="5"/>
        <v>0</v>
      </c>
    </row>
    <row r="51" spans="1:15" ht="45" customHeight="1" x14ac:dyDescent="0.3">
      <c r="A51" s="8">
        <v>6</v>
      </c>
      <c r="B51" s="59">
        <v>8809447256412</v>
      </c>
      <c r="C51" s="10" t="s">
        <v>85</v>
      </c>
      <c r="D51" s="9" t="s">
        <v>83</v>
      </c>
      <c r="E51" s="11">
        <v>33000</v>
      </c>
      <c r="F51" s="9" t="s">
        <v>84</v>
      </c>
      <c r="G51" s="9">
        <v>50</v>
      </c>
      <c r="H51" s="9" t="s">
        <v>20</v>
      </c>
      <c r="I51" s="12">
        <v>13420</v>
      </c>
      <c r="K51" s="45"/>
      <c r="L51" s="37">
        <f>G51*K51</f>
        <v>0</v>
      </c>
      <c r="M51" s="12">
        <f t="shared" si="5"/>
        <v>0</v>
      </c>
    </row>
    <row r="52" spans="1:15" ht="45" customHeight="1" x14ac:dyDescent="0.3">
      <c r="A52" s="8">
        <v>7</v>
      </c>
      <c r="B52" s="59">
        <v>8809447256702</v>
      </c>
      <c r="C52" s="10" t="s">
        <v>86</v>
      </c>
      <c r="D52" s="9" t="s">
        <v>83</v>
      </c>
      <c r="E52" s="11">
        <v>33000</v>
      </c>
      <c r="F52" s="9" t="s">
        <v>84</v>
      </c>
      <c r="G52" s="9">
        <v>50</v>
      </c>
      <c r="H52" s="9" t="s">
        <v>20</v>
      </c>
      <c r="I52" s="12">
        <v>12010</v>
      </c>
      <c r="K52" s="45"/>
      <c r="L52" s="37">
        <f>G52*K52</f>
        <v>0</v>
      </c>
      <c r="M52" s="12">
        <f t="shared" si="5"/>
        <v>0</v>
      </c>
    </row>
    <row r="53" spans="1:15" ht="45" customHeight="1" thickBot="1" x14ac:dyDescent="0.35">
      <c r="A53" s="13">
        <v>8</v>
      </c>
      <c r="B53" s="61">
        <v>8809447257068</v>
      </c>
      <c r="C53" s="15" t="s">
        <v>87</v>
      </c>
      <c r="D53" s="14" t="s">
        <v>83</v>
      </c>
      <c r="E53" s="16">
        <v>29000</v>
      </c>
      <c r="F53" s="14" t="s">
        <v>84</v>
      </c>
      <c r="G53" s="14">
        <v>50</v>
      </c>
      <c r="H53" s="14" t="s">
        <v>20</v>
      </c>
      <c r="I53" s="17">
        <v>8070</v>
      </c>
      <c r="K53" s="45"/>
      <c r="L53" s="37">
        <f>G53*K53</f>
        <v>0</v>
      </c>
      <c r="M53" s="12">
        <f t="shared" si="5"/>
        <v>0</v>
      </c>
    </row>
    <row r="54" spans="1:15" s="2" customFormat="1" ht="28.5" customHeight="1" thickBot="1" x14ac:dyDescent="0.35">
      <c r="A54" s="62" t="s">
        <v>88</v>
      </c>
      <c r="B54" s="63"/>
      <c r="C54" s="63"/>
      <c r="D54" s="63"/>
      <c r="E54" s="63"/>
      <c r="F54" s="63"/>
      <c r="G54" s="63"/>
      <c r="H54" s="63"/>
      <c r="I54" s="64"/>
      <c r="J54" s="23"/>
      <c r="K54" s="43"/>
      <c r="L54" s="27"/>
      <c r="M54" s="28"/>
      <c r="O54" s="1"/>
    </row>
    <row r="55" spans="1:15" ht="45" customHeight="1" x14ac:dyDescent="0.3">
      <c r="A55" s="3">
        <v>1</v>
      </c>
      <c r="B55" s="58">
        <v>8809447255828</v>
      </c>
      <c r="C55" s="5" t="s">
        <v>89</v>
      </c>
      <c r="D55" s="4" t="s">
        <v>90</v>
      </c>
      <c r="E55" s="6">
        <v>25000</v>
      </c>
      <c r="F55" s="4" t="s">
        <v>91</v>
      </c>
      <c r="G55" s="4">
        <v>40</v>
      </c>
      <c r="H55" s="4" t="s">
        <v>26</v>
      </c>
      <c r="I55" s="7">
        <v>9900</v>
      </c>
      <c r="K55" s="45"/>
      <c r="L55" s="37">
        <f>G55*K55</f>
        <v>0</v>
      </c>
      <c r="M55" s="12">
        <f t="shared" si="5"/>
        <v>0</v>
      </c>
    </row>
    <row r="56" spans="1:15" ht="45" customHeight="1" x14ac:dyDescent="0.3">
      <c r="A56" s="8">
        <v>2</v>
      </c>
      <c r="B56" s="59">
        <v>8809447255835</v>
      </c>
      <c r="C56" s="10" t="s">
        <v>92</v>
      </c>
      <c r="D56" s="9" t="s">
        <v>90</v>
      </c>
      <c r="E56" s="11">
        <v>25000</v>
      </c>
      <c r="F56" s="9" t="s">
        <v>91</v>
      </c>
      <c r="G56" s="9">
        <v>40</v>
      </c>
      <c r="H56" s="9" t="s">
        <v>26</v>
      </c>
      <c r="I56" s="12">
        <v>9900</v>
      </c>
      <c r="K56" s="45"/>
      <c r="L56" s="37">
        <f>G56*K56</f>
        <v>0</v>
      </c>
      <c r="M56" s="12">
        <f t="shared" si="5"/>
        <v>0</v>
      </c>
    </row>
    <row r="57" spans="1:15" ht="45" customHeight="1" x14ac:dyDescent="0.3">
      <c r="A57" s="8">
        <v>3</v>
      </c>
      <c r="B57" s="59">
        <v>8809447255972</v>
      </c>
      <c r="C57" s="10" t="s">
        <v>93</v>
      </c>
      <c r="D57" s="9" t="s">
        <v>90</v>
      </c>
      <c r="E57" s="11">
        <v>25000</v>
      </c>
      <c r="F57" s="9" t="s">
        <v>91</v>
      </c>
      <c r="G57" s="9">
        <v>40</v>
      </c>
      <c r="H57" s="9" t="s">
        <v>26</v>
      </c>
      <c r="I57" s="12">
        <v>9900</v>
      </c>
      <c r="K57" s="45"/>
      <c r="L57" s="37">
        <f>G57*K57</f>
        <v>0</v>
      </c>
      <c r="M57" s="12">
        <f t="shared" si="5"/>
        <v>0</v>
      </c>
    </row>
    <row r="58" spans="1:15" ht="45" customHeight="1" x14ac:dyDescent="0.3">
      <c r="A58" s="8">
        <v>4</v>
      </c>
      <c r="B58" s="59">
        <v>8809447255989</v>
      </c>
      <c r="C58" s="10" t="s">
        <v>94</v>
      </c>
      <c r="D58" s="9" t="s">
        <v>90</v>
      </c>
      <c r="E58" s="11">
        <v>25000</v>
      </c>
      <c r="F58" s="9" t="s">
        <v>91</v>
      </c>
      <c r="G58" s="9">
        <v>40</v>
      </c>
      <c r="H58" s="9" t="s">
        <v>26</v>
      </c>
      <c r="I58" s="12">
        <v>9900</v>
      </c>
      <c r="K58" s="45"/>
      <c r="L58" s="37">
        <f>G58*K58</f>
        <v>0</v>
      </c>
      <c r="M58" s="12">
        <f t="shared" si="5"/>
        <v>0</v>
      </c>
    </row>
    <row r="59" spans="1:15" ht="45" customHeight="1" x14ac:dyDescent="0.3">
      <c r="A59" s="8">
        <v>5</v>
      </c>
      <c r="B59" s="59">
        <v>8809447255972</v>
      </c>
      <c r="C59" s="10" t="s">
        <v>93</v>
      </c>
      <c r="D59" s="9" t="s">
        <v>90</v>
      </c>
      <c r="E59" s="11">
        <v>25000</v>
      </c>
      <c r="F59" s="9" t="s">
        <v>91</v>
      </c>
      <c r="G59" s="9">
        <v>40</v>
      </c>
      <c r="H59" s="9" t="s">
        <v>26</v>
      </c>
      <c r="I59" s="12">
        <v>9900</v>
      </c>
      <c r="K59" s="45"/>
      <c r="L59" s="37">
        <f>G59*K59</f>
        <v>0</v>
      </c>
      <c r="M59" s="12">
        <f t="shared" si="5"/>
        <v>0</v>
      </c>
    </row>
    <row r="60" spans="1:15" ht="45" customHeight="1" thickBot="1" x14ac:dyDescent="0.35">
      <c r="A60" s="13">
        <v>6</v>
      </c>
      <c r="B60" s="61">
        <v>8809447255989</v>
      </c>
      <c r="C60" s="15" t="s">
        <v>94</v>
      </c>
      <c r="D60" s="14" t="s">
        <v>90</v>
      </c>
      <c r="E60" s="16">
        <v>25000</v>
      </c>
      <c r="F60" s="14" t="s">
        <v>91</v>
      </c>
      <c r="G60" s="14">
        <v>40</v>
      </c>
      <c r="H60" s="14" t="s">
        <v>26</v>
      </c>
      <c r="I60" s="17">
        <v>9900</v>
      </c>
      <c r="K60" s="45"/>
      <c r="L60" s="37">
        <f>G60*K60</f>
        <v>0</v>
      </c>
      <c r="M60" s="12">
        <f t="shared" si="5"/>
        <v>0</v>
      </c>
    </row>
    <row r="61" spans="1:15" s="2" customFormat="1" ht="29.25" customHeight="1" thickBot="1" x14ac:dyDescent="0.35">
      <c r="A61" s="62" t="s">
        <v>95</v>
      </c>
      <c r="B61" s="63"/>
      <c r="C61" s="63"/>
      <c r="D61" s="63"/>
      <c r="E61" s="63"/>
      <c r="F61" s="63"/>
      <c r="G61" s="63"/>
      <c r="H61" s="63"/>
      <c r="I61" s="64"/>
      <c r="J61" s="23"/>
      <c r="K61" s="43"/>
      <c r="L61" s="27"/>
      <c r="M61" s="28"/>
      <c r="O61" s="1"/>
    </row>
    <row r="62" spans="1:15" ht="45" customHeight="1" x14ac:dyDescent="0.3">
      <c r="A62" s="3">
        <v>1</v>
      </c>
      <c r="B62" s="4" t="s">
        <v>99</v>
      </c>
      <c r="C62" s="5" t="s">
        <v>96</v>
      </c>
      <c r="D62" s="4" t="s">
        <v>97</v>
      </c>
      <c r="E62" s="6">
        <v>35000</v>
      </c>
      <c r="F62" s="4" t="s">
        <v>98</v>
      </c>
      <c r="G62" s="4">
        <v>80</v>
      </c>
      <c r="H62" s="4" t="s">
        <v>47</v>
      </c>
      <c r="I62" s="7">
        <v>14240</v>
      </c>
      <c r="K62" s="45"/>
      <c r="L62" s="37">
        <f>G62*K62</f>
        <v>0</v>
      </c>
      <c r="M62" s="12">
        <f t="shared" si="5"/>
        <v>0</v>
      </c>
    </row>
    <row r="63" spans="1:15" ht="45" customHeight="1" x14ac:dyDescent="0.3">
      <c r="A63" s="8">
        <v>2</v>
      </c>
      <c r="B63" s="9" t="s">
        <v>101</v>
      </c>
      <c r="C63" s="10" t="s">
        <v>100</v>
      </c>
      <c r="D63" s="9" t="s">
        <v>97</v>
      </c>
      <c r="E63" s="11">
        <v>22500</v>
      </c>
      <c r="F63" s="9" t="s">
        <v>98</v>
      </c>
      <c r="G63" s="9">
        <v>80</v>
      </c>
      <c r="H63" s="9" t="s">
        <v>47</v>
      </c>
      <c r="I63" s="12">
        <v>9150</v>
      </c>
      <c r="K63" s="45"/>
      <c r="L63" s="37">
        <f>G63*K63</f>
        <v>0</v>
      </c>
      <c r="M63" s="12">
        <f t="shared" si="5"/>
        <v>0</v>
      </c>
    </row>
    <row r="64" spans="1:15" ht="45" customHeight="1" x14ac:dyDescent="0.3">
      <c r="A64" s="8">
        <v>3</v>
      </c>
      <c r="B64" s="9" t="s">
        <v>103</v>
      </c>
      <c r="C64" s="10" t="s">
        <v>102</v>
      </c>
      <c r="D64" s="9" t="s">
        <v>97</v>
      </c>
      <c r="E64" s="11">
        <v>35000</v>
      </c>
      <c r="F64" s="9" t="s">
        <v>98</v>
      </c>
      <c r="G64" s="9">
        <v>80</v>
      </c>
      <c r="H64" s="9" t="s">
        <v>47</v>
      </c>
      <c r="I64" s="12">
        <v>14240</v>
      </c>
      <c r="K64" s="45"/>
      <c r="L64" s="37">
        <f>G64*K64</f>
        <v>0</v>
      </c>
      <c r="M64" s="12">
        <f t="shared" si="5"/>
        <v>0</v>
      </c>
    </row>
    <row r="65" spans="1:15" ht="45" customHeight="1" x14ac:dyDescent="0.3">
      <c r="A65" s="8">
        <v>4</v>
      </c>
      <c r="B65" s="9" t="s">
        <v>105</v>
      </c>
      <c r="C65" s="10" t="s">
        <v>104</v>
      </c>
      <c r="D65" s="9" t="s">
        <v>97</v>
      </c>
      <c r="E65" s="11">
        <v>22500</v>
      </c>
      <c r="F65" s="9" t="s">
        <v>98</v>
      </c>
      <c r="G65" s="9">
        <v>80</v>
      </c>
      <c r="H65" s="9" t="s">
        <v>47</v>
      </c>
      <c r="I65" s="12">
        <v>9150</v>
      </c>
      <c r="K65" s="45"/>
      <c r="L65" s="37">
        <f>G65*K65</f>
        <v>0</v>
      </c>
      <c r="M65" s="12">
        <f t="shared" si="5"/>
        <v>0</v>
      </c>
    </row>
    <row r="66" spans="1:15" ht="45" customHeight="1" x14ac:dyDescent="0.3">
      <c r="A66" s="8">
        <v>5</v>
      </c>
      <c r="B66" s="9" t="s">
        <v>108</v>
      </c>
      <c r="C66" s="10" t="s">
        <v>106</v>
      </c>
      <c r="D66" s="9" t="s">
        <v>107</v>
      </c>
      <c r="E66" s="11">
        <v>32000</v>
      </c>
      <c r="F66" s="9" t="s">
        <v>98</v>
      </c>
      <c r="G66" s="9">
        <v>80</v>
      </c>
      <c r="H66" s="9" t="s">
        <v>47</v>
      </c>
      <c r="I66" s="12">
        <v>16440</v>
      </c>
      <c r="K66" s="45"/>
      <c r="L66" s="37">
        <f>G66*K66</f>
        <v>0</v>
      </c>
      <c r="M66" s="12">
        <f t="shared" si="5"/>
        <v>0</v>
      </c>
    </row>
    <row r="67" spans="1:15" ht="45" customHeight="1" thickBot="1" x14ac:dyDescent="0.35">
      <c r="A67" s="13">
        <v>6</v>
      </c>
      <c r="B67" s="14" t="s">
        <v>111</v>
      </c>
      <c r="C67" s="15" t="s">
        <v>109</v>
      </c>
      <c r="D67" s="14" t="s">
        <v>107</v>
      </c>
      <c r="E67" s="16">
        <v>22500</v>
      </c>
      <c r="F67" s="14" t="s">
        <v>110</v>
      </c>
      <c r="G67" s="14">
        <v>70</v>
      </c>
      <c r="H67" s="14" t="s">
        <v>47</v>
      </c>
      <c r="I67" s="17">
        <v>11560</v>
      </c>
      <c r="K67" s="47"/>
      <c r="L67" s="39">
        <f>G67*K67</f>
        <v>0</v>
      </c>
      <c r="M67" s="18">
        <f t="shared" si="5"/>
        <v>0</v>
      </c>
    </row>
    <row r="68" spans="1:15" s="2" customFormat="1" ht="27.75" customHeight="1" thickBot="1" x14ac:dyDescent="0.35">
      <c r="A68" s="62" t="s">
        <v>112</v>
      </c>
      <c r="B68" s="63"/>
      <c r="C68" s="63"/>
      <c r="D68" s="63"/>
      <c r="E68" s="63"/>
      <c r="F68" s="63"/>
      <c r="G68" s="63"/>
      <c r="H68" s="63"/>
      <c r="I68" s="64"/>
      <c r="J68" s="23"/>
      <c r="K68" s="43"/>
      <c r="L68" s="27"/>
      <c r="M68" s="28"/>
      <c r="O68" s="1"/>
    </row>
    <row r="69" spans="1:15" ht="45" customHeight="1" x14ac:dyDescent="0.3">
      <c r="A69" s="3">
        <v>1</v>
      </c>
      <c r="B69" s="58">
        <v>8809447255033</v>
      </c>
      <c r="C69" s="5" t="s">
        <v>113</v>
      </c>
      <c r="D69" s="4" t="s">
        <v>114</v>
      </c>
      <c r="E69" s="6">
        <v>13000</v>
      </c>
      <c r="F69" s="4" t="s">
        <v>115</v>
      </c>
      <c r="G69" s="4">
        <v>120</v>
      </c>
      <c r="H69" s="4" t="s">
        <v>47</v>
      </c>
      <c r="I69" s="7">
        <v>5430</v>
      </c>
      <c r="K69" s="48"/>
      <c r="L69" s="40">
        <f>G69*K69</f>
        <v>0</v>
      </c>
      <c r="M69" s="19">
        <f t="shared" si="5"/>
        <v>0</v>
      </c>
    </row>
    <row r="70" spans="1:15" ht="45" customHeight="1" thickBot="1" x14ac:dyDescent="0.35">
      <c r="A70" s="13">
        <v>2</v>
      </c>
      <c r="B70" s="61">
        <v>8809447253824</v>
      </c>
      <c r="C70" s="15" t="s">
        <v>116</v>
      </c>
      <c r="D70" s="14" t="s">
        <v>117</v>
      </c>
      <c r="E70" s="16">
        <v>16000</v>
      </c>
      <c r="F70" s="14" t="s">
        <v>118</v>
      </c>
      <c r="G70" s="14">
        <v>500</v>
      </c>
      <c r="H70" s="14" t="s">
        <v>47</v>
      </c>
      <c r="I70" s="17">
        <v>5480</v>
      </c>
      <c r="K70" s="49"/>
      <c r="L70" s="38">
        <f>G70*K70</f>
        <v>0</v>
      </c>
      <c r="M70" s="17">
        <f t="shared" si="5"/>
        <v>0</v>
      </c>
    </row>
  </sheetData>
  <mergeCells count="5">
    <mergeCell ref="A2:I2"/>
    <mergeCell ref="F3:G3"/>
    <mergeCell ref="A4:I4"/>
    <mergeCell ref="A1:D1"/>
    <mergeCell ref="E1:N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H.S Song</cp:lastModifiedBy>
  <dcterms:created xsi:type="dcterms:W3CDTF">2026-06-15T07:46:05Z</dcterms:created>
  <dcterms:modified xsi:type="dcterms:W3CDTF">2026-06-16T07:12:34Z</dcterms:modified>
</cp:coreProperties>
</file>
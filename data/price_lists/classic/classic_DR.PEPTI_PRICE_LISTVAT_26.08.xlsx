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가격표\DR.PEPTI\매출\"/>
    </mc:Choice>
  </mc:AlternateContent>
  <xr:revisionPtr revIDLastSave="0" documentId="8_{AB847559-B741-45F0-84F3-749AEE286938}" xr6:coauthVersionLast="45" xr6:coauthVersionMax="45" xr10:uidLastSave="{00000000-0000-0000-0000-000000000000}"/>
  <bookViews>
    <workbookView xWindow="-120" yWindow="-120" windowWidth="29040" windowHeight="15720" tabRatio="580" xr2:uid="{00000000-000D-0000-FFFF-FFFF00000000}"/>
  </bookViews>
  <sheets>
    <sheet name="국문" sheetId="7" r:id="rId1"/>
    <sheet name="English" sheetId="8" state="hidden" r:id="rId2"/>
  </sheets>
  <definedNames>
    <definedName name="_xlnm._FilterDatabase" localSheetId="1" hidden="1">English!$B$9:$J$42</definedName>
    <definedName name="_xlnm._FilterDatabase" localSheetId="0" hidden="1">국문!$A$3:$I$43</definedName>
    <definedName name="_xlnm.Print_Area" localSheetId="1">English!$B$2:$J$48</definedName>
    <definedName name="_xlnm.Print_Area" localSheetId="0">국문!$A$3:$K$43</definedName>
  </definedNames>
  <calcPr calcId="191029"/>
</workbook>
</file>

<file path=xl/calcChain.xml><?xml version="1.0" encoding="utf-8"?>
<calcChain xmlns="http://schemas.openxmlformats.org/spreadsheetml/2006/main">
  <c r="F42" i="8" l="1"/>
  <c r="H40" i="8" l="1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I10" i="8" l="1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2" i="8" l="1"/>
  <c r="H7" i="8" s="1"/>
</calcChain>
</file>

<file path=xl/sharedStrings.xml><?xml version="1.0" encoding="utf-8"?>
<sst xmlns="http://schemas.openxmlformats.org/spreadsheetml/2006/main" count="266" uniqueCount="249">
  <si>
    <t>(</t>
  </si>
  <si>
    <t>000012</t>
  </si>
  <si>
    <t>000038</t>
  </si>
  <si>
    <t>000097</t>
  </si>
  <si>
    <t>000096</t>
  </si>
  <si>
    <t>000005</t>
  </si>
  <si>
    <t>000114</t>
    <phoneticPr fontId="23" type="noConversion"/>
  </si>
  <si>
    <t>000580</t>
  </si>
  <si>
    <t>000572</t>
  </si>
  <si>
    <t>000571</t>
  </si>
  <si>
    <t>000583</t>
  </si>
  <si>
    <t>000595</t>
    <phoneticPr fontId="15" type="noConversion"/>
  </si>
  <si>
    <t>000602</t>
    <phoneticPr fontId="15" type="noConversion"/>
  </si>
  <si>
    <t>000603</t>
    <phoneticPr fontId="15" type="noConversion"/>
  </si>
  <si>
    <t>비 고</t>
    <phoneticPr fontId="15" type="noConversion"/>
  </si>
  <si>
    <t>000605</t>
    <phoneticPr fontId="15" type="noConversion"/>
  </si>
  <si>
    <t>000606</t>
  </si>
  <si>
    <t>000592</t>
    <phoneticPr fontId="15" type="noConversion"/>
  </si>
  <si>
    <t>000609</t>
  </si>
  <si>
    <t>000608</t>
  </si>
  <si>
    <t>000607</t>
    <phoneticPr fontId="23" type="noConversion"/>
  </si>
  <si>
    <t>000610</t>
    <phoneticPr fontId="15" type="noConversion"/>
  </si>
  <si>
    <t>000611</t>
    <phoneticPr fontId="15" type="noConversion"/>
  </si>
  <si>
    <t>000612</t>
  </si>
  <si>
    <t>000620</t>
  </si>
  <si>
    <t>000810</t>
  </si>
  <si>
    <t>000811</t>
  </si>
  <si>
    <t>000613</t>
  </si>
  <si>
    <t>000621</t>
  </si>
  <si>
    <t>000623</t>
  </si>
  <si>
    <t>000624</t>
    <phoneticPr fontId="15" type="noConversion"/>
  </si>
  <si>
    <t>000036</t>
  </si>
  <si>
    <t>000615</t>
  </si>
  <si>
    <t>DR.PEPTI Galacto Cleansing Foam 110ml</t>
  </si>
  <si>
    <t>DR.PEPTI Herb Natural Peeling Gel 130ml</t>
  </si>
  <si>
    <t>DR.PEPTI Amino 100K Premium Shampoo 500g</t>
  </si>
  <si>
    <t>DR.PEPTI Amino 100K Premium Treatment 200ml</t>
  </si>
  <si>
    <t>DR.PEPTI Silk Peptide 88 Cream EX 88g</t>
  </si>
  <si>
    <t>DR.PEPTI Silk Peptide 88 Cream EX 12g</t>
  </si>
  <si>
    <t>DR.PEPTI Soothing Boost Up Mask (5sheets)</t>
  </si>
  <si>
    <t>DR.PEPTI Peptide Volume Master Essence 105ml</t>
  </si>
  <si>
    <t>DR.PEPTI Peptide Volume Master Essence 50ml</t>
  </si>
  <si>
    <t>DR.PEPTI Centella Dark Spot Solution Ampoule 30ml</t>
  </si>
  <si>
    <t>DR.PEPTI Centella Moist Soothing Gel Cream 70ml</t>
  </si>
  <si>
    <t>DR.PEPTI Peptide Volume Signature Start-Up Cream SPF50+ PA+++ 35ml</t>
  </si>
  <si>
    <t>DR.PEPTI CENTELLA PURE GEL CLEANSER 200ml</t>
  </si>
  <si>
    <t>DR.PEPTI Peptide Volume Botul-Pep Wrinkle Ampoule 30ml</t>
  </si>
  <si>
    <t>DR.PEPTI CENTELLA TURNOVER SOFT PEELING GEL 30ml</t>
  </si>
  <si>
    <t>DR.PEPTI CENTELLA TRIAL KIT</t>
  </si>
  <si>
    <t>DR.PEPTI HERB BLENDING CLEANSING FOAM 110ml</t>
  </si>
  <si>
    <t>DR.PEPTI CENTELLA RELIEF COVER CUSHION SPF50+ PA++++</t>
  </si>
  <si>
    <t>DR.PEPTI PEPTIDE VOLUME NECK CREAM 120ml</t>
  </si>
  <si>
    <t>DR.PEPTI PEPTIDE VOLUME MASTER TONER 155ml</t>
  </si>
  <si>
    <t>DR.PEPTI UV PLUS TONE-UP SUNSCREEN 50ml</t>
  </si>
  <si>
    <t>DR.PEPTI Intensive Cream 100ml</t>
  </si>
  <si>
    <t>DR.PEPTI EXO BIOME MASK 28ml x 5ea</t>
  </si>
  <si>
    <t>DR.PEPTI PEPTIDE VOLUME SILK LAYER CREAM 60ml</t>
  </si>
  <si>
    <t>DR.PEPTI PEPTIDE VOLUME RENEW STELLIGHT EYE CREAM 15ml</t>
  </si>
  <si>
    <t>DR.PEPTI PEPTIDE VOLUME LIFTING PRO ESSENCE 30ml</t>
  </si>
  <si>
    <t>DR.PEPTI PEPTIDE VOLUME LIFTING PRO ESSENCE 100ml</t>
  </si>
  <si>
    <t>DR.PEPTI ESSENTIAL LUMINOUS TREATMENT 160ml</t>
  </si>
  <si>
    <t>CENTELLA DEEP CLEAN CLEANSING WATER 400ml</t>
  </si>
  <si>
    <t>DR.PEPTI CENTELLA TONER EX 180ml</t>
  </si>
  <si>
    <t>DR.PEPTI EXO BIOME AMPOULE 50ml</t>
  </si>
  <si>
    <t>TOTAL</t>
    <phoneticPr fontId="15" type="noConversion"/>
  </si>
  <si>
    <t>TOTAL AMOUNT</t>
    <phoneticPr fontId="15" type="noConversion"/>
  </si>
  <si>
    <t>PURCHASE ORDER</t>
    <phoneticPr fontId="15" type="noConversion"/>
  </si>
  <si>
    <t>B
U
Y
E
R</t>
    <phoneticPr fontId="15" type="noConversion"/>
  </si>
  <si>
    <t>Company Name</t>
    <phoneticPr fontId="15" type="noConversion"/>
  </si>
  <si>
    <t>Address</t>
    <phoneticPr fontId="15" type="noConversion"/>
  </si>
  <si>
    <t>Contact</t>
    <phoneticPr fontId="15" type="noConversion"/>
  </si>
  <si>
    <t>Date of Order</t>
    <phoneticPr fontId="15" type="noConversion"/>
  </si>
  <si>
    <t>Name</t>
    <phoneticPr fontId="15" type="noConversion"/>
  </si>
  <si>
    <t>Product
Code</t>
    <phoneticPr fontId="15" type="noConversion"/>
  </si>
  <si>
    <t>Product Name</t>
    <phoneticPr fontId="15" type="noConversion"/>
  </si>
  <si>
    <t>Outer Box
Qty'</t>
    <phoneticPr fontId="15" type="noConversion"/>
  </si>
  <si>
    <t>Price
Rate</t>
    <phoneticPr fontId="15" type="noConversion"/>
  </si>
  <si>
    <t>Order
Qty'</t>
    <phoneticPr fontId="15" type="noConversion"/>
  </si>
  <si>
    <t>Retail
Price</t>
    <phoneticPr fontId="4" type="noConversion"/>
  </si>
  <si>
    <t>)</t>
    <phoneticPr fontId="15" type="noConversion"/>
  </si>
  <si>
    <t>Unit Price</t>
    <phoneticPr fontId="4" type="noConversion"/>
  </si>
  <si>
    <t>Total
Price</t>
    <phoneticPr fontId="4" type="noConversion"/>
  </si>
  <si>
    <t>Remark</t>
    <phoneticPr fontId="15" type="noConversion"/>
  </si>
  <si>
    <t>※ Delivery Information</t>
    <phoneticPr fontId="4" type="noConversion"/>
  </si>
  <si>
    <t>※ Remittance Information</t>
    <phoneticPr fontId="15" type="noConversion"/>
  </si>
  <si>
    <t>Account Holder</t>
    <phoneticPr fontId="15" type="noConversion"/>
  </si>
  <si>
    <t>제이앤코슈</t>
    <phoneticPr fontId="15" type="noConversion"/>
  </si>
  <si>
    <t>Bank</t>
    <phoneticPr fontId="15" type="noConversion"/>
  </si>
  <si>
    <t>IBK기업은행</t>
    <phoneticPr fontId="15" type="noConversion"/>
  </si>
  <si>
    <t>Account Number</t>
    <phoneticPr fontId="15" type="noConversion"/>
  </si>
  <si>
    <t>151-129054-01-028</t>
    <phoneticPr fontId="15" type="noConversion"/>
  </si>
  <si>
    <t>Date of
Payment</t>
    <phoneticPr fontId="15" type="noConversion"/>
  </si>
  <si>
    <t>000630</t>
  </si>
  <si>
    <t>000627</t>
  </si>
  <si>
    <t>000592</t>
  </si>
  <si>
    <t>000607</t>
  </si>
  <si>
    <t>펩타이드 볼륨 마스터 에센스 105ml</t>
  </si>
  <si>
    <t>펩타이드 볼륨 마스터 에센스 50ml</t>
  </si>
  <si>
    <t>펩타이드 볼륨 리프팅 프로 에센스 100ml</t>
  </si>
  <si>
    <t>펩타이드 볼륨 리프팅 프로 에센스 30ml</t>
  </si>
  <si>
    <t>펩타이드 볼륨 워터 글로우 세럼 50ml</t>
    <phoneticPr fontId="15" type="noConversion"/>
  </si>
  <si>
    <t>펩타이드 스피큘 포어 솔루션 세럼 50ml</t>
    <phoneticPr fontId="15" type="noConversion"/>
  </si>
  <si>
    <t>펩타이드 볼륨 넥 크림 120ml</t>
    <phoneticPr fontId="15" type="noConversion"/>
  </si>
  <si>
    <t>펩타이드 볼륨 마스터 토너 155ml</t>
    <phoneticPr fontId="15" type="noConversion"/>
  </si>
  <si>
    <t>펩타이드 볼륨 시그니처 스타트 업 크림 SPF50+ PA+++ 35ml</t>
    <phoneticPr fontId="15" type="noConversion"/>
  </si>
  <si>
    <t xml:space="preserve">펩타이드 볼륨 리뉴 스텔라이트 아이크림 15ml </t>
    <phoneticPr fontId="15" type="noConversion"/>
  </si>
  <si>
    <t>센텔라 토너 EX 180ml</t>
    <phoneticPr fontId="15" type="noConversion"/>
  </si>
  <si>
    <t xml:space="preserve">센텔라 다크 스팟 솔루션 앰플 프로30ml </t>
    <phoneticPr fontId="15" type="noConversion"/>
  </si>
  <si>
    <t>센텔라 딥 클린 클렌징 워터 400ml</t>
    <phoneticPr fontId="15" type="noConversion"/>
  </si>
  <si>
    <t>센텔라 모이스트 수딩 젤 크림 EX 70ml</t>
    <phoneticPr fontId="15" type="noConversion"/>
  </si>
  <si>
    <t>센텔라 퓨어 젤 클렌져 200ml</t>
    <phoneticPr fontId="15" type="noConversion"/>
  </si>
  <si>
    <t>센텔라 턴오버 소프트 필링 젤 30ml</t>
    <phoneticPr fontId="15" type="noConversion"/>
  </si>
  <si>
    <t>아미노 100K 프리미엄 샴푸 500g</t>
    <phoneticPr fontId="15" type="noConversion"/>
  </si>
  <si>
    <t>아미노 100K 프리미엄 트리트먼트 200ml</t>
    <phoneticPr fontId="15" type="noConversion"/>
  </si>
  <si>
    <t>엑소 바이옴 마스크 5매입</t>
    <phoneticPr fontId="15" type="noConversion"/>
  </si>
  <si>
    <t>수딩 부스트 업 마스크 5매입</t>
    <phoneticPr fontId="15" type="noConversion"/>
  </si>
  <si>
    <t>엑소 바이옴 앰플 50ml</t>
    <phoneticPr fontId="15" type="noConversion"/>
  </si>
  <si>
    <t>펩타이드 볼륨 보툴-펩 링클 앰플 30ml</t>
    <phoneticPr fontId="15" type="noConversion"/>
  </si>
  <si>
    <t>인텐시브 크림 100ml</t>
    <phoneticPr fontId="15" type="noConversion"/>
  </si>
  <si>
    <t>갈락토 클렌징 폼 110ml</t>
    <phoneticPr fontId="15" type="noConversion"/>
  </si>
  <si>
    <t>허브 내추럴 필링 젤 130ml</t>
    <phoneticPr fontId="15" type="noConversion"/>
  </si>
  <si>
    <t>허브 블렌딩 클렌징 폼 110ml</t>
    <phoneticPr fontId="15" type="noConversion"/>
  </si>
  <si>
    <t>유브이 플러스 톤업 선스크린 50ml</t>
    <phoneticPr fontId="15" type="noConversion"/>
  </si>
  <si>
    <t>000632</t>
    <phoneticPr fontId="15" type="noConversion"/>
  </si>
  <si>
    <t>아미노 100K 실키 헤어 프라이머</t>
    <phoneticPr fontId="15" type="noConversion"/>
  </si>
  <si>
    <t>000634</t>
    <phoneticPr fontId="15" type="noConversion"/>
  </si>
  <si>
    <t>센텔라 턴오버 소프트 필링 젤 100ml</t>
    <phoneticPr fontId="15" type="noConversion"/>
  </si>
  <si>
    <t>000633</t>
    <phoneticPr fontId="15" type="noConversion"/>
  </si>
  <si>
    <t>하이드라 펩타이드 모이스처 크림 75ml</t>
    <phoneticPr fontId="15" type="noConversion"/>
  </si>
  <si>
    <t>000612</t>
    <phoneticPr fontId="15" type="noConversion"/>
  </si>
  <si>
    <t>000628</t>
    <phoneticPr fontId="15" type="noConversion"/>
  </si>
  <si>
    <t>000631</t>
    <phoneticPr fontId="15" type="noConversion"/>
  </si>
  <si>
    <t>센텔라 티트리 모델링 마스크</t>
    <phoneticPr fontId="15" type="noConversion"/>
  </si>
  <si>
    <t>센텔라 티트리 모델링 마스크 (리필)</t>
    <phoneticPr fontId="15" type="noConversion"/>
  </si>
  <si>
    <t>000810</t>
    <phoneticPr fontId="15" type="noConversion"/>
  </si>
  <si>
    <t>000811</t>
    <phoneticPr fontId="15" type="noConversion"/>
  </si>
  <si>
    <t>000613</t>
    <phoneticPr fontId="15" type="noConversion"/>
  </si>
  <si>
    <t>000114</t>
    <phoneticPr fontId="15" type="noConversion"/>
  </si>
  <si>
    <t>000005</t>
    <phoneticPr fontId="15" type="noConversion"/>
  </si>
  <si>
    <t>000096</t>
    <phoneticPr fontId="15" type="noConversion"/>
  </si>
  <si>
    <t>실크펩타이드 88크림 EX 88g</t>
    <phoneticPr fontId="15" type="noConversion"/>
  </si>
  <si>
    <t>000097</t>
    <phoneticPr fontId="15" type="noConversion"/>
  </si>
  <si>
    <t>실크펩타이드 88크림 EX 12g</t>
    <phoneticPr fontId="15" type="noConversion"/>
  </si>
  <si>
    <t>000012</t>
    <phoneticPr fontId="15" type="noConversion"/>
  </si>
  <si>
    <t>000038</t>
    <phoneticPr fontId="15" type="noConversion"/>
  </si>
  <si>
    <t>000036</t>
    <phoneticPr fontId="15" type="noConversion"/>
  </si>
  <si>
    <t>000629</t>
    <phoneticPr fontId="15" type="noConversion"/>
  </si>
  <si>
    <t>세라믹 멀티 괄사</t>
    <phoneticPr fontId="15" type="noConversion"/>
  </si>
  <si>
    <t>000646</t>
    <phoneticPr fontId="15" type="noConversion"/>
  </si>
  <si>
    <t>000641</t>
  </si>
  <si>
    <t>000638</t>
  </si>
  <si>
    <t>유브이 플러스 모이스트업 선스크린 50ml</t>
  </si>
  <si>
    <t>000642</t>
  </si>
  <si>
    <t>닥터펩티 펩타이드 유브이 핸드세럼 [30ml]</t>
  </si>
  <si>
    <t>000640</t>
  </si>
  <si>
    <t>워터 글로우 랩핑 마스크 60ml</t>
  </si>
  <si>
    <t>바코드</t>
    <phoneticPr fontId="15" type="noConversion"/>
  </si>
  <si>
    <t>카튼무게
(kg)</t>
    <phoneticPr fontId="15" type="noConversion"/>
  </si>
  <si>
    <t>000637</t>
    <phoneticPr fontId="15" type="noConversion"/>
  </si>
  <si>
    <t>000636</t>
    <phoneticPr fontId="15" type="noConversion"/>
  </si>
  <si>
    <t xml:space="preserve"> 555*285*185</t>
  </si>
  <si>
    <t xml:space="preserve"> 390*255*290</t>
  </si>
  <si>
    <t>385*330*210</t>
  </si>
  <si>
    <t>385*285*265</t>
  </si>
  <si>
    <t>430*310*180</t>
  </si>
  <si>
    <t>480*385*160</t>
  </si>
  <si>
    <t>520*365*220</t>
  </si>
  <si>
    <t>640*250*230</t>
  </si>
  <si>
    <t xml:space="preserve">  515*350*190</t>
  </si>
  <si>
    <t xml:space="preserve"> 365*360*170</t>
  </si>
  <si>
    <t>555*210*190</t>
  </si>
  <si>
    <t>495*265*210</t>
  </si>
  <si>
    <t xml:space="preserve"> 390*210*160</t>
  </si>
  <si>
    <t>350*285*195</t>
  </si>
  <si>
    <t>380*315*230</t>
  </si>
  <si>
    <t xml:space="preserve">  510*325*235</t>
  </si>
  <si>
    <t>495*410*185</t>
  </si>
  <si>
    <t xml:space="preserve">  385*330*280</t>
  </si>
  <si>
    <t>420*355*170</t>
  </si>
  <si>
    <t>505*420*280</t>
  </si>
  <si>
    <t>410*330*330</t>
  </si>
  <si>
    <t>390*340*185</t>
  </si>
  <si>
    <t xml:space="preserve"> 430*305*210</t>
  </si>
  <si>
    <t xml:space="preserve"> 435*350*220</t>
  </si>
  <si>
    <t>500*265*165</t>
  </si>
  <si>
    <t xml:space="preserve">  465*390*210</t>
  </si>
  <si>
    <t>420*345*140</t>
  </si>
  <si>
    <t xml:space="preserve"> 510*425*200</t>
  </si>
  <si>
    <t xml:space="preserve"> 410*220*130</t>
  </si>
  <si>
    <t>440*330*220</t>
  </si>
  <si>
    <t xml:space="preserve"> 450*335*210</t>
  </si>
  <si>
    <t>490*250*150</t>
  </si>
  <si>
    <t xml:space="preserve">   450*350*190</t>
  </si>
  <si>
    <t xml:space="preserve">  430*295*215</t>
  </si>
  <si>
    <t>430*290*200</t>
  </si>
  <si>
    <t>440*360*200</t>
  </si>
  <si>
    <t>430*350*180</t>
  </si>
  <si>
    <t>410*295*100</t>
  </si>
  <si>
    <t>420*280*145</t>
  </si>
  <si>
    <t>440*290*210</t>
  </si>
  <si>
    <t>카튼 사이즈
(mm)</t>
    <phoneticPr fontId="15" type="noConversion"/>
  </si>
  <si>
    <t>PRODUCT CODE</t>
    <phoneticPr fontId="15" type="noConversion"/>
  </si>
  <si>
    <t>PCS(CT)</t>
    <phoneticPr fontId="15" type="noConversion"/>
  </si>
  <si>
    <t>MSRP</t>
    <phoneticPr fontId="4" type="noConversion"/>
  </si>
  <si>
    <t>PRICE(-VAT)</t>
    <phoneticPr fontId="4" type="noConversion"/>
  </si>
  <si>
    <t>PEPTIDE VOLUME MASTER ESSENCE 105ml</t>
    <phoneticPr fontId="15" type="noConversion"/>
  </si>
  <si>
    <t>PEPTIDE VOLUME MASTER ESSENCE 50ml</t>
    <phoneticPr fontId="15" type="noConversion"/>
  </si>
  <si>
    <t>PEPTIDE VOLUME LIFTING PRO ESSENCE 100ml</t>
    <phoneticPr fontId="15" type="noConversion"/>
  </si>
  <si>
    <t>PEPTIDE VOLUME LIFTING PRO ESSENCE 30ml</t>
    <phoneticPr fontId="15" type="noConversion"/>
  </si>
  <si>
    <t>PEPTIDE VOLUME WATER GLOW SERUM 50ml</t>
    <phoneticPr fontId="15" type="noConversion"/>
  </si>
  <si>
    <t>PEPTIDE SPICULE PORE SOLUTION SERUM 50ml</t>
    <phoneticPr fontId="15" type="noConversion"/>
  </si>
  <si>
    <t>PEPTIDE VOLUME NECK CREAM 120ml</t>
    <phoneticPr fontId="15" type="noConversion"/>
  </si>
  <si>
    <t>PEPTIDE VOLUME MASTER TONER 155ml</t>
    <phoneticPr fontId="15" type="noConversion"/>
  </si>
  <si>
    <t>PEPTIDE VOLUME SIGNATURE START-UP CREAM SPF50+ PA+++ 35ml</t>
    <phoneticPr fontId="15" type="noConversion"/>
  </si>
  <si>
    <t>PEPTIDE VOLUME RENEW STELLIGHT EYE CREAM 15ml</t>
    <phoneticPr fontId="15" type="noConversion"/>
  </si>
  <si>
    <t>HYDRA PEPTIDE MOISTURE CREAM 75ml</t>
    <phoneticPr fontId="15" type="noConversion"/>
  </si>
  <si>
    <t>CENTELLA TONER EX 180ml</t>
    <phoneticPr fontId="15" type="noConversion"/>
  </si>
  <si>
    <t>CENTELLA DARK SPOT SOLUTION AMPOULE PRO 30ml</t>
    <phoneticPr fontId="15" type="noConversion"/>
  </si>
  <si>
    <t>CENTELLA DEEP CLEAN CLEANSING WATER 400ml</t>
    <phoneticPr fontId="15" type="noConversion"/>
  </si>
  <si>
    <t>CENTELLA MOIST SOOTHING GEL CREAM EX 70ml</t>
    <phoneticPr fontId="15" type="noConversion"/>
  </si>
  <si>
    <t>CENTELLA PURE GEL CLEANSER 200ml</t>
    <phoneticPr fontId="15" type="noConversion"/>
  </si>
  <si>
    <t>CENTELLA TURNOVER SOFT PEELING GEL 100ml</t>
    <phoneticPr fontId="15" type="noConversion"/>
  </si>
  <si>
    <t>CENTELLA TURNOVER SOFT PEELING GEL 50ml</t>
    <phoneticPr fontId="15" type="noConversion"/>
  </si>
  <si>
    <t>닥터펩티 센텔라 릴리프 워터 쿠션 SPF 50+ PA++++ [14g]</t>
    <phoneticPr fontId="15" type="noConversion"/>
  </si>
  <si>
    <t>CENTELLA RELIEF WATER CUSHION SPF 50+ PA++++ [14g]</t>
    <phoneticPr fontId="15" type="noConversion"/>
  </si>
  <si>
    <t>CENTELLA TEA TREE MODELING MASK</t>
    <phoneticPr fontId="15" type="noConversion"/>
  </si>
  <si>
    <t>CENTELLA TEA TREE MODELING MASK (refill)</t>
    <phoneticPr fontId="15" type="noConversion"/>
  </si>
  <si>
    <t>WATER GLOW WRAPPING MASK 60ml</t>
    <phoneticPr fontId="15" type="noConversion"/>
  </si>
  <si>
    <t>AMINO 100K PREMIUM SHAMPOO 500g</t>
    <phoneticPr fontId="15" type="noConversion"/>
  </si>
  <si>
    <t>AMINO 100K PREMIUM TREATMENT 200ml</t>
    <phoneticPr fontId="15" type="noConversion"/>
  </si>
  <si>
    <t>AMINO 100K SILKY HAIR PRIMER 100ml</t>
    <phoneticPr fontId="15" type="noConversion"/>
  </si>
  <si>
    <t>EXO BIOME AMPOULE 50ml</t>
    <phoneticPr fontId="15" type="noConversion"/>
  </si>
  <si>
    <t>EXO BIOME MASK (28ml/*5sheets)</t>
    <phoneticPr fontId="15" type="noConversion"/>
  </si>
  <si>
    <t>SOOTHING BOOST-UP MASK (25ml / 5sheets)</t>
    <phoneticPr fontId="15" type="noConversion"/>
  </si>
  <si>
    <t>PEPTIDE VOLUME BOTUL-PEP WRINKLE AMPOULE 30ml</t>
    <phoneticPr fontId="15" type="noConversion"/>
  </si>
  <si>
    <t>INTENSIVE CREAM 100ml</t>
    <phoneticPr fontId="15" type="noConversion"/>
  </si>
  <si>
    <t>SILK PEPTIDE 88 CREAM EX 88g</t>
    <phoneticPr fontId="15" type="noConversion"/>
  </si>
  <si>
    <t>SILK PEPTIDE 88 CREAM EX 12g</t>
    <phoneticPr fontId="15" type="noConversion"/>
  </si>
  <si>
    <t>GALACTO CLEANSING FOAM 110ml</t>
    <phoneticPr fontId="15" type="noConversion"/>
  </si>
  <si>
    <t>HERB NATURAL PEELING GEL 130ml</t>
    <phoneticPr fontId="15" type="noConversion"/>
  </si>
  <si>
    <t>HERB BLENDING CLEANSING FOAM 110ml</t>
    <phoneticPr fontId="15" type="noConversion"/>
  </si>
  <si>
    <t>UV PLUS MOIST-UP SUSCREEN 50ml</t>
    <phoneticPr fontId="15" type="noConversion"/>
  </si>
  <si>
    <t>UV PLUS TONE-UP SUSCREEN 50ml</t>
    <phoneticPr fontId="15" type="noConversion"/>
  </si>
  <si>
    <t>PEPTIDE UV HAND SERUM 30ml</t>
    <phoneticPr fontId="15" type="noConversion"/>
  </si>
  <si>
    <t>CERAMIC MULTY GUA SHA</t>
    <phoneticPr fontId="15" type="noConversion"/>
  </si>
  <si>
    <t>EXO BIOME EYE CREAM 15ml</t>
    <phoneticPr fontId="15" type="noConversion"/>
  </si>
  <si>
    <t>닥터펩티 엑소 바이옴 아이크림 15ml</t>
    <phoneticPr fontId="15" type="noConversion"/>
  </si>
  <si>
    <t>PRODUCT NAME (KO.)</t>
    <phoneticPr fontId="15" type="noConversion"/>
  </si>
  <si>
    <t>PRODUCT NAME (EN.)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</si>
</sst>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[$-409]d&quot;-&quot;mmm&quot;-&quot;yy;@"/>
    <numFmt numFmtId="177" formatCode="_-* #,##0.00_-;\-* #,##0.00_-;_-* &quot;-&quot;_-;_-@_-"/>
    <numFmt numFmtId="178" formatCode="0_ "/>
  </numFmts>
  <fonts count="28" x14ac:knownFonts="1">
    <font>
      <sz val="11"/>
      <color theme="1"/>
      <name val="맑은 고딕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28"/>
      <color theme="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indexed="64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0">
    <xf numFmtId="0" fontId="0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25" fillId="0" borderId="0"/>
    <xf numFmtId="41" fontId="25" fillId="0" borderId="0" applyFont="0" applyFill="0" applyBorder="0" applyAlignment="0" applyProtection="0"/>
    <xf numFmtId="0" fontId="25" fillId="0" borderId="0"/>
    <xf numFmtId="41" fontId="2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41" fontId="25" fillId="0" borderId="0" applyFont="0" applyFill="0" applyBorder="0" applyAlignment="0" applyProtection="0"/>
    <xf numFmtId="0" fontId="1" fillId="9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4">
    <xf numFmtId="0" fontId="0" fillId="0" borderId="0" xfId="0">
      <alignment vertical="center"/>
    </xf>
    <xf numFmtId="41" fontId="9" fillId="7" borderId="27" xfId="2" applyFont="1" applyFill="1" applyBorder="1" applyAlignment="1">
      <alignment horizontal="center" vertical="center" wrapText="1"/>
    </xf>
    <xf numFmtId="42" fontId="22" fillId="0" borderId="12" xfId="2" applyNumberFormat="1" applyFont="1" applyFill="1" applyBorder="1" applyAlignment="1">
      <alignment horizontal="center" vertical="center" wrapText="1"/>
    </xf>
    <xf numFmtId="41" fontId="22" fillId="0" borderId="12" xfId="2" applyFont="1" applyFill="1" applyBorder="1" applyAlignment="1">
      <alignment horizontal="right" vertical="center" wrapText="1"/>
    </xf>
    <xf numFmtId="49" fontId="7" fillId="0" borderId="21" xfId="4" applyNumberFormat="1" applyFont="1" applyFill="1" applyBorder="1" applyAlignment="1">
      <alignment horizontal="center" vertical="center"/>
    </xf>
    <xf numFmtId="0" fontId="22" fillId="0" borderId="12" xfId="5" applyFont="1" applyBorder="1" applyAlignment="1">
      <alignment horizontal="center" vertical="center" wrapText="1"/>
    </xf>
    <xf numFmtId="0" fontId="4" fillId="0" borderId="12" xfId="5" applyFont="1" applyBorder="1" applyAlignment="1">
      <alignment horizontal="center" vertical="center" wrapText="1"/>
    </xf>
    <xf numFmtId="0" fontId="6" fillId="0" borderId="0" xfId="5">
      <alignment vertical="center"/>
    </xf>
    <xf numFmtId="0" fontId="6" fillId="0" borderId="0" xfId="5" applyAlignment="1">
      <alignment horizontal="center" vertical="center"/>
    </xf>
    <xf numFmtId="0" fontId="12" fillId="0" borderId="0" xfId="5" applyFont="1">
      <alignment vertical="center"/>
    </xf>
    <xf numFmtId="0" fontId="5" fillId="0" borderId="0" xfId="5" applyFont="1">
      <alignment vertical="center"/>
    </xf>
    <xf numFmtId="0" fontId="4" fillId="0" borderId="21" xfId="5" applyFont="1" applyBorder="1" applyAlignment="1">
      <alignment horizontal="center" vertical="center" wrapText="1"/>
    </xf>
    <xf numFmtId="9" fontId="22" fillId="0" borderId="12" xfId="5" applyNumberFormat="1" applyFont="1" applyBorder="1" applyAlignment="1">
      <alignment horizontal="center" vertical="center" wrapText="1"/>
    </xf>
    <xf numFmtId="0" fontId="11" fillId="0" borderId="0" xfId="5" applyFont="1">
      <alignment vertical="center"/>
    </xf>
    <xf numFmtId="0" fontId="9" fillId="7" borderId="28" xfId="5" applyFont="1" applyFill="1" applyBorder="1" applyAlignment="1">
      <alignment horizontal="center" vertical="center" wrapText="1"/>
    </xf>
    <xf numFmtId="0" fontId="9" fillId="7" borderId="26" xfId="5" applyFont="1" applyFill="1" applyBorder="1" applyAlignment="1">
      <alignment horizontal="center" vertical="center" wrapText="1"/>
    </xf>
    <xf numFmtId="0" fontId="5" fillId="0" borderId="0" xfId="5" applyFont="1" applyAlignment="1">
      <alignment horizontal="right" vertical="center"/>
    </xf>
    <xf numFmtId="0" fontId="21" fillId="0" borderId="0" xfId="5" applyFont="1">
      <alignment vertical="center"/>
    </xf>
    <xf numFmtId="0" fontId="9" fillId="7" borderId="27" xfId="5" applyFont="1" applyFill="1" applyBorder="1" applyAlignment="1">
      <alignment horizontal="center" vertical="center" wrapText="1"/>
    </xf>
    <xf numFmtId="49" fontId="7" fillId="0" borderId="21" xfId="4" quotePrefix="1" applyNumberFormat="1" applyFont="1" applyFill="1" applyBorder="1" applyAlignment="1">
      <alignment horizontal="center" vertical="center"/>
    </xf>
    <xf numFmtId="0" fontId="4" fillId="0" borderId="38" xfId="5" applyFont="1" applyBorder="1" applyAlignment="1">
      <alignment horizontal="center" vertical="center" wrapText="1"/>
    </xf>
    <xf numFmtId="0" fontId="4" fillId="0" borderId="21" xfId="5" quotePrefix="1" applyFont="1" applyBorder="1" applyAlignment="1">
      <alignment horizontal="center" vertical="center" wrapText="1"/>
    </xf>
    <xf numFmtId="0" fontId="6" fillId="3" borderId="40" xfId="5" applyFill="1" applyBorder="1">
      <alignment vertical="center"/>
    </xf>
    <xf numFmtId="0" fontId="6" fillId="3" borderId="41" xfId="5" applyFill="1" applyBorder="1">
      <alignment vertical="center"/>
    </xf>
    <xf numFmtId="0" fontId="17" fillId="3" borderId="42" xfId="5" applyFont="1" applyFill="1" applyBorder="1" applyAlignment="1">
      <alignment horizontal="center" vertical="center"/>
    </xf>
    <xf numFmtId="0" fontId="10" fillId="3" borderId="43" xfId="5" applyFont="1" applyFill="1" applyBorder="1" applyAlignment="1">
      <alignment vertical="center" wrapText="1"/>
    </xf>
    <xf numFmtId="12" fontId="17" fillId="3" borderId="44" xfId="5" applyNumberFormat="1" applyFont="1" applyFill="1" applyBorder="1" applyAlignment="1">
      <alignment horizontal="right" vertical="center"/>
    </xf>
    <xf numFmtId="41" fontId="12" fillId="0" borderId="41" xfId="2" applyFont="1" applyFill="1" applyBorder="1">
      <alignment vertical="center"/>
    </xf>
    <xf numFmtId="0" fontId="16" fillId="3" borderId="44" xfId="5" applyFont="1" applyFill="1" applyBorder="1" applyAlignment="1">
      <alignment horizontal="center" vertical="center" wrapText="1"/>
    </xf>
    <xf numFmtId="41" fontId="24" fillId="0" borderId="12" xfId="9" applyFont="1" applyFill="1" applyBorder="1" applyAlignment="1">
      <alignment horizontal="center" vertical="center" wrapText="1"/>
    </xf>
    <xf numFmtId="41" fontId="9" fillId="0" borderId="12" xfId="9" applyFont="1" applyFill="1" applyBorder="1" applyAlignment="1">
      <alignment horizontal="center" vertical="center" wrapText="1"/>
    </xf>
    <xf numFmtId="41" fontId="9" fillId="0" borderId="12" xfId="9" applyFont="1" applyFill="1" applyBorder="1" applyAlignment="1">
      <alignment horizontal="left" vertical="center" wrapText="1"/>
    </xf>
    <xf numFmtId="41" fontId="9" fillId="0" borderId="38" xfId="9" applyFont="1" applyFill="1" applyBorder="1" applyAlignment="1">
      <alignment horizontal="left" vertical="center" wrapText="1"/>
    </xf>
    <xf numFmtId="41" fontId="13" fillId="0" borderId="41" xfId="9" applyFont="1" applyBorder="1" applyAlignment="1">
      <alignment horizontal="center" vertical="center" wrapText="1"/>
    </xf>
    <xf numFmtId="0" fontId="4" fillId="0" borderId="37" xfId="5" quotePrefix="1" applyFont="1" applyBorder="1" applyAlignment="1">
      <alignment horizontal="center" vertical="center" wrapText="1"/>
    </xf>
    <xf numFmtId="0" fontId="4" fillId="0" borderId="33" xfId="5" applyFont="1" applyBorder="1" applyAlignment="1">
      <alignment horizontal="left" vertical="center"/>
    </xf>
    <xf numFmtId="0" fontId="22" fillId="0" borderId="21" xfId="5" applyFont="1" applyBorder="1" applyAlignment="1">
      <alignment horizontal="center" vertical="center" wrapText="1"/>
    </xf>
    <xf numFmtId="0" fontId="22" fillId="0" borderId="13" xfId="5" applyFont="1" applyBorder="1" applyAlignment="1">
      <alignment horizontal="left" vertical="center"/>
    </xf>
    <xf numFmtId="0" fontId="22" fillId="0" borderId="30" xfId="5" applyFont="1" applyBorder="1" applyAlignment="1">
      <alignment horizontal="center" vertical="center" wrapText="1"/>
    </xf>
    <xf numFmtId="0" fontId="4" fillId="0" borderId="13" xfId="5" applyFont="1" applyBorder="1" applyAlignment="1">
      <alignment horizontal="left" vertical="center"/>
    </xf>
    <xf numFmtId="42" fontId="4" fillId="0" borderId="12" xfId="2" applyNumberFormat="1" applyFont="1" applyFill="1" applyBorder="1" applyAlignment="1">
      <alignment horizontal="center" vertical="center" wrapText="1"/>
    </xf>
    <xf numFmtId="41" fontId="9" fillId="0" borderId="12" xfId="2" applyFont="1" applyFill="1" applyBorder="1" applyAlignment="1">
      <alignment vertical="center" wrapText="1"/>
    </xf>
    <xf numFmtId="0" fontId="4" fillId="0" borderId="30" xfId="5" applyFont="1" applyBorder="1" applyAlignment="1">
      <alignment horizontal="center" vertical="center" wrapText="1"/>
    </xf>
    <xf numFmtId="42" fontId="4" fillId="0" borderId="38" xfId="2" applyNumberFormat="1" applyFont="1" applyFill="1" applyBorder="1" applyAlignment="1">
      <alignment horizontal="center" vertical="center" wrapText="1"/>
    </xf>
    <xf numFmtId="0" fontId="4" fillId="0" borderId="39" xfId="5" applyFont="1" applyBorder="1" applyAlignment="1">
      <alignment horizontal="center" vertical="center" wrapText="1"/>
    </xf>
    <xf numFmtId="0" fontId="22" fillId="0" borderId="14" xfId="5" applyFont="1" applyBorder="1" applyAlignment="1">
      <alignment horizontal="left" vertical="center"/>
    </xf>
    <xf numFmtId="0" fontId="22" fillId="0" borderId="15" xfId="5" applyFont="1" applyBorder="1" applyAlignment="1">
      <alignment horizontal="center" vertical="center" wrapText="1"/>
    </xf>
    <xf numFmtId="41" fontId="22" fillId="0" borderId="15" xfId="9" applyFont="1" applyFill="1" applyBorder="1" applyAlignment="1">
      <alignment horizontal="center" vertical="center" wrapText="1"/>
    </xf>
    <xf numFmtId="42" fontId="22" fillId="0" borderId="15" xfId="2" applyNumberFormat="1" applyFont="1" applyFill="1" applyBorder="1" applyAlignment="1">
      <alignment horizontal="center" vertical="center" wrapText="1"/>
    </xf>
    <xf numFmtId="49" fontId="22" fillId="0" borderId="29" xfId="5" applyNumberFormat="1" applyFont="1" applyBorder="1" applyAlignment="1">
      <alignment horizontal="center" vertical="center" wrapText="1"/>
    </xf>
    <xf numFmtId="41" fontId="22" fillId="0" borderId="12" xfId="9" applyFont="1" applyFill="1" applyBorder="1" applyAlignment="1">
      <alignment horizontal="center" vertical="center" wrapText="1"/>
    </xf>
    <xf numFmtId="0" fontId="22" fillId="0" borderId="39" xfId="5" applyFont="1" applyBorder="1" applyAlignment="1">
      <alignment horizontal="center" vertical="center" wrapText="1"/>
    </xf>
    <xf numFmtId="49" fontId="7" fillId="0" borderId="12" xfId="3" quotePrefix="1" applyNumberFormat="1" applyFont="1" applyFill="1" applyBorder="1" applyAlignment="1">
      <alignment horizontal="center" vertical="center"/>
    </xf>
    <xf numFmtId="0" fontId="6" fillId="0" borderId="13" xfId="5" applyBorder="1">
      <alignment vertical="center"/>
    </xf>
    <xf numFmtId="9" fontId="27" fillId="0" borderId="12" xfId="5" applyNumberFormat="1" applyFont="1" applyBorder="1" applyAlignment="1">
      <alignment horizontal="center" vertical="center" wrapText="1"/>
    </xf>
    <xf numFmtId="0" fontId="11" fillId="6" borderId="10" xfId="1" applyFont="1" applyFill="1" applyBorder="1">
      <alignment vertical="center"/>
    </xf>
    <xf numFmtId="0" fontId="20" fillId="6" borderId="10" xfId="1" applyFont="1" applyFill="1" applyBorder="1">
      <alignment vertical="center"/>
    </xf>
    <xf numFmtId="0" fontId="20" fillId="6" borderId="10" xfId="1" applyFont="1" applyFill="1" applyBorder="1" applyAlignment="1">
      <alignment horizontal="right" vertical="center"/>
    </xf>
    <xf numFmtId="0" fontId="20" fillId="6" borderId="10" xfId="1" applyFont="1" applyFill="1" applyBorder="1" applyAlignment="1">
      <alignment horizontal="center" vertical="center"/>
    </xf>
    <xf numFmtId="42" fontId="20" fillId="6" borderId="11" xfId="1" applyNumberFormat="1" applyFont="1" applyFill="1" applyBorder="1">
      <alignment vertical="center"/>
    </xf>
    <xf numFmtId="0" fontId="12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>
      <alignment vertical="center"/>
    </xf>
    <xf numFmtId="0" fontId="14" fillId="8" borderId="17" xfId="1" applyFont="1" applyFill="1" applyBorder="1" applyAlignment="1">
      <alignment horizontal="center" vertical="center"/>
    </xf>
    <xf numFmtId="0" fontId="7" fillId="2" borderId="18" xfId="1" applyFont="1" applyFill="1" applyBorder="1">
      <alignment vertical="center"/>
    </xf>
    <xf numFmtId="0" fontId="7" fillId="2" borderId="19" xfId="1" applyFont="1" applyFill="1" applyBorder="1">
      <alignment vertical="center"/>
    </xf>
    <xf numFmtId="0" fontId="14" fillId="0" borderId="19" xfId="1" applyFont="1" applyBorder="1" applyAlignment="1">
      <alignment horizontal="center" vertical="center"/>
    </xf>
    <xf numFmtId="0" fontId="14" fillId="0" borderId="20" xfId="1" applyFont="1" applyBorder="1" applyAlignment="1">
      <alignment horizontal="center" vertical="center"/>
    </xf>
    <xf numFmtId="0" fontId="14" fillId="8" borderId="21" xfId="1" quotePrefix="1" applyFont="1" applyFill="1" applyBorder="1" applyAlignment="1">
      <alignment horizontal="center" vertical="center"/>
    </xf>
    <xf numFmtId="0" fontId="7" fillId="2" borderId="13" xfId="1" quotePrefix="1" applyFont="1" applyFill="1" applyBorder="1">
      <alignment vertical="center"/>
    </xf>
    <xf numFmtId="0" fontId="7" fillId="2" borderId="16" xfId="1" quotePrefix="1" applyFont="1" applyFill="1" applyBorder="1">
      <alignment vertical="center"/>
    </xf>
    <xf numFmtId="0" fontId="18" fillId="8" borderId="21" xfId="1" quotePrefix="1" applyFont="1" applyFill="1" applyBorder="1" applyAlignment="1">
      <alignment horizontal="center" vertical="center"/>
    </xf>
    <xf numFmtId="0" fontId="8" fillId="2" borderId="13" xfId="1" quotePrefix="1" applyFont="1" applyFill="1" applyBorder="1">
      <alignment vertical="center"/>
    </xf>
    <xf numFmtId="0" fontId="8" fillId="2" borderId="16" xfId="1" quotePrefix="1" applyFont="1" applyFill="1" applyBorder="1">
      <alignment vertical="center"/>
    </xf>
    <xf numFmtId="0" fontId="7" fillId="2" borderId="33" xfId="1" applyFont="1" applyFill="1" applyBorder="1" applyAlignment="1">
      <alignment horizontal="center" vertical="center"/>
    </xf>
    <xf numFmtId="0" fontId="7" fillId="2" borderId="34" xfId="1" applyFont="1" applyFill="1" applyBorder="1" applyAlignment="1">
      <alignment horizontal="center" vertical="center"/>
    </xf>
    <xf numFmtId="0" fontId="7" fillId="2" borderId="35" xfId="1" applyFont="1" applyFill="1" applyBorder="1" applyAlignment="1">
      <alignment horizontal="center" vertical="center"/>
    </xf>
    <xf numFmtId="0" fontId="14" fillId="8" borderId="23" xfId="1" quotePrefix="1" applyFont="1" applyFill="1" applyBorder="1" applyAlignment="1">
      <alignment horizontal="center" vertical="center"/>
    </xf>
    <xf numFmtId="0" fontId="7" fillId="2" borderId="24" xfId="1" applyFont="1" applyFill="1" applyBorder="1" applyAlignment="1">
      <alignment vertical="center" wrapText="1"/>
    </xf>
    <xf numFmtId="0" fontId="7" fillId="2" borderId="25" xfId="1" applyFont="1" applyFill="1" applyBorder="1" applyAlignment="1">
      <alignment vertical="center" wrapText="1"/>
    </xf>
    <xf numFmtId="0" fontId="7" fillId="2" borderId="36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14" fillId="0" borderId="22" xfId="1" applyFont="1" applyBorder="1">
      <alignment vertical="center"/>
    </xf>
    <xf numFmtId="0" fontId="4" fillId="0" borderId="4" xfId="5" quotePrefix="1" applyFont="1" applyBorder="1" applyAlignment="1">
      <alignment horizontal="center" vertical="center" wrapText="1"/>
    </xf>
    <xf numFmtId="0" fontId="4" fillId="0" borderId="0" xfId="5" applyFont="1" applyAlignment="1">
      <alignment horizontal="left" vertical="center"/>
    </xf>
    <xf numFmtId="0" fontId="4" fillId="0" borderId="0" xfId="5" applyFont="1" applyAlignment="1">
      <alignment horizontal="center" vertical="center" wrapText="1"/>
    </xf>
    <xf numFmtId="9" fontId="22" fillId="0" borderId="0" xfId="5" applyNumberFormat="1" applyFont="1" applyAlignment="1">
      <alignment horizontal="center" vertical="center" wrapText="1"/>
    </xf>
    <xf numFmtId="41" fontId="9" fillId="0" borderId="0" xfId="9" applyFont="1" applyFill="1" applyBorder="1" applyAlignment="1">
      <alignment horizontal="left" vertical="center" wrapText="1"/>
    </xf>
    <xf numFmtId="42" fontId="4" fillId="0" borderId="0" xfId="2" applyNumberFormat="1" applyFont="1" applyFill="1" applyBorder="1" applyAlignment="1">
      <alignment horizontal="center" vertical="center" wrapText="1"/>
    </xf>
    <xf numFmtId="41" fontId="22" fillId="0" borderId="0" xfId="2" applyFont="1" applyFill="1" applyBorder="1" applyAlignment="1">
      <alignment horizontal="right" vertical="center" wrapText="1"/>
    </xf>
    <xf numFmtId="41" fontId="9" fillId="0" borderId="0" xfId="2" applyFont="1" applyFill="1" applyBorder="1" applyAlignment="1">
      <alignment vertical="center" wrapText="1"/>
    </xf>
    <xf numFmtId="0" fontId="4" fillId="0" borderId="57" xfId="5" applyFont="1" applyBorder="1" applyAlignment="1">
      <alignment horizontal="center" vertical="center" wrapText="1"/>
    </xf>
    <xf numFmtId="0" fontId="9" fillId="7" borderId="58" xfId="5" applyFont="1" applyFill="1" applyBorder="1" applyAlignment="1">
      <alignment horizontal="center" vertical="center" wrapText="1"/>
    </xf>
    <xf numFmtId="0" fontId="4" fillId="0" borderId="13" xfId="5" applyFont="1" applyBorder="1" applyAlignment="1">
      <alignment horizontal="center" vertical="center" wrapText="1"/>
    </xf>
    <xf numFmtId="0" fontId="4" fillId="10" borderId="37" xfId="5" quotePrefix="1" applyFont="1" applyFill="1" applyBorder="1" applyAlignment="1">
      <alignment horizontal="center" vertical="center" wrapText="1"/>
    </xf>
    <xf numFmtId="0" fontId="4" fillId="10" borderId="33" xfId="5" applyFont="1" applyFill="1" applyBorder="1" applyAlignment="1">
      <alignment horizontal="left" vertical="center"/>
    </xf>
    <xf numFmtId="0" fontId="4" fillId="10" borderId="38" xfId="5" applyFont="1" applyFill="1" applyBorder="1" applyAlignment="1">
      <alignment horizontal="center" vertical="center" wrapText="1"/>
    </xf>
    <xf numFmtId="42" fontId="4" fillId="10" borderId="38" xfId="2" applyNumberFormat="1" applyFont="1" applyFill="1" applyBorder="1" applyAlignment="1">
      <alignment horizontal="center" vertical="center" wrapText="1"/>
    </xf>
    <xf numFmtId="0" fontId="4" fillId="10" borderId="33" xfId="5" applyFont="1" applyFill="1" applyBorder="1" applyAlignment="1">
      <alignment horizontal="center" vertical="center" wrapText="1"/>
    </xf>
    <xf numFmtId="0" fontId="4" fillId="11" borderId="37" xfId="5" quotePrefix="1" applyFont="1" applyFill="1" applyBorder="1" applyAlignment="1">
      <alignment horizontal="center" vertical="center" wrapText="1"/>
    </xf>
    <xf numFmtId="49" fontId="22" fillId="11" borderId="29" xfId="5" applyNumberFormat="1" applyFont="1" applyFill="1" applyBorder="1" applyAlignment="1">
      <alignment horizontal="center" vertical="center" wrapText="1"/>
    </xf>
    <xf numFmtId="0" fontId="22" fillId="11" borderId="13" xfId="5" applyFont="1" applyFill="1" applyBorder="1" applyAlignment="1">
      <alignment horizontal="left" vertical="center"/>
    </xf>
    <xf numFmtId="0" fontId="22" fillId="11" borderId="12" xfId="5" applyFont="1" applyFill="1" applyBorder="1" applyAlignment="1">
      <alignment horizontal="center" vertical="center" wrapText="1"/>
    </xf>
    <xf numFmtId="42" fontId="22" fillId="11" borderId="12" xfId="2" applyNumberFormat="1" applyFont="1" applyFill="1" applyBorder="1" applyAlignment="1">
      <alignment horizontal="center" vertical="center" wrapText="1"/>
    </xf>
    <xf numFmtId="0" fontId="22" fillId="11" borderId="13" xfId="5" applyFont="1" applyFill="1" applyBorder="1" applyAlignment="1">
      <alignment horizontal="center" vertical="center" wrapText="1"/>
    </xf>
    <xf numFmtId="0" fontId="22" fillId="11" borderId="14" xfId="5" applyFont="1" applyFill="1" applyBorder="1" applyAlignment="1">
      <alignment horizontal="left" vertical="center"/>
    </xf>
    <xf numFmtId="0" fontId="22" fillId="11" borderId="15" xfId="5" applyFont="1" applyFill="1" applyBorder="1" applyAlignment="1">
      <alignment horizontal="center" vertical="center" wrapText="1"/>
    </xf>
    <xf numFmtId="42" fontId="22" fillId="11" borderId="15" xfId="2" applyNumberFormat="1" applyFont="1" applyFill="1" applyBorder="1" applyAlignment="1">
      <alignment horizontal="center" vertical="center" wrapText="1"/>
    </xf>
    <xf numFmtId="0" fontId="4" fillId="11" borderId="13" xfId="5" applyFont="1" applyFill="1" applyBorder="1" applyAlignment="1">
      <alignment horizontal="left" vertical="center"/>
    </xf>
    <xf numFmtId="0" fontId="4" fillId="11" borderId="12" xfId="5" applyFont="1" applyFill="1" applyBorder="1" applyAlignment="1">
      <alignment horizontal="center" vertical="center" wrapText="1"/>
    </xf>
    <xf numFmtId="42" fontId="4" fillId="11" borderId="12" xfId="2" applyNumberFormat="1" applyFont="1" applyFill="1" applyBorder="1" applyAlignment="1">
      <alignment horizontal="center" vertical="center" wrapText="1"/>
    </xf>
    <xf numFmtId="0" fontId="4" fillId="11" borderId="13" xfId="5" applyFont="1" applyFill="1" applyBorder="1" applyAlignment="1">
      <alignment horizontal="center" vertical="center" wrapText="1"/>
    </xf>
    <xf numFmtId="42" fontId="4" fillId="11" borderId="38" xfId="2" applyNumberFormat="1" applyFont="1" applyFill="1" applyBorder="1" applyAlignment="1">
      <alignment horizontal="center" vertical="center" wrapText="1"/>
    </xf>
    <xf numFmtId="0" fontId="4" fillId="10" borderId="21" xfId="5" applyFont="1" applyFill="1" applyBorder="1" applyAlignment="1">
      <alignment horizontal="center" vertical="center" wrapText="1"/>
    </xf>
    <xf numFmtId="0" fontId="4" fillId="10" borderId="13" xfId="5" applyFont="1" applyFill="1" applyBorder="1" applyAlignment="1">
      <alignment horizontal="left" vertical="center"/>
    </xf>
    <xf numFmtId="0" fontId="4" fillId="10" borderId="12" xfId="5" applyFont="1" applyFill="1" applyBorder="1" applyAlignment="1">
      <alignment horizontal="center" vertical="center" wrapText="1"/>
    </xf>
    <xf numFmtId="42" fontId="4" fillId="10" borderId="12" xfId="2" applyNumberFormat="1" applyFont="1" applyFill="1" applyBorder="1" applyAlignment="1">
      <alignment horizontal="center" vertical="center" wrapText="1"/>
    </xf>
    <xf numFmtId="0" fontId="4" fillId="10" borderId="13" xfId="5" applyFont="1" applyFill="1" applyBorder="1" applyAlignment="1">
      <alignment horizontal="center" vertical="center" wrapText="1"/>
    </xf>
    <xf numFmtId="49" fontId="4" fillId="10" borderId="21" xfId="5" applyNumberFormat="1" applyFont="1" applyFill="1" applyBorder="1" applyAlignment="1">
      <alignment horizontal="center" vertical="center" wrapText="1"/>
    </xf>
    <xf numFmtId="0" fontId="4" fillId="10" borderId="21" xfId="5" quotePrefix="1" applyFont="1" applyFill="1" applyBorder="1" applyAlignment="1">
      <alignment horizontal="center" vertical="center" wrapText="1"/>
    </xf>
    <xf numFmtId="49" fontId="4" fillId="11" borderId="13" xfId="5" applyNumberFormat="1" applyFont="1" applyFill="1" applyBorder="1" applyAlignment="1">
      <alignment horizontal="center" vertical="center" wrapText="1"/>
    </xf>
    <xf numFmtId="49" fontId="4" fillId="10" borderId="13" xfId="5" applyNumberFormat="1" applyFont="1" applyFill="1" applyBorder="1" applyAlignment="1">
      <alignment horizontal="center" vertical="center" wrapText="1"/>
    </xf>
    <xf numFmtId="49" fontId="4" fillId="10" borderId="33" xfId="5" applyNumberFormat="1" applyFont="1" applyFill="1" applyBorder="1" applyAlignment="1">
      <alignment horizontal="center" vertical="center" wrapText="1"/>
    </xf>
    <xf numFmtId="49" fontId="4" fillId="0" borderId="13" xfId="5" applyNumberFormat="1" applyFont="1" applyBorder="1" applyAlignment="1">
      <alignment horizontal="center" vertical="center" wrapText="1"/>
    </xf>
    <xf numFmtId="49" fontId="22" fillId="11" borderId="13" xfId="5" applyNumberFormat="1" applyFont="1" applyFill="1" applyBorder="1" applyAlignment="1">
      <alignment horizontal="center" vertical="center" wrapText="1"/>
    </xf>
    <xf numFmtId="49" fontId="4" fillId="11" borderId="13" xfId="5" quotePrefix="1" applyNumberFormat="1" applyFont="1" applyFill="1" applyBorder="1" applyAlignment="1">
      <alignment horizontal="center" vertical="center" wrapText="1"/>
    </xf>
    <xf numFmtId="177" fontId="4" fillId="10" borderId="30" xfId="9" applyNumberFormat="1" applyFont="1" applyFill="1" applyBorder="1" applyAlignment="1">
      <alignment horizontal="center" vertical="center" wrapText="1"/>
    </xf>
    <xf numFmtId="177" fontId="4" fillId="10" borderId="39" xfId="9" applyNumberFormat="1" applyFont="1" applyFill="1" applyBorder="1" applyAlignment="1">
      <alignment horizontal="center" vertical="center" wrapText="1"/>
    </xf>
    <xf numFmtId="177" fontId="4" fillId="0" borderId="30" xfId="9" applyNumberFormat="1" applyFont="1" applyBorder="1" applyAlignment="1">
      <alignment horizontal="center" vertical="center" wrapText="1"/>
    </xf>
    <xf numFmtId="177" fontId="22" fillId="11" borderId="30" xfId="9" applyNumberFormat="1" applyFont="1" applyFill="1" applyBorder="1" applyAlignment="1">
      <alignment horizontal="center" vertical="center" wrapText="1"/>
    </xf>
    <xf numFmtId="177" fontId="4" fillId="11" borderId="30" xfId="9" applyNumberFormat="1" applyFont="1" applyFill="1" applyBorder="1" applyAlignment="1">
      <alignment horizontal="center" vertical="center" wrapText="1"/>
    </xf>
    <xf numFmtId="0" fontId="4" fillId="10" borderId="13" xfId="5" applyNumberFormat="1" applyFont="1" applyFill="1" applyBorder="1" applyAlignment="1">
      <alignment horizontal="center" vertical="center" wrapText="1"/>
    </xf>
    <xf numFmtId="49" fontId="22" fillId="11" borderId="21" xfId="5" applyNumberFormat="1" applyFont="1" applyFill="1" applyBorder="1" applyAlignment="1">
      <alignment horizontal="center" vertical="center" wrapText="1"/>
    </xf>
    <xf numFmtId="49" fontId="22" fillId="11" borderId="59" xfId="5" applyNumberFormat="1" applyFont="1" applyFill="1" applyBorder="1" applyAlignment="1">
      <alignment horizontal="center" vertical="center" wrapText="1"/>
    </xf>
    <xf numFmtId="0" fontId="4" fillId="11" borderId="24" xfId="5" applyFont="1" applyFill="1" applyBorder="1" applyAlignment="1">
      <alignment horizontal="left" vertical="center"/>
    </xf>
    <xf numFmtId="0" fontId="4" fillId="11" borderId="60" xfId="5" applyFont="1" applyFill="1" applyBorder="1" applyAlignment="1">
      <alignment horizontal="center" vertical="center" wrapText="1"/>
    </xf>
    <xf numFmtId="42" fontId="4" fillId="11" borderId="60" xfId="2" applyNumberFormat="1" applyFont="1" applyFill="1" applyBorder="1" applyAlignment="1">
      <alignment horizontal="center" vertical="center" wrapText="1"/>
    </xf>
    <xf numFmtId="0" fontId="4" fillId="11" borderId="24" xfId="5" applyFont="1" applyFill="1" applyBorder="1" applyAlignment="1">
      <alignment horizontal="center" vertical="center" wrapText="1"/>
    </xf>
    <xf numFmtId="49" fontId="4" fillId="11" borderId="24" xfId="5" applyNumberFormat="1" applyFont="1" applyFill="1" applyBorder="1" applyAlignment="1">
      <alignment horizontal="center" vertical="center" wrapText="1"/>
    </xf>
    <xf numFmtId="177" fontId="4" fillId="11" borderId="61" xfId="9" applyNumberFormat="1" applyFont="1" applyFill="1" applyBorder="1" applyAlignment="1">
      <alignment horizontal="center" vertical="center" wrapText="1"/>
    </xf>
    <xf numFmtId="178" fontId="4" fillId="10" borderId="13" xfId="5" applyNumberFormat="1" applyFont="1" applyFill="1" applyBorder="1" applyAlignment="1">
      <alignment horizontal="center" vertical="center" wrapText="1"/>
    </xf>
    <xf numFmtId="178" fontId="4" fillId="10" borderId="33" xfId="5" applyNumberFormat="1" applyFont="1" applyFill="1" applyBorder="1" applyAlignment="1">
      <alignment horizontal="center" vertical="center" wrapText="1"/>
    </xf>
    <xf numFmtId="178" fontId="4" fillId="0" borderId="13" xfId="5" applyNumberFormat="1" applyFont="1" applyBorder="1" applyAlignment="1">
      <alignment horizontal="center" vertical="center" wrapText="1"/>
    </xf>
    <xf numFmtId="178" fontId="22" fillId="11" borderId="13" xfId="5" applyNumberFormat="1" applyFont="1" applyFill="1" applyBorder="1" applyAlignment="1">
      <alignment horizontal="center" vertical="center" wrapText="1"/>
    </xf>
    <xf numFmtId="178" fontId="4" fillId="11" borderId="13" xfId="5" applyNumberFormat="1" applyFont="1" applyFill="1" applyBorder="1" applyAlignment="1">
      <alignment horizontal="center" vertical="center" wrapText="1"/>
    </xf>
    <xf numFmtId="178" fontId="4" fillId="11" borderId="13" xfId="5" quotePrefix="1" applyNumberFormat="1" applyFont="1" applyFill="1" applyBorder="1" applyAlignment="1">
      <alignment horizontal="center" vertical="center" wrapText="1"/>
    </xf>
    <xf numFmtId="178" fontId="4" fillId="11" borderId="24" xfId="5" applyNumberFormat="1" applyFont="1" applyFill="1" applyBorder="1" applyAlignment="1">
      <alignment horizontal="center" vertical="center" wrapText="1"/>
    </xf>
    <xf numFmtId="0" fontId="16" fillId="3" borderId="54" xfId="1" applyFont="1" applyFill="1" applyBorder="1" applyAlignment="1">
      <alignment horizontal="center" vertical="center" wrapText="1"/>
    </xf>
    <xf numFmtId="0" fontId="16" fillId="3" borderId="7" xfId="1" applyFont="1" applyFill="1" applyBorder="1" applyAlignment="1">
      <alignment horizontal="center" vertical="center" wrapText="1"/>
    </xf>
    <xf numFmtId="0" fontId="16" fillId="3" borderId="19" xfId="1" applyFont="1" applyFill="1" applyBorder="1" applyAlignment="1">
      <alignment horizontal="center" vertical="center" wrapText="1"/>
    </xf>
    <xf numFmtId="0" fontId="16" fillId="3" borderId="55" xfId="1" applyFont="1" applyFill="1" applyBorder="1" applyAlignment="1">
      <alignment horizontal="center" vertical="center"/>
    </xf>
    <xf numFmtId="0" fontId="16" fillId="3" borderId="56" xfId="1" applyFont="1" applyFill="1" applyBorder="1" applyAlignment="1">
      <alignment horizontal="center" vertical="center"/>
    </xf>
    <xf numFmtId="0" fontId="14" fillId="8" borderId="31" xfId="1" applyFont="1" applyFill="1" applyBorder="1" applyAlignment="1">
      <alignment horizontal="center" vertical="center" wrapText="1"/>
    </xf>
    <xf numFmtId="0" fontId="14" fillId="8" borderId="32" xfId="1" applyFont="1" applyFill="1" applyBorder="1" applyAlignment="1">
      <alignment horizontal="center" vertical="center" wrapText="1"/>
    </xf>
    <xf numFmtId="0" fontId="19" fillId="3" borderId="2" xfId="1" applyFont="1" applyFill="1" applyBorder="1" applyAlignment="1">
      <alignment horizontal="center" vertical="center" wrapText="1"/>
    </xf>
    <xf numFmtId="0" fontId="19" fillId="3" borderId="7" xfId="1" applyFont="1" applyFill="1" applyBorder="1" applyAlignment="1">
      <alignment horizontal="center" vertical="center" wrapText="1"/>
    </xf>
    <xf numFmtId="0" fontId="19" fillId="3" borderId="45" xfId="1" applyFont="1" applyFill="1" applyBorder="1" applyAlignment="1">
      <alignment horizontal="center" vertical="center" wrapText="1"/>
    </xf>
    <xf numFmtId="0" fontId="19" fillId="3" borderId="4" xfId="1" applyFont="1" applyFill="1" applyBorder="1" applyAlignment="1">
      <alignment horizontal="center" vertical="center" wrapText="1"/>
    </xf>
    <xf numFmtId="0" fontId="19" fillId="3" borderId="0" xfId="1" applyFont="1" applyFill="1" applyAlignment="1">
      <alignment horizontal="center" vertical="center" wrapText="1"/>
    </xf>
    <xf numFmtId="0" fontId="19" fillId="3" borderId="48" xfId="1" applyFont="1" applyFill="1" applyBorder="1" applyAlignment="1">
      <alignment horizontal="center" vertical="center" wrapText="1"/>
    </xf>
    <xf numFmtId="0" fontId="19" fillId="3" borderId="5" xfId="1" applyFont="1" applyFill="1" applyBorder="1" applyAlignment="1">
      <alignment horizontal="center" vertical="center" wrapText="1"/>
    </xf>
    <xf numFmtId="0" fontId="19" fillId="3" borderId="8" xfId="1" applyFont="1" applyFill="1" applyBorder="1" applyAlignment="1">
      <alignment horizontal="center" vertical="center" wrapText="1"/>
    </xf>
    <xf numFmtId="0" fontId="19" fillId="3" borderId="51" xfId="1" applyFont="1" applyFill="1" applyBorder="1" applyAlignment="1">
      <alignment horizontal="center" vertical="center" wrapText="1"/>
    </xf>
    <xf numFmtId="0" fontId="12" fillId="5" borderId="3" xfId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12" fillId="5" borderId="6" xfId="1" applyFont="1" applyFill="1" applyBorder="1" applyAlignment="1">
      <alignment horizontal="center" vertical="center" wrapText="1"/>
    </xf>
    <xf numFmtId="0" fontId="7" fillId="0" borderId="47" xfId="1" quotePrefix="1" applyFont="1" applyBorder="1" applyAlignment="1">
      <alignment horizontal="center" vertical="center"/>
    </xf>
    <xf numFmtId="0" fontId="14" fillId="0" borderId="50" xfId="1" applyFont="1" applyBorder="1" applyAlignment="1">
      <alignment horizontal="center" vertical="center" wrapText="1"/>
    </xf>
    <xf numFmtId="0" fontId="14" fillId="4" borderId="49" xfId="1" applyFont="1" applyFill="1" applyBorder="1" applyAlignment="1">
      <alignment horizontal="center" vertical="center"/>
    </xf>
    <xf numFmtId="0" fontId="14" fillId="4" borderId="50" xfId="1" applyFont="1" applyFill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0" fontId="14" fillId="4" borderId="52" xfId="1" applyFont="1" applyFill="1" applyBorder="1" applyAlignment="1">
      <alignment horizontal="center" vertical="center"/>
    </xf>
    <xf numFmtId="0" fontId="14" fillId="4" borderId="53" xfId="1" applyFont="1" applyFill="1" applyBorder="1" applyAlignment="1">
      <alignment horizontal="center" vertical="center"/>
    </xf>
    <xf numFmtId="176" fontId="14" fillId="2" borderId="53" xfId="1" applyNumberFormat="1" applyFont="1" applyFill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22" xfId="1" applyFont="1" applyBorder="1" applyAlignment="1">
      <alignment horizontal="center" vertical="center"/>
    </xf>
    <xf numFmtId="42" fontId="20" fillId="6" borderId="10" xfId="1" applyNumberFormat="1" applyFont="1" applyFill="1" applyBorder="1" applyAlignment="1">
      <alignment horizontal="center" vertical="center"/>
    </xf>
    <xf numFmtId="0" fontId="14" fillId="4" borderId="46" xfId="1" applyFont="1" applyFill="1" applyBorder="1" applyAlignment="1">
      <alignment horizontal="center" vertical="center"/>
    </xf>
    <xf numFmtId="0" fontId="14" fillId="4" borderId="47" xfId="1" applyFont="1" applyFill="1" applyBorder="1" applyAlignment="1">
      <alignment horizontal="center" vertical="center"/>
    </xf>
    <xf numFmtId="42" fontId="22" fillId="10" borderId="12" xfId="2" applyNumberFormat="1" applyFont="1" applyFill="1" applyBorder="1" applyAlignment="1">
      <alignment horizontal="right" vertical="center" wrapText="1"/>
    </xf>
    <xf numFmtId="42" fontId="22" fillId="0" borderId="12" xfId="2" applyNumberFormat="1" applyFont="1" applyFill="1" applyBorder="1" applyAlignment="1">
      <alignment horizontal="right" vertical="center" wrapText="1"/>
    </xf>
    <xf numFmtId="42" fontId="22" fillId="11" borderId="12" xfId="2" applyNumberFormat="1" applyFont="1" applyFill="1" applyBorder="1" applyAlignment="1">
      <alignment horizontal="right" vertical="center" wrapText="1"/>
    </xf>
    <xf numFmtId="42" fontId="22" fillId="11" borderId="60" xfId="2" applyNumberFormat="1" applyFont="1" applyFill="1" applyBorder="1" applyAlignment="1">
      <alignment horizontal="right" vertical="center" wrapText="1"/>
    </xf>
  </cellXfs>
  <cellStyles count="40">
    <cellStyle name="20% - Акцент6 2" xfId="35" xr:uid="{758866A8-52B2-4E6B-92E2-40C7ABDA60B6}"/>
    <cellStyle name="20% — акцент6 2" xfId="37" xr:uid="{A6887CE6-300B-4103-84F7-FE02F7B07F41}"/>
    <cellStyle name="20% — акцент6 3" xfId="38" xr:uid="{63986B9B-5230-4BAD-A5CC-92C48562E6DD}"/>
    <cellStyle name="20% - 강조색6" xfId="3" builtinId="50"/>
    <cellStyle name="20% - 강조색6 2" xfId="4" xr:uid="{633753CE-2A21-43E8-8AE0-873331E61406}"/>
    <cellStyle name="20% - 강조색6 2 2" xfId="21" xr:uid="{268FCC11-07E7-41E9-9E39-81722DA941A9}"/>
    <cellStyle name="20% - 강조색6 2 3" xfId="18" xr:uid="{6D2926B2-C416-4C1A-BEA9-615A6AFCCECE}"/>
    <cellStyle name="20% - 강조색6 2 4" xfId="33" xr:uid="{9A5087C3-F918-4224-B1DA-97B1AC63085F}"/>
    <cellStyle name="20% - 강조색6 2 5" xfId="14" xr:uid="{68EF61AF-2C40-40A6-8A52-6B4BA5E6CC6F}"/>
    <cellStyle name="20% - 강조색6 3" xfId="13" xr:uid="{2B257A99-0826-4944-88EE-0223EDAC749E}"/>
    <cellStyle name="Финансовый [0] 2" xfId="36" xr:uid="{38F86BDE-6A1D-48C2-A0CE-5E12BD60C9FD}"/>
    <cellStyle name="쉼표 [0]" xfId="9" builtinId="6"/>
    <cellStyle name="쉼표 [0] 122" xfId="39" xr:uid="{F9FD7613-0CD6-47E2-B21A-F6733818E050}"/>
    <cellStyle name="쉼표 [0] 2" xfId="2" xr:uid="{00000000-0005-0000-0000-000001000000}"/>
    <cellStyle name="쉼표 [0] 2 2" xfId="10" xr:uid="{516D3988-0D60-4BD5-8047-098D80F9F2C4}"/>
    <cellStyle name="쉼표 [0] 2 2 2" xfId="29" xr:uid="{C72D52E0-09B1-4FE1-8F47-5948F926EE09}"/>
    <cellStyle name="쉼표 [0] 2 2 3" xfId="20" xr:uid="{66AFCE5C-E869-4DBA-ACE5-6BC501E77AE9}"/>
    <cellStyle name="쉼표 [0] 2 3" xfId="11" xr:uid="{FD764C6C-9EA4-4CD1-9292-761477A291E1}"/>
    <cellStyle name="쉼표 [0] 2 3 2" xfId="17" xr:uid="{6C071D7E-F44C-4A46-AB8E-54CF862085BD}"/>
    <cellStyle name="쉼표 [0] 2 4" xfId="24" xr:uid="{107268E8-9047-4061-9142-B12E24505E66}"/>
    <cellStyle name="쉼표 [0] 2 5" xfId="27" xr:uid="{2C9F0977-2BA6-4020-8070-247F5597B9DF}"/>
    <cellStyle name="쉼표 [0] 2 6" xfId="32" xr:uid="{47707A29-65DA-4228-87F3-6CD9CDA6D6BB}"/>
    <cellStyle name="쉼표 [0] 2 7" xfId="12" xr:uid="{EEAD1F89-B12F-450B-A309-19A74F4FE30B}"/>
    <cellStyle name="쉼표 [0] 3" xfId="7" xr:uid="{C368D62B-F245-4DE1-851A-99511F2FFEBC}"/>
    <cellStyle name="쉼표 [0] 3 2" xfId="22" xr:uid="{84932A7A-A25D-403D-B7E8-055B09B42442}"/>
    <cellStyle name="쉼표 [0] 3 2 2" xfId="30" xr:uid="{60B78EFD-3C19-4BD8-8A3B-55425EB4A5BD}"/>
    <cellStyle name="쉼표 [0] 3 3" xfId="19" xr:uid="{19CC9F8F-3B60-4D4C-B8DC-63CB68EFE62B}"/>
    <cellStyle name="쉼표 [0] 3 4" xfId="25" xr:uid="{B06974E8-E03F-4639-B199-CEB2420FD1F2}"/>
    <cellStyle name="쉼표 [0] 3 5" xfId="28" xr:uid="{28012E49-DE6E-43E5-8D10-1414C6AFC55D}"/>
    <cellStyle name="쉼표 [0] 3 6" xfId="34" xr:uid="{94C019C2-A288-4FCF-A43A-A6E859544E55}"/>
    <cellStyle name="쉼표 [0] 3 7" xfId="15" xr:uid="{8359975B-2C4F-4832-A24A-5189A1E65B5E}"/>
    <cellStyle name="쉼표 [0] 4" xfId="23" xr:uid="{026E704C-8B02-4C12-BC70-FDAF484DA7B6}"/>
    <cellStyle name="쉼표 [0] 5" xfId="26" xr:uid="{B6C6D11D-97DD-4BD3-845C-7DF76532E683}"/>
    <cellStyle name="쉼표 [0] 6" xfId="31" xr:uid="{3F9C45E1-2EE7-401A-B42F-DE51F29EE0DB}"/>
    <cellStyle name="쉼표 [0] 7" xfId="16" xr:uid="{14C02891-DAAD-4FBA-ADE2-5C917F4818EF}"/>
    <cellStyle name="표준" xfId="0" builtinId="0"/>
    <cellStyle name="표준 2" xfId="1" xr:uid="{00000000-0005-0000-0000-000003000000}"/>
    <cellStyle name="표준 2 2" xfId="8" xr:uid="{62D56AE9-1066-4963-96F4-FBADC43713C5}"/>
    <cellStyle name="표준 3" xfId="5" xr:uid="{74EFEF7F-33E9-47DE-97C2-7B84B2CB0D4A}"/>
    <cellStyle name="표준 4" xfId="6" xr:uid="{5DCB5828-22BB-4A7B-83E5-78A0854FB4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AE16-24F5-4988-AF5C-F78F726D4D11}">
  <sheetPr>
    <pageSetUpPr fitToPage="1"/>
  </sheetPr>
  <dimension ref="B2:K43"/>
  <sheetViews>
    <sheetView showGridLines="0" tabSelected="1" zoomScale="85" zoomScaleNormal="85" zoomScaleSheetLayoutView="115" workbookViewId="0">
      <selection activeCell="O11" sqref="O11"/>
    </sheetView>
  </sheetViews>
  <sheetFormatPr defaultColWidth="9" defaultRowHeight="18" customHeight="1" x14ac:dyDescent="0.3"/>
  <cols>
    <col min="1" max="1" width="1" style="7" customWidth="1"/>
    <col min="2" max="2" width="9.875" style="7" customWidth="1"/>
    <col min="3" max="4" width="44.75" style="7" customWidth="1"/>
    <col min="5" max="5" width="10.625" style="7" customWidth="1"/>
    <col min="6" max="6" width="11.5" style="7" customWidth="1"/>
    <col min="7" max="7" width="10.125" style="7" customWidth="1"/>
    <col min="8" max="8" width="20.625" style="7" bestFit="1" customWidth="1"/>
    <col min="9" max="9" width="13.75" style="7" bestFit="1" customWidth="1"/>
    <col min="10" max="10" width="13.5" style="7" customWidth="1"/>
    <col min="11" max="11" width="7.625" style="7" bestFit="1" customWidth="1"/>
    <col min="12" max="16384" width="9" style="7"/>
  </cols>
  <sheetData>
    <row r="2" spans="2:11" ht="18" customHeight="1" thickBot="1" x14ac:dyDescent="0.35"/>
    <row r="3" spans="2:11" s="13" customFormat="1" ht="42" customHeight="1" thickBot="1" x14ac:dyDescent="0.35">
      <c r="B3" s="15" t="s">
        <v>201</v>
      </c>
      <c r="C3" s="18" t="s">
        <v>247</v>
      </c>
      <c r="D3" s="18" t="s">
        <v>248</v>
      </c>
      <c r="E3" s="18" t="s">
        <v>202</v>
      </c>
      <c r="F3" s="18" t="s">
        <v>203</v>
      </c>
      <c r="G3" s="18" t="s">
        <v>204</v>
      </c>
      <c r="H3" s="93" t="s">
        <v>14</v>
      </c>
      <c r="I3" s="93" t="s">
        <v>156</v>
      </c>
      <c r="J3" s="93" t="s">
        <v>200</v>
      </c>
      <c r="K3" s="14" t="s">
        <v>157</v>
      </c>
    </row>
    <row r="4" spans="2:11" ht="20.100000000000001" customHeight="1" thickTop="1" x14ac:dyDescent="0.3">
      <c r="B4" s="114" t="s">
        <v>9</v>
      </c>
      <c r="C4" s="115" t="s">
        <v>96</v>
      </c>
      <c r="D4" s="115" t="s">
        <v>205</v>
      </c>
      <c r="E4" s="116">
        <v>50</v>
      </c>
      <c r="F4" s="117">
        <v>99000</v>
      </c>
      <c r="G4" s="180">
        <v>21780</v>
      </c>
      <c r="H4" s="118"/>
      <c r="I4" s="141">
        <v>8809563066889</v>
      </c>
      <c r="J4" s="132" t="s">
        <v>160</v>
      </c>
      <c r="K4" s="127">
        <v>10.08</v>
      </c>
    </row>
    <row r="5" spans="2:11" ht="20.100000000000001" customHeight="1" x14ac:dyDescent="0.3">
      <c r="B5" s="119" t="s">
        <v>8</v>
      </c>
      <c r="C5" s="115" t="s">
        <v>97</v>
      </c>
      <c r="D5" s="115" t="s">
        <v>206</v>
      </c>
      <c r="E5" s="116">
        <v>80</v>
      </c>
      <c r="F5" s="117">
        <v>59000</v>
      </c>
      <c r="G5" s="180">
        <v>14170</v>
      </c>
      <c r="H5" s="118"/>
      <c r="I5" s="141">
        <v>8809563066896</v>
      </c>
      <c r="J5" s="122" t="s">
        <v>161</v>
      </c>
      <c r="K5" s="127">
        <v>10.08</v>
      </c>
    </row>
    <row r="6" spans="2:11" ht="20.100000000000001" customHeight="1" x14ac:dyDescent="0.3">
      <c r="B6" s="120" t="s">
        <v>18</v>
      </c>
      <c r="C6" s="115" t="s">
        <v>98</v>
      </c>
      <c r="D6" s="115" t="s">
        <v>207</v>
      </c>
      <c r="E6" s="116">
        <v>30</v>
      </c>
      <c r="F6" s="117">
        <v>109000</v>
      </c>
      <c r="G6" s="180">
        <v>23980</v>
      </c>
      <c r="H6" s="118"/>
      <c r="I6" s="141">
        <v>8809610272164</v>
      </c>
      <c r="J6" s="122" t="s">
        <v>162</v>
      </c>
      <c r="K6" s="127">
        <v>7.149</v>
      </c>
    </row>
    <row r="7" spans="2:11" ht="20.100000000000001" customHeight="1" x14ac:dyDescent="0.3">
      <c r="B7" s="120" t="s">
        <v>19</v>
      </c>
      <c r="C7" s="96" t="s">
        <v>99</v>
      </c>
      <c r="D7" s="115" t="s">
        <v>208</v>
      </c>
      <c r="E7" s="97">
        <v>70</v>
      </c>
      <c r="F7" s="98">
        <v>40000</v>
      </c>
      <c r="G7" s="180">
        <v>9600</v>
      </c>
      <c r="H7" s="99"/>
      <c r="I7" s="142">
        <v>8809610272218</v>
      </c>
      <c r="J7" s="123" t="s">
        <v>163</v>
      </c>
      <c r="K7" s="128">
        <v>7.6383999999999999</v>
      </c>
    </row>
    <row r="8" spans="2:11" ht="20.100000000000001" customHeight="1" x14ac:dyDescent="0.3">
      <c r="B8" s="95" t="s">
        <v>93</v>
      </c>
      <c r="C8" s="96" t="s">
        <v>100</v>
      </c>
      <c r="D8" s="115" t="s">
        <v>209</v>
      </c>
      <c r="E8" s="97">
        <v>48</v>
      </c>
      <c r="F8" s="98">
        <v>59000</v>
      </c>
      <c r="G8" s="180">
        <v>14170</v>
      </c>
      <c r="H8" s="99"/>
      <c r="I8" s="142">
        <v>8809610272607</v>
      </c>
      <c r="J8" s="123" t="s">
        <v>164</v>
      </c>
      <c r="K8" s="128">
        <v>8</v>
      </c>
    </row>
    <row r="9" spans="2:11" ht="20.100000000000001" customHeight="1" x14ac:dyDescent="0.3">
      <c r="B9" s="120" t="s">
        <v>92</v>
      </c>
      <c r="C9" s="115" t="s">
        <v>101</v>
      </c>
      <c r="D9" s="115" t="s">
        <v>210</v>
      </c>
      <c r="E9" s="116">
        <v>80</v>
      </c>
      <c r="F9" s="117">
        <v>59000</v>
      </c>
      <c r="G9" s="180">
        <v>14170</v>
      </c>
      <c r="H9" s="118"/>
      <c r="I9" s="141">
        <v>8809610272676</v>
      </c>
      <c r="J9" s="122" t="s">
        <v>165</v>
      </c>
      <c r="K9" s="127">
        <v>10.08</v>
      </c>
    </row>
    <row r="10" spans="2:11" ht="20.100000000000001" customHeight="1" x14ac:dyDescent="0.3">
      <c r="B10" s="100" t="s">
        <v>28</v>
      </c>
      <c r="C10" s="39" t="s">
        <v>102</v>
      </c>
      <c r="D10" s="39" t="s">
        <v>211</v>
      </c>
      <c r="E10" s="6">
        <v>50</v>
      </c>
      <c r="F10" s="40">
        <v>37000</v>
      </c>
      <c r="G10" s="181">
        <v>11470</v>
      </c>
      <c r="H10" s="94"/>
      <c r="I10" s="143">
        <v>8809610272515</v>
      </c>
      <c r="J10" s="124" t="s">
        <v>166</v>
      </c>
      <c r="K10" s="129">
        <v>11</v>
      </c>
    </row>
    <row r="11" spans="2:11" ht="20.100000000000001" customHeight="1" x14ac:dyDescent="0.3">
      <c r="B11" s="100" t="s">
        <v>29</v>
      </c>
      <c r="C11" s="102" t="s">
        <v>103</v>
      </c>
      <c r="D11" s="102" t="s">
        <v>212</v>
      </c>
      <c r="E11" s="103">
        <v>48</v>
      </c>
      <c r="F11" s="104">
        <v>23000</v>
      </c>
      <c r="G11" s="182">
        <v>7140</v>
      </c>
      <c r="H11" s="105"/>
      <c r="I11" s="144">
        <v>8809610272560</v>
      </c>
      <c r="J11" s="125" t="s">
        <v>167</v>
      </c>
      <c r="K11" s="130">
        <v>13</v>
      </c>
    </row>
    <row r="12" spans="2:11" ht="20.100000000000001" customHeight="1" x14ac:dyDescent="0.3">
      <c r="B12" s="100" t="s">
        <v>94</v>
      </c>
      <c r="C12" s="106" t="s">
        <v>104</v>
      </c>
      <c r="D12" s="106" t="s">
        <v>213</v>
      </c>
      <c r="E12" s="107">
        <v>100</v>
      </c>
      <c r="F12" s="108">
        <v>25000</v>
      </c>
      <c r="G12" s="182">
        <v>7750</v>
      </c>
      <c r="H12" s="105"/>
      <c r="I12" s="144">
        <v>8809610271723</v>
      </c>
      <c r="J12" s="125" t="s">
        <v>168</v>
      </c>
      <c r="K12" s="130">
        <v>6.3010000000000002</v>
      </c>
    </row>
    <row r="13" spans="2:11" ht="20.100000000000001" customHeight="1" x14ac:dyDescent="0.3">
      <c r="B13" s="101" t="s">
        <v>95</v>
      </c>
      <c r="C13" s="109" t="s">
        <v>105</v>
      </c>
      <c r="D13" s="106" t="s">
        <v>214</v>
      </c>
      <c r="E13" s="110">
        <v>120</v>
      </c>
      <c r="F13" s="111">
        <v>28000</v>
      </c>
      <c r="G13" s="182">
        <v>8690</v>
      </c>
      <c r="H13" s="112"/>
      <c r="I13" s="145">
        <v>8809610271815</v>
      </c>
      <c r="J13" s="121" t="s">
        <v>169</v>
      </c>
      <c r="K13" s="131">
        <v>3.6</v>
      </c>
    </row>
    <row r="14" spans="2:11" ht="20.100000000000001" customHeight="1" x14ac:dyDescent="0.3">
      <c r="B14" s="101" t="s">
        <v>127</v>
      </c>
      <c r="C14" s="109" t="s">
        <v>128</v>
      </c>
      <c r="D14" s="109" t="s">
        <v>215</v>
      </c>
      <c r="E14" s="110">
        <v>50</v>
      </c>
      <c r="F14" s="111">
        <v>29000</v>
      </c>
      <c r="G14" s="182">
        <v>9000</v>
      </c>
      <c r="H14" s="112"/>
      <c r="I14" s="145">
        <v>8809610272881</v>
      </c>
      <c r="J14" s="121" t="s">
        <v>170</v>
      </c>
      <c r="K14" s="131">
        <v>5.5</v>
      </c>
    </row>
    <row r="15" spans="2:11" ht="20.100000000000001" customHeight="1" x14ac:dyDescent="0.3">
      <c r="B15" s="101" t="s">
        <v>129</v>
      </c>
      <c r="C15" s="109" t="s">
        <v>106</v>
      </c>
      <c r="D15" s="109" t="s">
        <v>216</v>
      </c>
      <c r="E15" s="110">
        <v>50</v>
      </c>
      <c r="F15" s="111">
        <v>29000</v>
      </c>
      <c r="G15" s="182">
        <v>9000</v>
      </c>
      <c r="H15" s="112"/>
      <c r="I15" s="145">
        <v>8809610272249</v>
      </c>
      <c r="J15" s="121" t="s">
        <v>171</v>
      </c>
      <c r="K15" s="131">
        <v>13</v>
      </c>
    </row>
    <row r="16" spans="2:11" ht="20.100000000000001" customHeight="1" x14ac:dyDescent="0.3">
      <c r="B16" s="101" t="s">
        <v>130</v>
      </c>
      <c r="C16" s="109" t="s">
        <v>107</v>
      </c>
      <c r="D16" s="109" t="s">
        <v>217</v>
      </c>
      <c r="E16" s="110">
        <v>50</v>
      </c>
      <c r="F16" s="111">
        <v>29000</v>
      </c>
      <c r="G16" s="182">
        <v>9000</v>
      </c>
      <c r="H16" s="112"/>
      <c r="I16" s="145">
        <v>8809610272256</v>
      </c>
      <c r="J16" s="121" t="s">
        <v>172</v>
      </c>
      <c r="K16" s="131">
        <v>4.0625</v>
      </c>
    </row>
    <row r="17" spans="2:11" ht="20.100000000000001" customHeight="1" x14ac:dyDescent="0.3">
      <c r="B17" s="101" t="s">
        <v>22</v>
      </c>
      <c r="C17" s="109" t="s">
        <v>108</v>
      </c>
      <c r="D17" s="109" t="s">
        <v>218</v>
      </c>
      <c r="E17" s="110">
        <v>20</v>
      </c>
      <c r="F17" s="111">
        <v>23000</v>
      </c>
      <c r="G17" s="182">
        <v>7140</v>
      </c>
      <c r="H17" s="112"/>
      <c r="I17" s="145">
        <v>8809610272232</v>
      </c>
      <c r="J17" s="121" t="s">
        <v>173</v>
      </c>
      <c r="K17" s="131">
        <v>10</v>
      </c>
    </row>
    <row r="18" spans="2:11" ht="20.100000000000001" customHeight="1" x14ac:dyDescent="0.3">
      <c r="B18" s="101" t="s">
        <v>131</v>
      </c>
      <c r="C18" s="109" t="s">
        <v>109</v>
      </c>
      <c r="D18" s="109" t="s">
        <v>219</v>
      </c>
      <c r="E18" s="110">
        <v>60</v>
      </c>
      <c r="F18" s="111">
        <v>35000</v>
      </c>
      <c r="G18" s="182">
        <v>10860</v>
      </c>
      <c r="H18" s="112"/>
      <c r="I18" s="145">
        <v>8809610271525</v>
      </c>
      <c r="J18" s="121" t="s">
        <v>174</v>
      </c>
      <c r="K18" s="131">
        <v>11.14</v>
      </c>
    </row>
    <row r="19" spans="2:11" ht="20.100000000000001" customHeight="1" x14ac:dyDescent="0.3">
      <c r="B19" s="101" t="s">
        <v>11</v>
      </c>
      <c r="C19" s="109" t="s">
        <v>110</v>
      </c>
      <c r="D19" s="109" t="s">
        <v>220</v>
      </c>
      <c r="E19" s="110">
        <v>40</v>
      </c>
      <c r="F19" s="111">
        <v>20000</v>
      </c>
      <c r="G19" s="182">
        <v>6200</v>
      </c>
      <c r="H19" s="112"/>
      <c r="I19" s="145">
        <v>8809610271587</v>
      </c>
      <c r="J19" s="121" t="s">
        <v>175</v>
      </c>
      <c r="K19" s="131">
        <v>9.6999999999999993</v>
      </c>
    </row>
    <row r="20" spans="2:11" ht="20.100000000000001" customHeight="1" x14ac:dyDescent="0.3">
      <c r="B20" s="101" t="s">
        <v>125</v>
      </c>
      <c r="C20" s="109" t="s">
        <v>126</v>
      </c>
      <c r="D20" s="109" t="s">
        <v>221</v>
      </c>
      <c r="E20" s="110">
        <v>80</v>
      </c>
      <c r="F20" s="111">
        <v>14900</v>
      </c>
      <c r="G20" s="182">
        <v>4620</v>
      </c>
      <c r="H20" s="112"/>
      <c r="I20" s="145">
        <v>8809610272836</v>
      </c>
      <c r="J20" s="121" t="s">
        <v>176</v>
      </c>
      <c r="K20" s="131">
        <v>3.85</v>
      </c>
    </row>
    <row r="21" spans="2:11" ht="20.100000000000001" customHeight="1" x14ac:dyDescent="0.3">
      <c r="B21" s="101" t="s">
        <v>13</v>
      </c>
      <c r="C21" s="109" t="s">
        <v>111</v>
      </c>
      <c r="D21" s="109" t="s">
        <v>222</v>
      </c>
      <c r="E21" s="110">
        <v>240</v>
      </c>
      <c r="F21" s="111">
        <v>6500</v>
      </c>
      <c r="G21" s="182">
        <v>2020</v>
      </c>
      <c r="H21" s="112"/>
      <c r="I21" s="145">
        <v>8809610271952</v>
      </c>
      <c r="J21" s="121" t="s">
        <v>177</v>
      </c>
      <c r="K21" s="131">
        <v>9.2260000000000009</v>
      </c>
    </row>
    <row r="22" spans="2:11" ht="20.100000000000001" customHeight="1" x14ac:dyDescent="0.3">
      <c r="B22" s="101" t="s">
        <v>149</v>
      </c>
      <c r="C22" s="109" t="s">
        <v>223</v>
      </c>
      <c r="D22" s="109" t="s">
        <v>224</v>
      </c>
      <c r="E22" s="110">
        <v>100</v>
      </c>
      <c r="F22" s="111">
        <v>38500</v>
      </c>
      <c r="G22" s="182">
        <v>11940</v>
      </c>
      <c r="H22" s="112"/>
      <c r="I22" s="145">
        <v>8809610272423</v>
      </c>
      <c r="J22" s="121" t="s">
        <v>178</v>
      </c>
      <c r="K22" s="131">
        <v>7</v>
      </c>
    </row>
    <row r="23" spans="2:11" ht="20.100000000000001" customHeight="1" x14ac:dyDescent="0.3">
      <c r="B23" s="101" t="s">
        <v>159</v>
      </c>
      <c r="C23" s="109" t="s">
        <v>132</v>
      </c>
      <c r="D23" s="109" t="s">
        <v>225</v>
      </c>
      <c r="E23" s="110">
        <v>60</v>
      </c>
      <c r="F23" s="111">
        <v>7000</v>
      </c>
      <c r="G23" s="182">
        <v>1890</v>
      </c>
      <c r="H23" s="112"/>
      <c r="I23" s="145">
        <v>8809610272768</v>
      </c>
      <c r="J23" s="121" t="s">
        <v>179</v>
      </c>
      <c r="K23" s="131">
        <v>5.2</v>
      </c>
    </row>
    <row r="24" spans="2:11" ht="20.100000000000001" customHeight="1" x14ac:dyDescent="0.3">
      <c r="B24" s="101" t="s">
        <v>158</v>
      </c>
      <c r="C24" s="109" t="s">
        <v>133</v>
      </c>
      <c r="D24" s="109" t="s">
        <v>226</v>
      </c>
      <c r="E24" s="110">
        <v>60</v>
      </c>
      <c r="F24" s="111">
        <v>4000</v>
      </c>
      <c r="G24" s="182">
        <v>1090</v>
      </c>
      <c r="H24" s="112"/>
      <c r="I24" s="145">
        <v>8809610272775</v>
      </c>
      <c r="J24" s="121" t="s">
        <v>180</v>
      </c>
      <c r="K24" s="131">
        <v>9.6999999999999993</v>
      </c>
    </row>
    <row r="25" spans="2:11" ht="20.100000000000001" customHeight="1" x14ac:dyDescent="0.3">
      <c r="B25" s="101" t="s">
        <v>154</v>
      </c>
      <c r="C25" s="109" t="s">
        <v>155</v>
      </c>
      <c r="D25" s="109" t="s">
        <v>227</v>
      </c>
      <c r="E25" s="110">
        <v>55</v>
      </c>
      <c r="F25" s="111">
        <v>22000</v>
      </c>
      <c r="G25" s="182">
        <v>5940</v>
      </c>
      <c r="H25" s="112"/>
      <c r="I25" s="145">
        <v>8809610272799</v>
      </c>
      <c r="J25" s="121" t="s">
        <v>181</v>
      </c>
      <c r="K25" s="131">
        <v>8.5</v>
      </c>
    </row>
    <row r="26" spans="2:11" ht="20.100000000000001" customHeight="1" x14ac:dyDescent="0.3">
      <c r="B26" s="101" t="s">
        <v>134</v>
      </c>
      <c r="C26" s="109" t="s">
        <v>112</v>
      </c>
      <c r="D26" s="109" t="s">
        <v>228</v>
      </c>
      <c r="E26" s="110">
        <v>24</v>
      </c>
      <c r="F26" s="111">
        <v>49500</v>
      </c>
      <c r="G26" s="182">
        <v>15350</v>
      </c>
      <c r="H26" s="112"/>
      <c r="I26" s="145">
        <v>8809610272492</v>
      </c>
      <c r="J26" s="121" t="s">
        <v>182</v>
      </c>
      <c r="K26" s="131">
        <v>14.4</v>
      </c>
    </row>
    <row r="27" spans="2:11" ht="20.100000000000001" customHeight="1" x14ac:dyDescent="0.3">
      <c r="B27" s="101" t="s">
        <v>135</v>
      </c>
      <c r="C27" s="109" t="s">
        <v>113</v>
      </c>
      <c r="D27" s="109" t="s">
        <v>229</v>
      </c>
      <c r="E27" s="110">
        <v>40</v>
      </c>
      <c r="F27" s="111">
        <v>19500</v>
      </c>
      <c r="G27" s="182">
        <v>6050</v>
      </c>
      <c r="H27" s="112"/>
      <c r="I27" s="145">
        <v>8809610272508</v>
      </c>
      <c r="J27" s="121" t="s">
        <v>183</v>
      </c>
      <c r="K27" s="131">
        <v>10</v>
      </c>
    </row>
    <row r="28" spans="2:11" ht="20.100000000000001" customHeight="1" x14ac:dyDescent="0.3">
      <c r="B28" s="101" t="s">
        <v>123</v>
      </c>
      <c r="C28" s="109" t="s">
        <v>124</v>
      </c>
      <c r="D28" s="109" t="s">
        <v>230</v>
      </c>
      <c r="E28" s="110">
        <v>50</v>
      </c>
      <c r="F28" s="111">
        <v>32000</v>
      </c>
      <c r="G28" s="182">
        <v>9920</v>
      </c>
      <c r="H28" s="112"/>
      <c r="I28" s="145">
        <v>8809610272737</v>
      </c>
      <c r="J28" s="121" t="s">
        <v>184</v>
      </c>
      <c r="K28" s="131">
        <v>9.9</v>
      </c>
    </row>
    <row r="29" spans="2:11" ht="20.100000000000001" customHeight="1" x14ac:dyDescent="0.3">
      <c r="B29" s="101" t="s">
        <v>15</v>
      </c>
      <c r="C29" s="109" t="s">
        <v>114</v>
      </c>
      <c r="D29" s="109" t="s">
        <v>232</v>
      </c>
      <c r="E29" s="110">
        <v>45</v>
      </c>
      <c r="F29" s="111">
        <v>22500</v>
      </c>
      <c r="G29" s="182">
        <v>6080</v>
      </c>
      <c r="H29" s="112"/>
      <c r="I29" s="145">
        <v>8809610272072</v>
      </c>
      <c r="J29" s="121" t="s">
        <v>185</v>
      </c>
      <c r="K29" s="131">
        <v>8.9</v>
      </c>
    </row>
    <row r="30" spans="2:11" ht="20.100000000000001" customHeight="1" x14ac:dyDescent="0.3">
      <c r="B30" s="101" t="s">
        <v>136</v>
      </c>
      <c r="C30" s="109" t="s">
        <v>116</v>
      </c>
      <c r="D30" s="109" t="s">
        <v>231</v>
      </c>
      <c r="E30" s="110">
        <v>80</v>
      </c>
      <c r="F30" s="111">
        <v>28000</v>
      </c>
      <c r="G30" s="182">
        <v>8690</v>
      </c>
      <c r="H30" s="112"/>
      <c r="I30" s="145">
        <v>8809610272263</v>
      </c>
      <c r="J30" s="121" t="s">
        <v>186</v>
      </c>
      <c r="K30" s="131">
        <v>10</v>
      </c>
    </row>
    <row r="31" spans="2:11" ht="20.100000000000001" customHeight="1" x14ac:dyDescent="0.3">
      <c r="B31" s="101" t="s">
        <v>137</v>
      </c>
      <c r="C31" s="109" t="s">
        <v>115</v>
      </c>
      <c r="D31" s="109" t="s">
        <v>233</v>
      </c>
      <c r="E31" s="110">
        <v>40</v>
      </c>
      <c r="F31" s="111">
        <v>12000</v>
      </c>
      <c r="G31" s="182">
        <v>3240</v>
      </c>
      <c r="H31" s="112"/>
      <c r="I31" s="145">
        <v>8809610271181</v>
      </c>
      <c r="J31" s="121" t="s">
        <v>187</v>
      </c>
      <c r="K31" s="131">
        <v>10.08</v>
      </c>
    </row>
    <row r="32" spans="2:11" ht="20.100000000000001" customHeight="1" x14ac:dyDescent="0.3">
      <c r="B32" s="101" t="s">
        <v>12</v>
      </c>
      <c r="C32" s="109" t="s">
        <v>117</v>
      </c>
      <c r="D32" s="109" t="s">
        <v>234</v>
      </c>
      <c r="E32" s="110">
        <v>50</v>
      </c>
      <c r="F32" s="111">
        <v>38000</v>
      </c>
      <c r="G32" s="182">
        <v>11780</v>
      </c>
      <c r="H32" s="112"/>
      <c r="I32" s="145">
        <v>8809610271983</v>
      </c>
      <c r="J32" s="121" t="s">
        <v>188</v>
      </c>
      <c r="K32" s="131">
        <v>3.5</v>
      </c>
    </row>
    <row r="33" spans="2:11" ht="20.100000000000001" customHeight="1" x14ac:dyDescent="0.3">
      <c r="B33" s="101" t="s">
        <v>138</v>
      </c>
      <c r="C33" s="109" t="s">
        <v>118</v>
      </c>
      <c r="D33" s="109" t="s">
        <v>235</v>
      </c>
      <c r="E33" s="110">
        <v>24</v>
      </c>
      <c r="F33" s="111">
        <v>119000</v>
      </c>
      <c r="G33" s="182">
        <v>36890</v>
      </c>
      <c r="H33" s="112"/>
      <c r="I33" s="145">
        <v>8809331318417</v>
      </c>
      <c r="J33" s="121" t="s">
        <v>189</v>
      </c>
      <c r="K33" s="131">
        <v>14.4</v>
      </c>
    </row>
    <row r="34" spans="2:11" ht="20.100000000000001" customHeight="1" x14ac:dyDescent="0.3">
      <c r="B34" s="101" t="s">
        <v>139</v>
      </c>
      <c r="C34" s="109" t="s">
        <v>140</v>
      </c>
      <c r="D34" s="109" t="s">
        <v>236</v>
      </c>
      <c r="E34" s="110">
        <v>24</v>
      </c>
      <c r="F34" s="111">
        <v>79000</v>
      </c>
      <c r="G34" s="182">
        <v>24500</v>
      </c>
      <c r="H34" s="112"/>
      <c r="I34" s="145">
        <v>8809610270115</v>
      </c>
      <c r="J34" s="121" t="s">
        <v>190</v>
      </c>
      <c r="K34" s="131">
        <v>9.84</v>
      </c>
    </row>
    <row r="35" spans="2:11" ht="20.100000000000001" customHeight="1" x14ac:dyDescent="0.3">
      <c r="B35" s="101" t="s">
        <v>141</v>
      </c>
      <c r="C35" s="109" t="s">
        <v>142</v>
      </c>
      <c r="D35" s="109" t="s">
        <v>237</v>
      </c>
      <c r="E35" s="110">
        <v>150</v>
      </c>
      <c r="F35" s="111">
        <v>19000</v>
      </c>
      <c r="G35" s="182">
        <v>5900</v>
      </c>
      <c r="H35" s="112"/>
      <c r="I35" s="146">
        <v>8809610270443</v>
      </c>
      <c r="J35" s="126" t="s">
        <v>191</v>
      </c>
      <c r="K35" s="131">
        <v>11.9</v>
      </c>
    </row>
    <row r="36" spans="2:11" ht="20.100000000000001" customHeight="1" x14ac:dyDescent="0.3">
      <c r="B36" s="101" t="s">
        <v>143</v>
      </c>
      <c r="C36" s="109" t="s">
        <v>119</v>
      </c>
      <c r="D36" s="109" t="s">
        <v>238</v>
      </c>
      <c r="E36" s="110">
        <v>60</v>
      </c>
      <c r="F36" s="111">
        <v>11900</v>
      </c>
      <c r="G36" s="182">
        <v>3690</v>
      </c>
      <c r="H36" s="112"/>
      <c r="I36" s="145">
        <v>8809331318561</v>
      </c>
      <c r="J36" s="121" t="s">
        <v>192</v>
      </c>
      <c r="K36" s="131">
        <v>8.5955999999999992</v>
      </c>
    </row>
    <row r="37" spans="2:11" ht="20.100000000000001" customHeight="1" x14ac:dyDescent="0.3">
      <c r="B37" s="101" t="s">
        <v>144</v>
      </c>
      <c r="C37" s="109" t="s">
        <v>120</v>
      </c>
      <c r="D37" s="109" t="s">
        <v>239</v>
      </c>
      <c r="E37" s="110">
        <v>50</v>
      </c>
      <c r="F37" s="111">
        <v>14900</v>
      </c>
      <c r="G37" s="182">
        <v>4620</v>
      </c>
      <c r="H37" s="112"/>
      <c r="I37" s="145">
        <v>8809451338005</v>
      </c>
      <c r="J37" s="121" t="s">
        <v>193</v>
      </c>
      <c r="K37" s="131">
        <v>8.5540000000000003</v>
      </c>
    </row>
    <row r="38" spans="2:11" ht="20.100000000000001" customHeight="1" x14ac:dyDescent="0.3">
      <c r="B38" s="101" t="s">
        <v>145</v>
      </c>
      <c r="C38" s="109" t="s">
        <v>121</v>
      </c>
      <c r="D38" s="109" t="s">
        <v>240</v>
      </c>
      <c r="E38" s="110">
        <v>50</v>
      </c>
      <c r="F38" s="111">
        <v>12900</v>
      </c>
      <c r="G38" s="182">
        <v>4000</v>
      </c>
      <c r="H38" s="112"/>
      <c r="I38" s="145">
        <v>880956306818</v>
      </c>
      <c r="J38" s="121" t="s">
        <v>194</v>
      </c>
      <c r="K38" s="131">
        <v>8.14</v>
      </c>
    </row>
    <row r="39" spans="2:11" ht="20.100000000000001" customHeight="1" x14ac:dyDescent="0.3">
      <c r="B39" s="133" t="s">
        <v>30</v>
      </c>
      <c r="C39" s="109" t="s">
        <v>122</v>
      </c>
      <c r="D39" s="109" t="s">
        <v>242</v>
      </c>
      <c r="E39" s="110">
        <v>100</v>
      </c>
      <c r="F39" s="111">
        <v>25000</v>
      </c>
      <c r="G39" s="182">
        <v>7750</v>
      </c>
      <c r="H39" s="112"/>
      <c r="I39" s="145">
        <v>8809610272584</v>
      </c>
      <c r="J39" s="121" t="s">
        <v>195</v>
      </c>
      <c r="K39" s="131">
        <v>9</v>
      </c>
    </row>
    <row r="40" spans="2:11" ht="20.100000000000001" customHeight="1" x14ac:dyDescent="0.3">
      <c r="B40" s="101" t="s">
        <v>150</v>
      </c>
      <c r="C40" s="109" t="s">
        <v>151</v>
      </c>
      <c r="D40" s="109" t="s">
        <v>241</v>
      </c>
      <c r="E40" s="110">
        <v>100</v>
      </c>
      <c r="F40" s="111">
        <v>25000</v>
      </c>
      <c r="G40" s="182">
        <v>7750</v>
      </c>
      <c r="H40" s="112"/>
      <c r="I40" s="145">
        <v>8809610272904</v>
      </c>
      <c r="J40" s="121" t="s">
        <v>196</v>
      </c>
      <c r="K40" s="131">
        <v>9</v>
      </c>
    </row>
    <row r="41" spans="2:11" ht="20.100000000000001" customHeight="1" x14ac:dyDescent="0.3">
      <c r="B41" s="101" t="s">
        <v>152</v>
      </c>
      <c r="C41" s="109" t="s">
        <v>153</v>
      </c>
      <c r="D41" s="109" t="s">
        <v>243</v>
      </c>
      <c r="E41" s="110">
        <v>100</v>
      </c>
      <c r="F41" s="113">
        <v>15000</v>
      </c>
      <c r="G41" s="182">
        <v>4650</v>
      </c>
      <c r="H41" s="112"/>
      <c r="I41" s="145">
        <v>8809610273109</v>
      </c>
      <c r="J41" s="121" t="s">
        <v>197</v>
      </c>
      <c r="K41" s="131">
        <v>5</v>
      </c>
    </row>
    <row r="42" spans="2:11" ht="20.100000000000001" customHeight="1" x14ac:dyDescent="0.3">
      <c r="B42" s="101" t="s">
        <v>146</v>
      </c>
      <c r="C42" s="109" t="s">
        <v>147</v>
      </c>
      <c r="D42" s="109" t="s">
        <v>244</v>
      </c>
      <c r="E42" s="110">
        <v>50</v>
      </c>
      <c r="F42" s="111">
        <v>33000</v>
      </c>
      <c r="G42" s="182">
        <v>10230</v>
      </c>
      <c r="H42" s="112"/>
      <c r="I42" s="145">
        <v>8809610272683</v>
      </c>
      <c r="J42" s="121" t="s">
        <v>198</v>
      </c>
      <c r="K42" s="131">
        <v>7</v>
      </c>
    </row>
    <row r="43" spans="2:11" ht="20.25" customHeight="1" thickBot="1" x14ac:dyDescent="0.35">
      <c r="B43" s="134" t="s">
        <v>148</v>
      </c>
      <c r="C43" s="135" t="s">
        <v>246</v>
      </c>
      <c r="D43" s="135" t="s">
        <v>245</v>
      </c>
      <c r="E43" s="136">
        <v>120</v>
      </c>
      <c r="F43" s="137">
        <v>35000</v>
      </c>
      <c r="G43" s="183">
        <v>10860</v>
      </c>
      <c r="H43" s="138"/>
      <c r="I43" s="147">
        <v>8809610273253</v>
      </c>
      <c r="J43" s="139" t="s">
        <v>199</v>
      </c>
      <c r="K43" s="140">
        <v>3.5</v>
      </c>
    </row>
  </sheetData>
  <phoneticPr fontId="15" type="noConversion"/>
  <pageMargins left="0.7" right="0.7" top="0.75" bottom="0.75" header="0.3" footer="0.3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FAF0-5A17-42AD-9ED8-C38AC3588090}">
  <sheetPr>
    <pageSetUpPr fitToPage="1"/>
  </sheetPr>
  <dimension ref="B1:K48"/>
  <sheetViews>
    <sheetView showGridLines="0" view="pageBreakPreview" topLeftCell="A17" zoomScaleNormal="100" zoomScaleSheetLayoutView="100" workbookViewId="0">
      <selection activeCell="E10" sqref="E10"/>
    </sheetView>
  </sheetViews>
  <sheetFormatPr defaultColWidth="9" defaultRowHeight="18" customHeight="1" x14ac:dyDescent="0.3"/>
  <cols>
    <col min="1" max="1" width="1" style="7" customWidth="1"/>
    <col min="2" max="2" width="9.875" style="7" customWidth="1"/>
    <col min="3" max="3" width="55" style="7" bestFit="1" customWidth="1"/>
    <col min="4" max="4" width="10.625" style="7" customWidth="1"/>
    <col min="5" max="5" width="10.125" style="7" customWidth="1"/>
    <col min="6" max="6" width="9" style="7" customWidth="1"/>
    <col min="7" max="7" width="11.5" style="7" customWidth="1"/>
    <col min="8" max="8" width="10.125" style="7" customWidth="1"/>
    <col min="9" max="9" width="12.875" style="7" bestFit="1" customWidth="1"/>
    <col min="10" max="10" width="20.625" style="7" bestFit="1" customWidth="1"/>
    <col min="11" max="11" width="9" style="7" hidden="1" customWidth="1"/>
    <col min="12" max="16384" width="9" style="7"/>
  </cols>
  <sheetData>
    <row r="1" spans="2:10" ht="5.25" customHeight="1" thickBot="1" x14ac:dyDescent="0.35"/>
    <row r="2" spans="2:10" ht="18" customHeight="1" x14ac:dyDescent="0.3">
      <c r="B2" s="155" t="s">
        <v>66</v>
      </c>
      <c r="C2" s="156"/>
      <c r="D2" s="157"/>
      <c r="E2" s="164" t="s">
        <v>67</v>
      </c>
      <c r="F2" s="178" t="s">
        <v>68</v>
      </c>
      <c r="G2" s="179"/>
      <c r="H2" s="167"/>
      <c r="I2" s="167"/>
      <c r="J2" s="167"/>
    </row>
    <row r="3" spans="2:10" ht="18" customHeight="1" x14ac:dyDescent="0.3">
      <c r="B3" s="158"/>
      <c r="C3" s="159"/>
      <c r="D3" s="160"/>
      <c r="E3" s="165"/>
      <c r="F3" s="169" t="s">
        <v>69</v>
      </c>
      <c r="G3" s="170"/>
      <c r="H3" s="168"/>
      <c r="I3" s="168"/>
      <c r="J3" s="168"/>
    </row>
    <row r="4" spans="2:10" ht="18" customHeight="1" x14ac:dyDescent="0.3">
      <c r="B4" s="158"/>
      <c r="C4" s="159"/>
      <c r="D4" s="160"/>
      <c r="E4" s="165"/>
      <c r="F4" s="169" t="s">
        <v>70</v>
      </c>
      <c r="G4" s="170"/>
      <c r="H4" s="171"/>
      <c r="I4" s="171"/>
      <c r="J4" s="171"/>
    </row>
    <row r="5" spans="2:10" ht="18" customHeight="1" thickBot="1" x14ac:dyDescent="0.35">
      <c r="B5" s="161"/>
      <c r="C5" s="162"/>
      <c r="D5" s="163"/>
      <c r="E5" s="166"/>
      <c r="F5" s="172" t="s">
        <v>71</v>
      </c>
      <c r="G5" s="173"/>
      <c r="H5" s="174"/>
      <c r="I5" s="174"/>
      <c r="J5" s="174"/>
    </row>
    <row r="6" spans="2:10" ht="18" customHeight="1" thickBot="1" x14ac:dyDescent="0.35"/>
    <row r="7" spans="2:10" ht="44.25" customHeight="1" thickBot="1" x14ac:dyDescent="0.35">
      <c r="B7" s="55"/>
      <c r="C7" s="55"/>
      <c r="D7" s="55"/>
      <c r="E7" s="56"/>
      <c r="F7" s="57" t="s">
        <v>65</v>
      </c>
      <c r="G7" s="58" t="s">
        <v>0</v>
      </c>
      <c r="H7" s="177">
        <f>I42</f>
        <v>0</v>
      </c>
      <c r="I7" s="177"/>
      <c r="J7" s="59" t="s">
        <v>79</v>
      </c>
    </row>
    <row r="8" spans="2:10" ht="28.5" customHeight="1" thickBot="1" x14ac:dyDescent="0.35">
      <c r="B8" s="9"/>
      <c r="C8" s="10"/>
      <c r="D8" s="10"/>
      <c r="E8" s="17"/>
      <c r="F8" s="10"/>
      <c r="G8" s="10"/>
      <c r="H8" s="10"/>
      <c r="I8" s="10"/>
      <c r="J8" s="16"/>
    </row>
    <row r="9" spans="2:10" s="13" customFormat="1" ht="42" customHeight="1" thickBot="1" x14ac:dyDescent="0.35">
      <c r="B9" s="15" t="s">
        <v>73</v>
      </c>
      <c r="C9" s="18" t="s">
        <v>74</v>
      </c>
      <c r="D9" s="18" t="s">
        <v>75</v>
      </c>
      <c r="E9" s="18" t="s">
        <v>76</v>
      </c>
      <c r="F9" s="1" t="s">
        <v>77</v>
      </c>
      <c r="G9" s="18" t="s">
        <v>78</v>
      </c>
      <c r="H9" s="18" t="s">
        <v>80</v>
      </c>
      <c r="I9" s="1" t="s">
        <v>81</v>
      </c>
      <c r="J9" s="14" t="s">
        <v>82</v>
      </c>
    </row>
    <row r="10" spans="2:10" ht="20.100000000000001" customHeight="1" thickTop="1" x14ac:dyDescent="0.3">
      <c r="B10" s="11" t="s">
        <v>5</v>
      </c>
      <c r="C10" s="39" t="s">
        <v>54</v>
      </c>
      <c r="D10" s="6">
        <v>24</v>
      </c>
      <c r="E10" s="12">
        <v>0.3</v>
      </c>
      <c r="F10" s="31"/>
      <c r="G10" s="40">
        <v>119000</v>
      </c>
      <c r="H10" s="3">
        <f t="shared" ref="H10:H40" si="0">E10*G10</f>
        <v>35700</v>
      </c>
      <c r="I10" s="41">
        <f t="shared" ref="I10:I40" si="1">H10*F10</f>
        <v>0</v>
      </c>
      <c r="J10" s="42"/>
    </row>
    <row r="11" spans="2:10" ht="20.100000000000001" customHeight="1" x14ac:dyDescent="0.3">
      <c r="B11" s="11" t="s">
        <v>1</v>
      </c>
      <c r="C11" s="39" t="s">
        <v>33</v>
      </c>
      <c r="D11" s="6">
        <v>60</v>
      </c>
      <c r="E11" s="12">
        <v>0.3</v>
      </c>
      <c r="F11" s="30"/>
      <c r="G11" s="40">
        <v>11900</v>
      </c>
      <c r="H11" s="3">
        <f t="shared" si="0"/>
        <v>3570</v>
      </c>
      <c r="I11" s="41">
        <f t="shared" si="1"/>
        <v>0</v>
      </c>
      <c r="J11" s="42"/>
    </row>
    <row r="12" spans="2:10" ht="20.100000000000001" customHeight="1" x14ac:dyDescent="0.3">
      <c r="B12" s="11" t="s">
        <v>2</v>
      </c>
      <c r="C12" s="39" t="s">
        <v>34</v>
      </c>
      <c r="D12" s="6">
        <v>50</v>
      </c>
      <c r="E12" s="12">
        <v>0.3</v>
      </c>
      <c r="F12" s="31"/>
      <c r="G12" s="40">
        <v>14900</v>
      </c>
      <c r="H12" s="3">
        <f t="shared" si="0"/>
        <v>4470</v>
      </c>
      <c r="I12" s="41">
        <f t="shared" si="1"/>
        <v>0</v>
      </c>
      <c r="J12" s="42"/>
    </row>
    <row r="13" spans="2:10" ht="20.100000000000001" customHeight="1" x14ac:dyDescent="0.3">
      <c r="B13" s="34" t="s">
        <v>25</v>
      </c>
      <c r="C13" s="35" t="s">
        <v>35</v>
      </c>
      <c r="D13" s="20">
        <v>24</v>
      </c>
      <c r="E13" s="12">
        <v>0.3</v>
      </c>
      <c r="F13" s="32"/>
      <c r="G13" s="43">
        <v>49500</v>
      </c>
      <c r="H13" s="3">
        <f t="shared" si="0"/>
        <v>14850</v>
      </c>
      <c r="I13" s="41">
        <f t="shared" si="1"/>
        <v>0</v>
      </c>
      <c r="J13" s="44"/>
    </row>
    <row r="14" spans="2:10" ht="20.100000000000001" customHeight="1" x14ac:dyDescent="0.3">
      <c r="B14" s="34" t="s">
        <v>26</v>
      </c>
      <c r="C14" s="35" t="s">
        <v>36</v>
      </c>
      <c r="D14" s="20">
        <v>40</v>
      </c>
      <c r="E14" s="12">
        <v>0.3</v>
      </c>
      <c r="F14" s="32"/>
      <c r="G14" s="43">
        <v>19500</v>
      </c>
      <c r="H14" s="3">
        <f t="shared" si="0"/>
        <v>5850</v>
      </c>
      <c r="I14" s="41">
        <f t="shared" si="1"/>
        <v>0</v>
      </c>
      <c r="J14" s="44"/>
    </row>
    <row r="15" spans="2:10" ht="20.100000000000001" customHeight="1" x14ac:dyDescent="0.3">
      <c r="B15" s="11" t="s">
        <v>4</v>
      </c>
      <c r="C15" s="39" t="s">
        <v>37</v>
      </c>
      <c r="D15" s="6">
        <v>24</v>
      </c>
      <c r="E15" s="12">
        <v>0.3</v>
      </c>
      <c r="F15" s="31"/>
      <c r="G15" s="40">
        <v>79000</v>
      </c>
      <c r="H15" s="3">
        <f t="shared" si="0"/>
        <v>23700</v>
      </c>
      <c r="I15" s="41">
        <f t="shared" si="1"/>
        <v>0</v>
      </c>
      <c r="J15" s="42"/>
    </row>
    <row r="16" spans="2:10" ht="20.100000000000001" customHeight="1" x14ac:dyDescent="0.3">
      <c r="B16" s="11" t="s">
        <v>3</v>
      </c>
      <c r="C16" s="39" t="s">
        <v>38</v>
      </c>
      <c r="D16" s="6">
        <v>150</v>
      </c>
      <c r="E16" s="12">
        <v>0.3</v>
      </c>
      <c r="F16" s="31"/>
      <c r="G16" s="40">
        <v>19000</v>
      </c>
      <c r="H16" s="3">
        <f t="shared" si="0"/>
        <v>5700</v>
      </c>
      <c r="I16" s="41">
        <f t="shared" si="1"/>
        <v>0</v>
      </c>
      <c r="J16" s="42"/>
    </row>
    <row r="17" spans="2:10" ht="20.100000000000001" customHeight="1" x14ac:dyDescent="0.3">
      <c r="B17" s="4" t="s">
        <v>6</v>
      </c>
      <c r="C17" s="37" t="s">
        <v>39</v>
      </c>
      <c r="D17" s="5">
        <v>80</v>
      </c>
      <c r="E17" s="54">
        <v>0.26</v>
      </c>
      <c r="F17" s="29"/>
      <c r="G17" s="2">
        <v>12000</v>
      </c>
      <c r="H17" s="3">
        <f t="shared" si="0"/>
        <v>3120</v>
      </c>
      <c r="I17" s="41">
        <f t="shared" si="1"/>
        <v>0</v>
      </c>
      <c r="J17" s="38"/>
    </row>
    <row r="18" spans="2:10" ht="20.100000000000001" customHeight="1" x14ac:dyDescent="0.3">
      <c r="B18" s="49" t="s">
        <v>9</v>
      </c>
      <c r="C18" s="45" t="s">
        <v>40</v>
      </c>
      <c r="D18" s="46">
        <v>50</v>
      </c>
      <c r="E18" s="12">
        <v>0.3</v>
      </c>
      <c r="F18" s="47"/>
      <c r="G18" s="48">
        <v>99000</v>
      </c>
      <c r="H18" s="3">
        <f t="shared" si="0"/>
        <v>29700</v>
      </c>
      <c r="I18" s="41">
        <f t="shared" si="1"/>
        <v>0</v>
      </c>
      <c r="J18" s="38"/>
    </row>
    <row r="19" spans="2:10" ht="20.100000000000001" customHeight="1" x14ac:dyDescent="0.3">
      <c r="B19" s="36" t="s">
        <v>8</v>
      </c>
      <c r="C19" s="37" t="s">
        <v>41</v>
      </c>
      <c r="D19" s="5">
        <v>80</v>
      </c>
      <c r="E19" s="12">
        <v>0.3</v>
      </c>
      <c r="F19" s="50"/>
      <c r="G19" s="2">
        <v>59000</v>
      </c>
      <c r="H19" s="3">
        <f t="shared" si="0"/>
        <v>17700</v>
      </c>
      <c r="I19" s="41">
        <f t="shared" si="1"/>
        <v>0</v>
      </c>
      <c r="J19" s="38"/>
    </row>
    <row r="20" spans="2:10" ht="20.100000000000001" customHeight="1" x14ac:dyDescent="0.3">
      <c r="B20" s="11" t="s">
        <v>7</v>
      </c>
      <c r="C20" s="39" t="s">
        <v>42</v>
      </c>
      <c r="D20" s="6">
        <v>50</v>
      </c>
      <c r="E20" s="12">
        <v>0.3</v>
      </c>
      <c r="F20" s="30"/>
      <c r="G20" s="40">
        <v>29000</v>
      </c>
      <c r="H20" s="3">
        <f t="shared" si="0"/>
        <v>8700</v>
      </c>
      <c r="I20" s="41">
        <f t="shared" si="1"/>
        <v>0</v>
      </c>
      <c r="J20" s="42"/>
    </row>
    <row r="21" spans="2:10" ht="20.100000000000001" customHeight="1" x14ac:dyDescent="0.3">
      <c r="B21" s="21" t="s">
        <v>10</v>
      </c>
      <c r="C21" s="39" t="s">
        <v>43</v>
      </c>
      <c r="D21" s="6">
        <v>60</v>
      </c>
      <c r="E21" s="12">
        <v>0.3</v>
      </c>
      <c r="F21" s="30"/>
      <c r="G21" s="40">
        <v>35000</v>
      </c>
      <c r="H21" s="3">
        <f t="shared" si="0"/>
        <v>10500</v>
      </c>
      <c r="I21" s="41">
        <f t="shared" si="1"/>
        <v>0</v>
      </c>
      <c r="J21" s="42"/>
    </row>
    <row r="22" spans="2:10" ht="20.100000000000001" customHeight="1" x14ac:dyDescent="0.3">
      <c r="B22" s="19" t="s">
        <v>17</v>
      </c>
      <c r="C22" s="37" t="s">
        <v>44</v>
      </c>
      <c r="D22" s="5">
        <v>100</v>
      </c>
      <c r="E22" s="12">
        <v>0.3</v>
      </c>
      <c r="F22" s="29"/>
      <c r="G22" s="2">
        <v>25000</v>
      </c>
      <c r="H22" s="3">
        <f t="shared" si="0"/>
        <v>7500</v>
      </c>
      <c r="I22" s="41">
        <f t="shared" si="1"/>
        <v>0</v>
      </c>
      <c r="J22" s="38"/>
    </row>
    <row r="23" spans="2:10" ht="20.100000000000001" customHeight="1" x14ac:dyDescent="0.3">
      <c r="B23" s="21" t="s">
        <v>11</v>
      </c>
      <c r="C23" s="39" t="s">
        <v>45</v>
      </c>
      <c r="D23" s="6">
        <v>40</v>
      </c>
      <c r="E23" s="12">
        <v>0.3</v>
      </c>
      <c r="F23" s="30"/>
      <c r="G23" s="40">
        <v>20000</v>
      </c>
      <c r="H23" s="3">
        <f t="shared" si="0"/>
        <v>6000</v>
      </c>
      <c r="I23" s="41">
        <f t="shared" si="1"/>
        <v>0</v>
      </c>
      <c r="J23" s="53"/>
    </row>
    <row r="24" spans="2:10" ht="20.100000000000001" customHeight="1" x14ac:dyDescent="0.3">
      <c r="B24" s="21" t="s">
        <v>12</v>
      </c>
      <c r="C24" s="39" t="s">
        <v>46</v>
      </c>
      <c r="D24" s="6">
        <v>50</v>
      </c>
      <c r="E24" s="12">
        <v>0.3</v>
      </c>
      <c r="F24" s="31"/>
      <c r="G24" s="40">
        <v>38000</v>
      </c>
      <c r="H24" s="3">
        <f t="shared" si="0"/>
        <v>11400</v>
      </c>
      <c r="I24" s="41">
        <f t="shared" si="1"/>
        <v>0</v>
      </c>
      <c r="J24" s="44"/>
    </row>
    <row r="25" spans="2:10" ht="20.100000000000001" customHeight="1" x14ac:dyDescent="0.3">
      <c r="B25" s="21" t="s">
        <v>13</v>
      </c>
      <c r="C25" s="39" t="s">
        <v>47</v>
      </c>
      <c r="D25" s="6">
        <v>200</v>
      </c>
      <c r="E25" s="12">
        <v>0.3</v>
      </c>
      <c r="F25" s="31"/>
      <c r="G25" s="40">
        <v>6500</v>
      </c>
      <c r="H25" s="3">
        <f t="shared" si="0"/>
        <v>1950</v>
      </c>
      <c r="I25" s="41">
        <f t="shared" si="1"/>
        <v>0</v>
      </c>
      <c r="J25" s="44"/>
    </row>
    <row r="26" spans="2:10" ht="20.100000000000001" customHeight="1" x14ac:dyDescent="0.3">
      <c r="B26" s="34" t="s">
        <v>15</v>
      </c>
      <c r="C26" s="35" t="s">
        <v>55</v>
      </c>
      <c r="D26" s="20">
        <v>45</v>
      </c>
      <c r="E26" s="54">
        <v>0.26</v>
      </c>
      <c r="F26" s="32"/>
      <c r="G26" s="43">
        <v>22500</v>
      </c>
      <c r="H26" s="3">
        <f t="shared" si="0"/>
        <v>5850</v>
      </c>
      <c r="I26" s="41">
        <f t="shared" si="1"/>
        <v>0</v>
      </c>
      <c r="J26" s="44"/>
    </row>
    <row r="27" spans="2:10" ht="20.100000000000001" customHeight="1" x14ac:dyDescent="0.3">
      <c r="B27" s="34" t="s">
        <v>16</v>
      </c>
      <c r="C27" s="35" t="s">
        <v>56</v>
      </c>
      <c r="D27" s="20">
        <v>80</v>
      </c>
      <c r="E27" s="12">
        <v>0.3</v>
      </c>
      <c r="F27" s="32"/>
      <c r="G27" s="43">
        <v>39000</v>
      </c>
      <c r="H27" s="3">
        <f t="shared" si="0"/>
        <v>11700</v>
      </c>
      <c r="I27" s="41">
        <f t="shared" si="1"/>
        <v>0</v>
      </c>
      <c r="J27" s="44"/>
    </row>
    <row r="28" spans="2:10" ht="20.100000000000001" customHeight="1" x14ac:dyDescent="0.3">
      <c r="B28" s="52" t="s">
        <v>20</v>
      </c>
      <c r="C28" s="37" t="s">
        <v>57</v>
      </c>
      <c r="D28" s="5">
        <v>120</v>
      </c>
      <c r="E28" s="12">
        <v>0.3</v>
      </c>
      <c r="F28" s="29"/>
      <c r="G28" s="2">
        <v>28000</v>
      </c>
      <c r="H28" s="3">
        <f t="shared" si="0"/>
        <v>8400</v>
      </c>
      <c r="I28" s="41">
        <f t="shared" si="1"/>
        <v>0</v>
      </c>
      <c r="J28" s="38"/>
    </row>
    <row r="29" spans="2:10" ht="20.100000000000001" customHeight="1" x14ac:dyDescent="0.3">
      <c r="B29" s="49" t="s">
        <v>19</v>
      </c>
      <c r="C29" s="45" t="s">
        <v>58</v>
      </c>
      <c r="D29" s="46">
        <v>70</v>
      </c>
      <c r="E29" s="12">
        <v>0.3</v>
      </c>
      <c r="F29" s="47"/>
      <c r="G29" s="48">
        <v>40000</v>
      </c>
      <c r="H29" s="3">
        <f t="shared" si="0"/>
        <v>12000</v>
      </c>
      <c r="I29" s="41">
        <f t="shared" si="1"/>
        <v>0</v>
      </c>
      <c r="J29" s="51"/>
    </row>
    <row r="30" spans="2:10" ht="20.100000000000001" customHeight="1" x14ac:dyDescent="0.3">
      <c r="B30" s="49" t="s">
        <v>18</v>
      </c>
      <c r="C30" s="45" t="s">
        <v>59</v>
      </c>
      <c r="D30" s="46">
        <v>30</v>
      </c>
      <c r="E30" s="12">
        <v>0.3</v>
      </c>
      <c r="F30" s="47"/>
      <c r="G30" s="48">
        <v>109000</v>
      </c>
      <c r="H30" s="3">
        <f t="shared" si="0"/>
        <v>32700</v>
      </c>
      <c r="I30" s="41">
        <f t="shared" si="1"/>
        <v>0</v>
      </c>
      <c r="J30" s="51"/>
    </row>
    <row r="31" spans="2:10" ht="20.100000000000001" customHeight="1" x14ac:dyDescent="0.3">
      <c r="B31" s="34" t="s">
        <v>21</v>
      </c>
      <c r="C31" s="35" t="s">
        <v>60</v>
      </c>
      <c r="D31" s="20">
        <v>50</v>
      </c>
      <c r="E31" s="12">
        <v>0.3</v>
      </c>
      <c r="F31" s="32"/>
      <c r="G31" s="43">
        <v>25000</v>
      </c>
      <c r="H31" s="3">
        <f t="shared" si="0"/>
        <v>7500</v>
      </c>
      <c r="I31" s="41">
        <f t="shared" si="1"/>
        <v>0</v>
      </c>
      <c r="J31" s="44"/>
    </row>
    <row r="32" spans="2:10" ht="20.100000000000001" customHeight="1" x14ac:dyDescent="0.3">
      <c r="B32" s="34" t="s">
        <v>22</v>
      </c>
      <c r="C32" s="35" t="s">
        <v>61</v>
      </c>
      <c r="D32" s="20">
        <v>20</v>
      </c>
      <c r="E32" s="12">
        <v>0.3</v>
      </c>
      <c r="F32" s="32"/>
      <c r="G32" s="43">
        <v>23000</v>
      </c>
      <c r="H32" s="3">
        <f t="shared" si="0"/>
        <v>6900</v>
      </c>
      <c r="I32" s="41">
        <f t="shared" si="1"/>
        <v>0</v>
      </c>
      <c r="J32" s="44"/>
    </row>
    <row r="33" spans="2:11" ht="20.100000000000001" customHeight="1" x14ac:dyDescent="0.3">
      <c r="B33" s="11" t="s">
        <v>23</v>
      </c>
      <c r="C33" s="39" t="s">
        <v>62</v>
      </c>
      <c r="D33" s="6">
        <v>50</v>
      </c>
      <c r="E33" s="12">
        <v>0.3</v>
      </c>
      <c r="F33" s="30"/>
      <c r="G33" s="40">
        <v>29000</v>
      </c>
      <c r="H33" s="3">
        <f t="shared" si="0"/>
        <v>8700</v>
      </c>
      <c r="I33" s="41">
        <f t="shared" si="1"/>
        <v>0</v>
      </c>
      <c r="J33" s="44"/>
    </row>
    <row r="34" spans="2:11" ht="20.100000000000001" customHeight="1" x14ac:dyDescent="0.3">
      <c r="B34" s="34" t="s">
        <v>27</v>
      </c>
      <c r="C34" s="35" t="s">
        <v>63</v>
      </c>
      <c r="D34" s="20">
        <v>80</v>
      </c>
      <c r="E34" s="12">
        <v>0.3</v>
      </c>
      <c r="F34" s="32"/>
      <c r="G34" s="43">
        <v>28000</v>
      </c>
      <c r="H34" s="3">
        <f t="shared" si="0"/>
        <v>8400</v>
      </c>
      <c r="I34" s="41">
        <f t="shared" si="1"/>
        <v>0</v>
      </c>
      <c r="J34" s="44"/>
    </row>
    <row r="35" spans="2:11" ht="19.5" customHeight="1" x14ac:dyDescent="0.3">
      <c r="B35" s="34" t="s">
        <v>32</v>
      </c>
      <c r="C35" s="35" t="s">
        <v>48</v>
      </c>
      <c r="D35" s="20">
        <v>22</v>
      </c>
      <c r="E35" s="12">
        <v>0.3</v>
      </c>
      <c r="F35" s="32"/>
      <c r="G35" s="43">
        <v>29000</v>
      </c>
      <c r="H35" s="3">
        <f t="shared" si="0"/>
        <v>8700</v>
      </c>
      <c r="I35" s="41">
        <f t="shared" si="1"/>
        <v>0</v>
      </c>
      <c r="J35" s="44"/>
    </row>
    <row r="36" spans="2:11" ht="19.5" customHeight="1" x14ac:dyDescent="0.3">
      <c r="B36" s="34" t="s">
        <v>31</v>
      </c>
      <c r="C36" s="35" t="s">
        <v>49</v>
      </c>
      <c r="D36" s="20">
        <v>50</v>
      </c>
      <c r="E36" s="12">
        <v>0.3</v>
      </c>
      <c r="F36" s="32"/>
      <c r="G36" s="43">
        <v>12900</v>
      </c>
      <c r="H36" s="3">
        <f t="shared" si="0"/>
        <v>3870</v>
      </c>
      <c r="I36" s="41">
        <f t="shared" si="1"/>
        <v>0</v>
      </c>
      <c r="J36" s="44"/>
    </row>
    <row r="37" spans="2:11" ht="19.5" customHeight="1" x14ac:dyDescent="0.3">
      <c r="B37" s="34" t="s">
        <v>24</v>
      </c>
      <c r="C37" s="35" t="s">
        <v>50</v>
      </c>
      <c r="D37" s="20">
        <v>30</v>
      </c>
      <c r="E37" s="12">
        <v>0.3</v>
      </c>
      <c r="F37" s="32"/>
      <c r="G37" s="43">
        <v>38500</v>
      </c>
      <c r="H37" s="3">
        <f t="shared" si="0"/>
        <v>11550</v>
      </c>
      <c r="I37" s="41">
        <f t="shared" si="1"/>
        <v>0</v>
      </c>
      <c r="J37" s="44"/>
    </row>
    <row r="38" spans="2:11" s="8" customFormat="1" ht="20.100000000000001" customHeight="1" x14ac:dyDescent="0.3">
      <c r="B38" s="34" t="s">
        <v>28</v>
      </c>
      <c r="C38" s="35" t="s">
        <v>51</v>
      </c>
      <c r="D38" s="20">
        <v>50</v>
      </c>
      <c r="E38" s="12">
        <v>0.3</v>
      </c>
      <c r="F38" s="32"/>
      <c r="G38" s="43">
        <v>37000</v>
      </c>
      <c r="H38" s="3">
        <f t="shared" si="0"/>
        <v>11100</v>
      </c>
      <c r="I38" s="41">
        <f t="shared" si="1"/>
        <v>0</v>
      </c>
      <c r="J38" s="44"/>
    </row>
    <row r="39" spans="2:11" s="8" customFormat="1" ht="20.100000000000001" customHeight="1" x14ac:dyDescent="0.3">
      <c r="B39" s="34" t="s">
        <v>29</v>
      </c>
      <c r="C39" s="35" t="s">
        <v>52</v>
      </c>
      <c r="D39" s="20">
        <v>48</v>
      </c>
      <c r="E39" s="12">
        <v>0.3</v>
      </c>
      <c r="F39" s="32"/>
      <c r="G39" s="43">
        <v>23000</v>
      </c>
      <c r="H39" s="3">
        <f t="shared" si="0"/>
        <v>6900</v>
      </c>
      <c r="I39" s="41">
        <f t="shared" si="1"/>
        <v>0</v>
      </c>
      <c r="J39" s="44"/>
    </row>
    <row r="40" spans="2:11" s="8" customFormat="1" ht="20.100000000000001" customHeight="1" x14ac:dyDescent="0.3">
      <c r="B40" s="34" t="s">
        <v>30</v>
      </c>
      <c r="C40" s="35" t="s">
        <v>53</v>
      </c>
      <c r="D40" s="20">
        <v>100</v>
      </c>
      <c r="E40" s="12">
        <v>0.3</v>
      </c>
      <c r="F40" s="32"/>
      <c r="G40" s="43">
        <v>25000</v>
      </c>
      <c r="H40" s="3">
        <f t="shared" si="0"/>
        <v>7500</v>
      </c>
      <c r="I40" s="41">
        <f t="shared" si="1"/>
        <v>0</v>
      </c>
      <c r="J40" s="44"/>
    </row>
    <row r="41" spans="2:11" s="8" customFormat="1" ht="20.100000000000001" customHeight="1" thickBot="1" x14ac:dyDescent="0.35">
      <c r="B41" s="84"/>
      <c r="C41" s="85"/>
      <c r="D41" s="86"/>
      <c r="E41" s="87"/>
      <c r="F41" s="88"/>
      <c r="G41" s="89"/>
      <c r="H41" s="90"/>
      <c r="I41" s="91"/>
      <c r="J41" s="92"/>
    </row>
    <row r="42" spans="2:11" s="8" customFormat="1" ht="20.100000000000001" customHeight="1" thickTop="1" thickBot="1" x14ac:dyDescent="0.35">
      <c r="B42" s="22"/>
      <c r="C42" s="23"/>
      <c r="D42" s="23"/>
      <c r="E42" s="24" t="s">
        <v>64</v>
      </c>
      <c r="F42" s="33">
        <f>SUM(F10:F40)</f>
        <v>0</v>
      </c>
      <c r="G42" s="25"/>
      <c r="H42" s="26" t="s">
        <v>64</v>
      </c>
      <c r="I42" s="27">
        <f>SUM(I10:I40)</f>
        <v>0</v>
      </c>
      <c r="J42" s="28"/>
    </row>
    <row r="44" spans="2:11" ht="18" customHeight="1" thickBot="1" x14ac:dyDescent="0.35">
      <c r="B44" s="60" t="s">
        <v>83</v>
      </c>
      <c r="C44" s="61"/>
      <c r="D44" s="62"/>
      <c r="E44" s="62"/>
      <c r="F44" s="62"/>
      <c r="G44" s="60" t="s">
        <v>84</v>
      </c>
      <c r="H44" s="62"/>
      <c r="I44" s="62"/>
      <c r="J44" s="62"/>
      <c r="K44" s="62"/>
    </row>
    <row r="45" spans="2:11" ht="18" customHeight="1" x14ac:dyDescent="0.3">
      <c r="B45" s="63" t="s">
        <v>69</v>
      </c>
      <c r="C45" s="64"/>
      <c r="D45" s="65"/>
      <c r="E45" s="148" t="s">
        <v>85</v>
      </c>
      <c r="F45" s="149"/>
      <c r="G45" s="66" t="s">
        <v>86</v>
      </c>
      <c r="H45" s="150" t="s">
        <v>87</v>
      </c>
      <c r="I45" s="150"/>
      <c r="J45" s="67" t="s">
        <v>88</v>
      </c>
      <c r="K45" s="67" t="s">
        <v>88</v>
      </c>
    </row>
    <row r="46" spans="2:11" ht="18" customHeight="1" x14ac:dyDescent="0.3">
      <c r="B46" s="68" t="s">
        <v>72</v>
      </c>
      <c r="C46" s="69"/>
      <c r="D46" s="70"/>
      <c r="E46" s="151" t="s">
        <v>89</v>
      </c>
      <c r="F46" s="152"/>
      <c r="G46" s="175" t="s">
        <v>90</v>
      </c>
      <c r="H46" s="175"/>
      <c r="I46" s="175"/>
      <c r="J46" s="176"/>
      <c r="K46" s="83"/>
    </row>
    <row r="47" spans="2:11" ht="18" customHeight="1" x14ac:dyDescent="0.3">
      <c r="B47" s="71" t="s">
        <v>70</v>
      </c>
      <c r="C47" s="72"/>
      <c r="D47" s="73"/>
      <c r="E47" s="153" t="s">
        <v>91</v>
      </c>
      <c r="F47" s="74"/>
      <c r="G47" s="75"/>
      <c r="H47" s="75"/>
      <c r="I47" s="75"/>
      <c r="J47" s="76"/>
      <c r="K47" s="76"/>
    </row>
    <row r="48" spans="2:11" ht="18" customHeight="1" thickBot="1" x14ac:dyDescent="0.35">
      <c r="B48" s="77" t="s">
        <v>82</v>
      </c>
      <c r="C48" s="78"/>
      <c r="D48" s="79"/>
      <c r="E48" s="154"/>
      <c r="F48" s="80"/>
      <c r="G48" s="81"/>
      <c r="H48" s="81"/>
      <c r="I48" s="81"/>
      <c r="J48" s="82"/>
      <c r="K48" s="82"/>
    </row>
  </sheetData>
  <mergeCells count="16">
    <mergeCell ref="E45:F45"/>
    <mergeCell ref="H45:I45"/>
    <mergeCell ref="E46:F46"/>
    <mergeCell ref="E47:E48"/>
    <mergeCell ref="B2:D5"/>
    <mergeCell ref="E2:E5"/>
    <mergeCell ref="H2:J2"/>
    <mergeCell ref="H3:J3"/>
    <mergeCell ref="F4:G4"/>
    <mergeCell ref="H4:J4"/>
    <mergeCell ref="F5:G5"/>
    <mergeCell ref="H5:J5"/>
    <mergeCell ref="G46:J46"/>
    <mergeCell ref="H7:I7"/>
    <mergeCell ref="F2:G2"/>
    <mergeCell ref="F3:G3"/>
  </mergeCells>
  <phoneticPr fontId="15" type="noConversion"/>
  <dataValidations count="1">
    <dataValidation type="list" allowBlank="1" showInputMessage="1" showErrorMessage="1" sqref="E7:F7" xr:uid="{6B27E553-70E3-4AFB-8816-9DE8828388EC}">
      <formula1>#REF!</formula1>
    </dataValidation>
  </dataValidations>
  <pageMargins left="0.7" right="0.7" top="0.75" bottom="0.75" header="0.3" footer="0.3"/>
  <pageSetup paperSize="9"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국문</vt:lpstr>
      <vt:lpstr>English</vt:lpstr>
      <vt:lpstr>English!Print_Area</vt:lpstr>
      <vt:lpstr>국문!Print_Area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H.S Song</cp:lastModifiedBy>
  <cp:revision>3</cp:revision>
  <cp:lastPrinted>2025-07-03T09:55:26Z</cp:lastPrinted>
  <dcterms:created xsi:type="dcterms:W3CDTF">2017-07-03T02:05:39Z</dcterms:created>
  <dcterms:modified xsi:type="dcterms:W3CDTF">2026-08-11T07:14:03Z</dcterms:modified>
</cp:coreProperties>
</file>
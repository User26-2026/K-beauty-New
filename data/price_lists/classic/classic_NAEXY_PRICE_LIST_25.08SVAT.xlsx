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NAEXY_LK 코스메틱\매출\"/>
    </mc:Choice>
  </mc:AlternateContent>
  <xr:revisionPtr revIDLastSave="0" documentId="8_{475316DF-9F8D-4FF1-9F48-406AFEDECBC6}" xr6:coauthVersionLast="45" xr6:coauthVersionMax="45" xr10:uidLastSave="{00000000-0000-0000-0000-000000000000}"/>
  <bookViews>
    <workbookView xWindow="-120" yWindow="-120" windowWidth="29040" windowHeight="15720" xr2:uid="{6EF8346E-7F7A-4E8B-9940-64DC60A81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4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<sst xmlns="http://schemas.openxmlformats.org/spreadsheetml/2006/main" count="82" uniqueCount="55">
  <si>
    <t>넥시 피토 콜라겐 리커버리 크림
NAEXY Phyto Collagen Recovery Cream</t>
    <phoneticPr fontId="7" type="noConversion"/>
  </si>
  <si>
    <t>50g</t>
    <phoneticPr fontId="7" type="noConversion"/>
  </si>
  <si>
    <t>넥시 판테놀 히알루로닉 리커버리 크림
NAEXY Panthenol Hyaluronic Recovery Cream</t>
    <phoneticPr fontId="7" type="noConversion"/>
  </si>
  <si>
    <t>넥시 어성초 리커버리 크림
NAEXY Heartleaf Recovery Cream</t>
    <phoneticPr fontId="7" type="noConversion"/>
  </si>
  <si>
    <t>넥시 캐롯 비타 리커버리 크림
NAEXY Carrot Vita Recovery Cream</t>
    <phoneticPr fontId="7" type="noConversion"/>
  </si>
  <si>
    <t>넥시 블랙 스네일 리커버리 크림
NAEXY Black Snail Recovery Cream</t>
    <phoneticPr fontId="7" type="noConversion"/>
  </si>
  <si>
    <t>넥시 티트리 리커버리 크림
NAEXY Tea Tree Recovery Cream</t>
    <phoneticPr fontId="7" type="noConversion"/>
  </si>
  <si>
    <t>넥시 프로폴리스 유자 리커버리 크림
NAEXY Propolis Yuzu Recovery Cream</t>
    <phoneticPr fontId="7" type="noConversion"/>
  </si>
  <si>
    <t>넥시 펩타이드 리커버리 크림
NAEXY Peptide Recovery Cream</t>
    <phoneticPr fontId="7" type="noConversion"/>
  </si>
  <si>
    <t>넥시 피토 콜라겐 리커버리 세럼
NAEXY Phyto Collagen Recovery Serum</t>
    <phoneticPr fontId="7" type="noConversion"/>
  </si>
  <si>
    <t>50ml</t>
    <phoneticPr fontId="7" type="noConversion"/>
  </si>
  <si>
    <t>넥시 판테놀 히알루로닉 리커버리 세럼
NAEXY Panthenol Hyaluronic Recovery Serum</t>
    <phoneticPr fontId="7" type="noConversion"/>
  </si>
  <si>
    <t>넥시 어성초 리커버리 세럼
NAEXY Heartleaf Recovery Serum</t>
    <phoneticPr fontId="7" type="noConversion"/>
  </si>
  <si>
    <t>넥시 캐롯 비타 리커버리 세럼
NAEXY Carrot Vita Recovery Serum</t>
    <phoneticPr fontId="7" type="noConversion"/>
  </si>
  <si>
    <t>넥시 피토 콜라겐 리커버리 토너
NAEXY Phyto Collagen Recovery Toner</t>
    <phoneticPr fontId="7" type="noConversion"/>
  </si>
  <si>
    <t>200ml</t>
    <phoneticPr fontId="7" type="noConversion"/>
  </si>
  <si>
    <t>넥시 판테놀 히알루로닉 리커버리 토너
NAEXY Panthenol Hyaluronic Recovery Toner</t>
    <phoneticPr fontId="7" type="noConversion"/>
  </si>
  <si>
    <t>넥시 어성초 리커버리 토너
NAEXY Heartleaf Recovery Toner</t>
    <phoneticPr fontId="7" type="noConversion"/>
  </si>
  <si>
    <t>넥시 캐롯 비타 리커버리 토너
NAEXY Carrot Vita Recovery Toner</t>
    <phoneticPr fontId="7" type="noConversion"/>
  </si>
  <si>
    <t>넥시 피토 콜라겐 리커버리 필링젤
NAEXY Phyto Collagen Recovery Peeling Gel</t>
    <phoneticPr fontId="7" type="noConversion"/>
  </si>
  <si>
    <t>150ml</t>
    <phoneticPr fontId="7" type="noConversion"/>
  </si>
  <si>
    <t>넥시 판테놀 히알루로닉 리커버리 필링젤
NAEXY Panthenol Hyaluronic Recovery Peeling Gel</t>
    <phoneticPr fontId="7" type="noConversion"/>
  </si>
  <si>
    <t>넥시 어성초 리커버리 필링젤
NAEXY Heartleaf Recovery Peeling Gel</t>
    <phoneticPr fontId="7" type="noConversion"/>
  </si>
  <si>
    <t>넥시 캐롯 비타 리커버리 필링젤
NAEXY Carrot Vita Recovery Peeling Gel</t>
    <phoneticPr fontId="7" type="noConversion"/>
  </si>
  <si>
    <t>넥시 피토 콜라겐 리커버리 아이크림
NAEXY Phyto Collagen Recovery Eye Cream</t>
    <phoneticPr fontId="7" type="noConversion"/>
  </si>
  <si>
    <t>40ml</t>
    <phoneticPr fontId="7" type="noConversion"/>
  </si>
  <si>
    <t>넥시 판테놀 히알루로닉 리커버리 아이크림
NAEXY Panthenol Hyaluronic Recovery Eye Cream</t>
    <phoneticPr fontId="7" type="noConversion"/>
  </si>
  <si>
    <t>넥시 어성초 리커버리 아이크림
NAEXY Heartleaf Recovery Eye Cream</t>
    <phoneticPr fontId="7" type="noConversion"/>
  </si>
  <si>
    <t>넥시 캐롯 비타 리커버리 아이크림
NAEXY Carrot Vita Recovery Eye Cream</t>
    <phoneticPr fontId="7" type="noConversion"/>
  </si>
  <si>
    <t>넥시 피토 콜라겐 리커버리 클렌징폼
NAEXY Phyto Collagen Recovery Cleansing Foam</t>
    <phoneticPr fontId="7" type="noConversion"/>
  </si>
  <si>
    <t>100ml</t>
    <phoneticPr fontId="7" type="noConversion"/>
  </si>
  <si>
    <t>넥시 판테놀 히알루로닉 리커버리 클렌징폼
NAEXY Panthenol Hyaluronic Recovery Cleansing Foam</t>
    <phoneticPr fontId="7" type="noConversion"/>
  </si>
  <si>
    <t>넥시 어성초 리커버리 클렌징폼
NAEXY Heartleaf Recovery Cleansing Foam</t>
    <phoneticPr fontId="7" type="noConversion"/>
  </si>
  <si>
    <t>넥시 캐롯 비타 리커버리 클렌징폼
NAEXY Carrot Vita Recovery Cleansing Foam</t>
    <phoneticPr fontId="7" type="noConversion"/>
  </si>
  <si>
    <t>넥시 콜라겐 헌드레드 크림
NAEXY Collagen Hundred Cream</t>
    <phoneticPr fontId="7" type="noConversion"/>
  </si>
  <si>
    <t>100g</t>
    <phoneticPr fontId="7" type="noConversion"/>
  </si>
  <si>
    <t>넥시 히알루로닉 헌드레드 크림
NAEXY Hyaluronic Hundred Cream</t>
    <phoneticPr fontId="7" type="noConversion"/>
  </si>
  <si>
    <t>넥시 스네일 헌드레드 크림
NAEXY Snail Hundred Cream</t>
    <phoneticPr fontId="7" type="noConversion"/>
  </si>
  <si>
    <t>넥시 화이트 미백 톤업 선스크린
NAEXY WHITENING TONE-UP SUNSCREEN</t>
    <phoneticPr fontId="7" type="noConversion"/>
  </si>
  <si>
    <t>70ml</t>
    <phoneticPr fontId="7" type="noConversion"/>
  </si>
  <si>
    <t>넥시 히알루로닉 워터드롭 선스크린
NAEXY HYALURONIC WATER DROP SUNSCREEN</t>
    <phoneticPr fontId="7" type="noConversion"/>
  </si>
  <si>
    <t>넥시 어성초 메이크업 베이스 선스크린  
NAEXY HEARTLEAF MAKE-UP BASE SUNSCREEN</t>
    <phoneticPr fontId="7" type="noConversion"/>
  </si>
  <si>
    <t>넥시 리커버리 스네일 B.B 크림
NAEXY RECOVERY SNAIL B.B CREAM</t>
    <phoneticPr fontId="7" type="noConversion"/>
  </si>
  <si>
    <t>NO.</t>
    <phoneticPr fontId="7" type="noConversion"/>
  </si>
  <si>
    <t>IMAGE</t>
    <phoneticPr fontId="7" type="noConversion"/>
  </si>
  <si>
    <t>PRODUCT NAME</t>
    <phoneticPr fontId="7" type="noConversion"/>
  </si>
  <si>
    <t>Volume</t>
    <phoneticPr fontId="7" type="noConversion"/>
  </si>
  <si>
    <t>Q'ty(CT)</t>
    <phoneticPr fontId="13" type="noConversion"/>
  </si>
  <si>
    <t>SUPPLY PRICE
(-VAT)</t>
    <phoneticPr fontId="13" type="noConversion"/>
  </si>
  <si>
    <t>OUT BOX SIZE(cm)</t>
    <phoneticPr fontId="7" type="noConversion"/>
  </si>
  <si>
    <t>CBM</t>
    <phoneticPr fontId="4" type="noConversion"/>
  </si>
  <si>
    <t>WEIGHT(Kg)</t>
    <phoneticPr fontId="4" type="noConversion"/>
  </si>
  <si>
    <t>BARCORD</t>
    <phoneticPr fontId="7" type="noConversion"/>
  </si>
  <si>
    <t>REMARK</t>
    <phoneticPr fontId="7" type="noConversion"/>
  </si>
  <si>
    <t>NAEXY PRICE LIST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</si>
</sst>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7" formatCode="_(* #,##0.0_);_(* \(#,##0.0\);_(* &quot;-&quot;_);_(@_)"/>
    <numFmt numFmtId="178" formatCode="#,##0.000_);\(#,##0.000\)"/>
    <numFmt numFmtId="179" formatCode="0.00_);[Red]\(0.00\)"/>
    <numFmt numFmtId="180" formatCode="0_ ;[Red]\-0\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HY헤드라인M"/>
      <family val="1"/>
      <charset val="129"/>
    </font>
    <font>
      <sz val="8"/>
      <name val="돋움"/>
      <family val="3"/>
      <charset val="129"/>
    </font>
    <font>
      <sz val="9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8"/>
      <color indexed="8"/>
      <name val="Arial"/>
      <family val="2"/>
    </font>
    <font>
      <b/>
      <sz val="11"/>
      <color rgb="FFFF0000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8"/>
      <name val="굴림"/>
      <family val="3"/>
      <charset val="129"/>
    </font>
    <font>
      <sz val="12"/>
      <name val="HY헤드라인M"/>
      <family val="1"/>
      <charset val="129"/>
    </font>
    <font>
      <sz val="22"/>
      <color indexed="8"/>
      <name val="HY헤드라인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EF5"/>
        <bgColor indexed="8"/>
      </patternFill>
    </fill>
    <fill>
      <patternFill patternType="solid">
        <fgColor rgb="FFE7EEF5"/>
        <bgColor indexed="64"/>
      </patternFill>
    </fill>
    <fill>
      <patternFill patternType="solid">
        <fgColor theme="0"/>
        <bgColor indexed="8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5" fillId="0" borderId="0">
      <alignment vertical="center"/>
    </xf>
    <xf numFmtId="176" fontId="10" fillId="0" borderId="0" applyFont="0" applyFill="0" applyBorder="0" applyAlignment="0" applyProtection="0"/>
  </cellStyleXfs>
  <cellXfs count="23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horizontal="left" vertical="center"/>
    </xf>
    <xf numFmtId="0" fontId="9" fillId="2" borderId="1" xfId="2" applyFont="1" applyFill="1" applyBorder="1" applyAlignment="1">
      <alignment horizontal="center" vertical="center"/>
    </xf>
    <xf numFmtId="177" fontId="3" fillId="2" borderId="1" xfId="4" applyNumberFormat="1" applyFont="1" applyFill="1" applyBorder="1" applyAlignment="1">
      <alignment horizontal="center" vertical="center"/>
    </xf>
    <xf numFmtId="178" fontId="3" fillId="2" borderId="1" xfId="4" applyNumberFormat="1" applyFont="1" applyFill="1" applyBorder="1" applyAlignment="1">
      <alignment horizontal="right" vertical="center"/>
    </xf>
    <xf numFmtId="179" fontId="3" fillId="2" borderId="1" xfId="4" applyNumberFormat="1" applyFont="1" applyFill="1" applyBorder="1" applyAlignment="1">
      <alignment horizontal="right" vertical="center"/>
    </xf>
    <xf numFmtId="180" fontId="3" fillId="2" borderId="1" xfId="4" applyNumberFormat="1" applyFont="1" applyFill="1" applyBorder="1" applyAlignment="1">
      <alignment horizontal="center" vertical="center" wrapText="1"/>
    </xf>
    <xf numFmtId="176" fontId="11" fillId="2" borderId="1" xfId="4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2" fillId="3" borderId="2" xfId="2" applyFont="1" applyFill="1" applyBorder="1" applyAlignment="1">
      <alignment horizontal="center" vertical="center"/>
    </xf>
    <xf numFmtId="176" fontId="14" fillId="4" borderId="2" xfId="4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 wrapText="1"/>
    </xf>
    <xf numFmtId="0" fontId="12" fillId="3" borderId="2" xfId="2" applyFont="1" applyFill="1" applyBorder="1" applyAlignment="1">
      <alignment horizontal="center" vertical="center" wrapText="1" shrinkToFit="1"/>
    </xf>
    <xf numFmtId="41" fontId="3" fillId="4" borderId="2" xfId="1" applyFont="1" applyFill="1" applyBorder="1" applyAlignment="1">
      <alignment horizontal="center" vertical="center" wrapText="1"/>
    </xf>
    <xf numFmtId="180" fontId="12" fillId="4" borderId="2" xfId="4" applyNumberFormat="1" applyFont="1" applyFill="1" applyBorder="1" applyAlignment="1">
      <alignment horizontal="center" vertical="center" wrapText="1"/>
    </xf>
    <xf numFmtId="176" fontId="12" fillId="4" borderId="2" xfId="4" applyFont="1" applyFill="1" applyBorder="1" applyAlignment="1">
      <alignment horizontal="center" vertical="center"/>
    </xf>
    <xf numFmtId="176" fontId="14" fillId="4" borderId="3" xfId="4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5" borderId="4" xfId="2" applyFont="1" applyFill="1" applyBorder="1" applyAlignment="1">
      <alignment horizontal="center" vertical="center"/>
    </xf>
    <xf numFmtId="42" fontId="3" fillId="2" borderId="1" xfId="1" applyNumberFormat="1" applyFont="1" applyFill="1" applyBorder="1" applyAlignment="1">
      <alignment horizontal="center" vertical="center"/>
    </xf>
  </cellXfs>
  <cellStyles count="5">
    <cellStyle name="쉼표 [0]" xfId="1" builtinId="6"/>
    <cellStyle name="쉼표 [0]_Sheet1" xfId="4" xr:uid="{58560E8C-FD78-4FCF-9548-4186D8A5E5CE}"/>
    <cellStyle name="표준" xfId="0" builtinId="0"/>
    <cellStyle name="표준 2" xfId="3" xr:uid="{3BD645D2-6551-4FB3-BE0C-8E42F8BB3138}"/>
    <cellStyle name="표준_Sheet1" xfId="2" xr:uid="{CA6DEA14-572F-4AF3-AF99-3FEB828B6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25</xdr:row>
      <xdr:rowOff>28575</xdr:rowOff>
    </xdr:from>
    <xdr:to>
      <xdr:col>1</xdr:col>
      <xdr:colOff>1000126</xdr:colOff>
      <xdr:row>25</xdr:row>
      <xdr:rowOff>1057672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D1CA83-FD79-46D4-A557-A718AA211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6" y="26927175"/>
          <a:ext cx="990600" cy="10290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35700</xdr:rowOff>
    </xdr:from>
    <xdr:to>
      <xdr:col>1</xdr:col>
      <xdr:colOff>1078095</xdr:colOff>
      <xdr:row>24</xdr:row>
      <xdr:rowOff>1057275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0853F13-588F-4586-8939-E69201E4D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5791300"/>
          <a:ext cx="1078095" cy="1021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23775</xdr:rowOff>
    </xdr:from>
    <xdr:to>
      <xdr:col>1</xdr:col>
      <xdr:colOff>1078095</xdr:colOff>
      <xdr:row>23</xdr:row>
      <xdr:rowOff>1085850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7E079E9-10D0-45DC-B655-2B22149F1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4636375"/>
          <a:ext cx="1078095" cy="1062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30900</xdr:rowOff>
    </xdr:from>
    <xdr:to>
      <xdr:col>1</xdr:col>
      <xdr:colOff>1078095</xdr:colOff>
      <xdr:row>22</xdr:row>
      <xdr:rowOff>1114425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6B8EDA1-CD27-4801-BC2A-F5BB393A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3500500"/>
          <a:ext cx="1078095" cy="10835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21</xdr:row>
      <xdr:rowOff>19050</xdr:rowOff>
    </xdr:from>
    <xdr:to>
      <xdr:col>1</xdr:col>
      <xdr:colOff>1091430</xdr:colOff>
      <xdr:row>21</xdr:row>
      <xdr:rowOff>1019175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5A2EACF-9542-4BA6-B43B-F459E2B3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5" y="22345650"/>
          <a:ext cx="1081905" cy="1000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64276</xdr:rowOff>
    </xdr:from>
    <xdr:to>
      <xdr:col>1</xdr:col>
      <xdr:colOff>1078095</xdr:colOff>
      <xdr:row>18</xdr:row>
      <xdr:rowOff>1019176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9BAF293-1B07-4742-A616-89BD20D20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8961876"/>
          <a:ext cx="1078095" cy="954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14250</xdr:rowOff>
    </xdr:from>
    <xdr:to>
      <xdr:col>1</xdr:col>
      <xdr:colOff>1078095</xdr:colOff>
      <xdr:row>20</xdr:row>
      <xdr:rowOff>1104899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992955C-F9D3-4392-BE08-522A002E7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1197850"/>
          <a:ext cx="1078095" cy="10906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40425</xdr:rowOff>
    </xdr:from>
    <xdr:to>
      <xdr:col>1</xdr:col>
      <xdr:colOff>1078095</xdr:colOff>
      <xdr:row>19</xdr:row>
      <xdr:rowOff>1104900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964970F-6B83-4460-BB2F-E287ED38C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0081025"/>
          <a:ext cx="1078095" cy="10644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29</xdr:row>
      <xdr:rowOff>152400</xdr:rowOff>
    </xdr:from>
    <xdr:to>
      <xdr:col>1</xdr:col>
      <xdr:colOff>1099050</xdr:colOff>
      <xdr:row>29</xdr:row>
      <xdr:rowOff>1095375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CC06A6A-9D17-41CC-827B-02A822E0E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00"/>
          <a:ext cx="1080000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7125</xdr:colOff>
      <xdr:row>26</xdr:row>
      <xdr:rowOff>111901</xdr:rowOff>
    </xdr:from>
    <xdr:to>
      <xdr:col>1</xdr:col>
      <xdr:colOff>1089030</xdr:colOff>
      <xdr:row>26</xdr:row>
      <xdr:rowOff>1085851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DF02BDD-1EDA-48DC-A2A6-FE16B5F27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725" y="28153501"/>
          <a:ext cx="1081905" cy="973950"/>
        </a:xfrm>
        <a:prstGeom prst="rect">
          <a:avLst/>
        </a:prstGeom>
      </xdr:spPr>
    </xdr:pic>
    <xdr:clientData/>
  </xdr:twoCellAnchor>
  <xdr:twoCellAnchor editAs="oneCell">
    <xdr:from>
      <xdr:col>1</xdr:col>
      <xdr:colOff>23775</xdr:colOff>
      <xdr:row>28</xdr:row>
      <xdr:rowOff>52351</xdr:rowOff>
    </xdr:from>
    <xdr:to>
      <xdr:col>1</xdr:col>
      <xdr:colOff>1107585</xdr:colOff>
      <xdr:row>28</xdr:row>
      <xdr:rowOff>1066801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4C3B198-6578-4E74-AF5F-7331D375C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5375" y="30379951"/>
          <a:ext cx="1083810" cy="10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11850</xdr:colOff>
      <xdr:row>27</xdr:row>
      <xdr:rowOff>49950</xdr:rowOff>
    </xdr:from>
    <xdr:to>
      <xdr:col>1</xdr:col>
      <xdr:colOff>1093755</xdr:colOff>
      <xdr:row>27</xdr:row>
      <xdr:rowOff>1076325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7A46ADD-F553-45C3-9458-C13429041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450" y="29234550"/>
          <a:ext cx="1081905" cy="1026375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6</xdr:row>
      <xdr:rowOff>85725</xdr:rowOff>
    </xdr:from>
    <xdr:to>
      <xdr:col>1</xdr:col>
      <xdr:colOff>914400</xdr:colOff>
      <xdr:row>6</xdr:row>
      <xdr:rowOff>1073857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B6D423B-CFB5-404E-BC9F-36970F6E9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5267325"/>
          <a:ext cx="981075" cy="988132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5</xdr:row>
      <xdr:rowOff>73800</xdr:rowOff>
    </xdr:from>
    <xdr:to>
      <xdr:col>1</xdr:col>
      <xdr:colOff>923924</xdr:colOff>
      <xdr:row>5</xdr:row>
      <xdr:rowOff>1075454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9CA1368-699F-457D-96C9-27F158833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4112400"/>
          <a:ext cx="933449" cy="1001654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4</xdr:row>
      <xdr:rowOff>61875</xdr:rowOff>
    </xdr:from>
    <xdr:to>
      <xdr:col>1</xdr:col>
      <xdr:colOff>1003794</xdr:colOff>
      <xdr:row>4</xdr:row>
      <xdr:rowOff>1104900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6A0468B-B13E-4E92-AA34-AC776D97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3538500"/>
          <a:ext cx="1013319" cy="10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3</xdr:row>
      <xdr:rowOff>135676</xdr:rowOff>
    </xdr:from>
    <xdr:to>
      <xdr:col>1</xdr:col>
      <xdr:colOff>971005</xdr:colOff>
      <xdr:row>3</xdr:row>
      <xdr:rowOff>1019176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85121FA-3202-421B-B4F9-DA4B8BC9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1" y="2469301"/>
          <a:ext cx="894804" cy="883500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657226</xdr:colOff>
      <xdr:row>9</xdr:row>
      <xdr:rowOff>76125</xdr:rowOff>
    </xdr:from>
    <xdr:to>
      <xdr:col>1</xdr:col>
      <xdr:colOff>981076</xdr:colOff>
      <xdr:row>9</xdr:row>
      <xdr:rowOff>986064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B14CD0C-B3A6-4651-9227-B1C540765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6" y="8686725"/>
          <a:ext cx="1009650" cy="909939"/>
        </a:xfrm>
        <a:prstGeom prst="rect">
          <a:avLst/>
        </a:prstGeom>
      </xdr:spPr>
    </xdr:pic>
    <xdr:clientData/>
  </xdr:twoCellAnchor>
  <xdr:twoCellAnchor editAs="oneCell">
    <xdr:from>
      <xdr:col>1</xdr:col>
      <xdr:colOff>142523</xdr:colOff>
      <xdr:row>2</xdr:row>
      <xdr:rowOff>39185</xdr:rowOff>
    </xdr:from>
    <xdr:to>
      <xdr:col>1</xdr:col>
      <xdr:colOff>1076325</xdr:colOff>
      <xdr:row>2</xdr:row>
      <xdr:rowOff>1071681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25EA46B-C547-42D7-AF42-77BF9BCFC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123" y="420185"/>
          <a:ext cx="933802" cy="103249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7</xdr:row>
      <xdr:rowOff>90375</xdr:rowOff>
    </xdr:from>
    <xdr:to>
      <xdr:col>1</xdr:col>
      <xdr:colOff>942976</xdr:colOff>
      <xdr:row>7</xdr:row>
      <xdr:rowOff>1072039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E5A2310-BFBA-44A0-9E3D-E45C6096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6" y="6414975"/>
          <a:ext cx="914400" cy="98166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116550</xdr:rowOff>
    </xdr:from>
    <xdr:to>
      <xdr:col>1</xdr:col>
      <xdr:colOff>981075</xdr:colOff>
      <xdr:row>8</xdr:row>
      <xdr:rowOff>1112495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E26DEB49-70EF-4EA9-9C5E-1B71B60D1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7584150"/>
          <a:ext cx="933450" cy="995945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13</xdr:row>
      <xdr:rowOff>9525</xdr:rowOff>
    </xdr:from>
    <xdr:to>
      <xdr:col>1</xdr:col>
      <xdr:colOff>942800</xdr:colOff>
      <xdr:row>13</xdr:row>
      <xdr:rowOff>1047750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AAF8357-447D-4315-8344-33DA01A3E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13192125"/>
          <a:ext cx="1066625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35700</xdr:rowOff>
    </xdr:from>
    <xdr:to>
      <xdr:col>1</xdr:col>
      <xdr:colOff>1078095</xdr:colOff>
      <xdr:row>12</xdr:row>
      <xdr:rowOff>1123950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92F26B3A-14F0-4D60-8995-5452C31DB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2075300"/>
          <a:ext cx="1078095" cy="1088250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628651</xdr:colOff>
      <xdr:row>11</xdr:row>
      <xdr:rowOff>33300</xdr:rowOff>
    </xdr:from>
    <xdr:to>
      <xdr:col>1</xdr:col>
      <xdr:colOff>914401</xdr:colOff>
      <xdr:row>11</xdr:row>
      <xdr:rowOff>1059083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BE60A2E-968E-40D5-A837-9C5E7BDAF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1" y="10929900"/>
          <a:ext cx="971550" cy="10257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40425</xdr:rowOff>
    </xdr:from>
    <xdr:to>
      <xdr:col>1</xdr:col>
      <xdr:colOff>1078095</xdr:colOff>
      <xdr:row>10</xdr:row>
      <xdr:rowOff>1104900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6C017C76-21AC-4232-843B-1BE5607D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794025"/>
          <a:ext cx="1078095" cy="1064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57150</xdr:rowOff>
    </xdr:from>
    <xdr:to>
      <xdr:col>1</xdr:col>
      <xdr:colOff>1078095</xdr:colOff>
      <xdr:row>17</xdr:row>
      <xdr:rowOff>1019175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0A4D524-EA1D-4EEB-8881-9A910281B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7811750"/>
          <a:ext cx="107809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64276</xdr:rowOff>
    </xdr:from>
    <xdr:to>
      <xdr:col>1</xdr:col>
      <xdr:colOff>1078095</xdr:colOff>
      <xdr:row>16</xdr:row>
      <xdr:rowOff>1038226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68B33CE8-E1BB-4898-9C47-FF4FE48EC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6675876"/>
          <a:ext cx="1078095" cy="973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42825</xdr:rowOff>
    </xdr:from>
    <xdr:to>
      <xdr:col>1</xdr:col>
      <xdr:colOff>1078095</xdr:colOff>
      <xdr:row>15</xdr:row>
      <xdr:rowOff>952500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59D6538B-F137-4ED2-87A8-BA94904BB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5511425"/>
          <a:ext cx="1078095" cy="9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14</xdr:row>
      <xdr:rowOff>135675</xdr:rowOff>
    </xdr:from>
    <xdr:to>
      <xdr:col>1</xdr:col>
      <xdr:colOff>1001895</xdr:colOff>
      <xdr:row>14</xdr:row>
      <xdr:rowOff>1038225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FB71AAD0-20AB-4A5C-953F-37778949A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4461275"/>
          <a:ext cx="1078095" cy="9025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30</xdr:row>
      <xdr:rowOff>47625</xdr:rowOff>
    </xdr:from>
    <xdr:to>
      <xdr:col>1</xdr:col>
      <xdr:colOff>1102860</xdr:colOff>
      <xdr:row>30</xdr:row>
      <xdr:rowOff>990600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B164B941-128C-4CBE-9252-135EF13F2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2661225"/>
          <a:ext cx="1083810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16650</xdr:colOff>
      <xdr:row>31</xdr:row>
      <xdr:rowOff>16650</xdr:rowOff>
    </xdr:from>
    <xdr:to>
      <xdr:col>1</xdr:col>
      <xdr:colOff>1100460</xdr:colOff>
      <xdr:row>31</xdr:row>
      <xdr:rowOff>1057275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8168572A-2D87-4F19-A1F3-CB0B4BF01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8250" y="33773250"/>
          <a:ext cx="1083810" cy="1040625"/>
        </a:xfrm>
        <a:prstGeom prst="rect">
          <a:avLst/>
        </a:prstGeom>
      </xdr:spPr>
    </xdr:pic>
    <xdr:clientData/>
  </xdr:twoCellAnchor>
  <xdr:twoCellAnchor editAs="oneCell">
    <xdr:from>
      <xdr:col>1</xdr:col>
      <xdr:colOff>23775</xdr:colOff>
      <xdr:row>32</xdr:row>
      <xdr:rowOff>23775</xdr:rowOff>
    </xdr:from>
    <xdr:to>
      <xdr:col>1</xdr:col>
      <xdr:colOff>1107585</xdr:colOff>
      <xdr:row>32</xdr:row>
      <xdr:rowOff>1076325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B98C5165-C904-4510-9445-33C0C56E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5375" y="34923375"/>
          <a:ext cx="1083810" cy="10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</xdr:row>
      <xdr:rowOff>19050</xdr:rowOff>
    </xdr:from>
    <xdr:to>
      <xdr:col>1</xdr:col>
      <xdr:colOff>1129530</xdr:colOff>
      <xdr:row>35</xdr:row>
      <xdr:rowOff>981075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5E4CC8C1-5E15-4BAC-855D-05B7490D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38347650"/>
          <a:ext cx="108190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35700</xdr:colOff>
      <xdr:row>34</xdr:row>
      <xdr:rowOff>35700</xdr:rowOff>
    </xdr:from>
    <xdr:to>
      <xdr:col>1</xdr:col>
      <xdr:colOff>1113795</xdr:colOff>
      <xdr:row>34</xdr:row>
      <xdr:rowOff>1095375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BF879A01-B04E-4ABE-9F4F-B8A668F2A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300" y="37221300"/>
          <a:ext cx="1078095" cy="1059675"/>
        </a:xfrm>
        <a:prstGeom prst="rect">
          <a:avLst/>
        </a:prstGeom>
      </xdr:spPr>
    </xdr:pic>
    <xdr:clientData/>
  </xdr:twoCellAnchor>
  <xdr:twoCellAnchor editAs="oneCell">
    <xdr:from>
      <xdr:col>1</xdr:col>
      <xdr:colOff>99975</xdr:colOff>
      <xdr:row>36</xdr:row>
      <xdr:rowOff>128550</xdr:rowOff>
    </xdr:from>
    <xdr:to>
      <xdr:col>1</xdr:col>
      <xdr:colOff>1047750</xdr:colOff>
      <xdr:row>36</xdr:row>
      <xdr:rowOff>1028700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1E5F621-B0BF-4EE2-96BB-1C4BF5E03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575" y="39600150"/>
          <a:ext cx="947775" cy="9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30900</xdr:colOff>
      <xdr:row>33</xdr:row>
      <xdr:rowOff>21375</xdr:rowOff>
    </xdr:from>
    <xdr:to>
      <xdr:col>1</xdr:col>
      <xdr:colOff>1110900</xdr:colOff>
      <xdr:row>33</xdr:row>
      <xdr:rowOff>1047750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804B5DA3-47EF-49E1-BB62-41C9A1FF7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500" y="36063975"/>
          <a:ext cx="1080000" cy="102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6D38-29B4-4050-A965-C5BC930DB242}">
  <dimension ref="A1:M37"/>
  <sheetViews>
    <sheetView tabSelected="1" workbookViewId="0">
      <selection activeCell="N3" sqref="N3"/>
    </sheetView>
  </sheetViews>
  <sheetFormatPr defaultRowHeight="16.5" x14ac:dyDescent="0.3"/>
  <cols>
    <col min="2" max="2" width="15.125" customWidth="1"/>
    <col min="3" max="3" width="48.625" customWidth="1"/>
    <col min="4" max="4" width="11.125" customWidth="1"/>
    <col min="5" max="5" width="12" customWidth="1"/>
    <col min="6" max="6" width="15.875" customWidth="1"/>
    <col min="7" max="11" width="11.125" customWidth="1"/>
    <col min="12" max="12" width="17.5" customWidth="1"/>
    <col min="13" max="13" width="14.125" customWidth="1"/>
  </cols>
  <sheetData>
    <row r="1" spans="1:13" ht="54.75" customHeight="1" thickTop="1" thickBot="1" x14ac:dyDescent="0.35">
      <c r="A1" s="21" t="s">
        <v>54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s="20" customFormat="1" ht="39" customHeight="1" thickTop="1" x14ac:dyDescent="0.3">
      <c r="A2" s="12" t="s">
        <v>43</v>
      </c>
      <c r="B2" s="12" t="s">
        <v>44</v>
      </c>
      <c r="C2" s="12" t="s">
        <v>45</v>
      </c>
      <c r="D2" s="14" t="s">
        <v>46</v>
      </c>
      <c r="E2" s="15" t="s">
        <v>47</v>
      </c>
      <c r="F2" s="16" t="s">
        <v>48</v>
      </c>
      <c r="G2" s="19" t="s">
        <v>49</v>
      </c>
      <c r="H2" s="19"/>
      <c r="I2" s="19"/>
      <c r="J2" s="13" t="s">
        <v>50</v>
      </c>
      <c r="K2" s="13" t="s">
        <v>51</v>
      </c>
      <c r="L2" s="17" t="s">
        <v>52</v>
      </c>
      <c r="M2" s="18" t="s">
        <v>53</v>
      </c>
    </row>
    <row r="3" spans="1:13" s="11" customFormat="1" ht="90" customHeight="1" x14ac:dyDescent="0.3">
      <c r="A3" s="1">
        <v>1</v>
      </c>
      <c r="B3" s="2"/>
      <c r="C3" s="3" t="s">
        <v>0</v>
      </c>
      <c r="D3" s="4" t="s">
        <v>1</v>
      </c>
      <c r="E3" s="5">
        <v>100</v>
      </c>
      <c r="F3" s="22">
        <v>2800</v>
      </c>
      <c r="G3" s="6">
        <v>66.5</v>
      </c>
      <c r="H3" s="6">
        <v>35</v>
      </c>
      <c r="I3" s="6">
        <v>13</v>
      </c>
      <c r="J3" s="7">
        <f t="shared" ref="J3:J37" si="0">(G3*H3*I3)/1000000</f>
        <v>3.02575E-2</v>
      </c>
      <c r="K3" s="8">
        <v>21.12</v>
      </c>
      <c r="L3" s="9">
        <v>8809414192996</v>
      </c>
      <c r="M3" s="10"/>
    </row>
    <row r="4" spans="1:13" s="11" customFormat="1" ht="90" customHeight="1" x14ac:dyDescent="0.3">
      <c r="A4" s="1">
        <f>A3+1</f>
        <v>2</v>
      </c>
      <c r="B4" s="2"/>
      <c r="C4" s="3" t="s">
        <v>2</v>
      </c>
      <c r="D4" s="4" t="s">
        <v>1</v>
      </c>
      <c r="E4" s="5">
        <v>100</v>
      </c>
      <c r="F4" s="22">
        <v>2800</v>
      </c>
      <c r="G4" s="6">
        <v>66.5</v>
      </c>
      <c r="H4" s="6">
        <v>35</v>
      </c>
      <c r="I4" s="6">
        <v>13</v>
      </c>
      <c r="J4" s="7">
        <f t="shared" si="0"/>
        <v>3.02575E-2</v>
      </c>
      <c r="K4" s="8">
        <v>21.12</v>
      </c>
      <c r="L4" s="9">
        <v>8809414193030</v>
      </c>
      <c r="M4" s="10"/>
    </row>
    <row r="5" spans="1:13" s="11" customFormat="1" ht="90" customHeight="1" x14ac:dyDescent="0.3">
      <c r="A5" s="1">
        <f t="shared" ref="A5:A37" si="1">A4+1</f>
        <v>3</v>
      </c>
      <c r="B5" s="2"/>
      <c r="C5" s="3" t="s">
        <v>3</v>
      </c>
      <c r="D5" s="4" t="s">
        <v>1</v>
      </c>
      <c r="E5" s="5">
        <v>100</v>
      </c>
      <c r="F5" s="22">
        <v>2800</v>
      </c>
      <c r="G5" s="6">
        <v>66.5</v>
      </c>
      <c r="H5" s="6">
        <v>35</v>
      </c>
      <c r="I5" s="6">
        <v>13</v>
      </c>
      <c r="J5" s="7">
        <f t="shared" si="0"/>
        <v>3.02575E-2</v>
      </c>
      <c r="K5" s="8">
        <v>21.12</v>
      </c>
      <c r="L5" s="9">
        <v>8809414193016</v>
      </c>
      <c r="M5" s="10"/>
    </row>
    <row r="6" spans="1:13" s="11" customFormat="1" ht="90" customHeight="1" x14ac:dyDescent="0.3">
      <c r="A6" s="1">
        <f t="shared" si="1"/>
        <v>4</v>
      </c>
      <c r="B6" s="2"/>
      <c r="C6" s="3" t="s">
        <v>4</v>
      </c>
      <c r="D6" s="4" t="s">
        <v>1</v>
      </c>
      <c r="E6" s="5">
        <v>100</v>
      </c>
      <c r="F6" s="22">
        <v>2800</v>
      </c>
      <c r="G6" s="6">
        <v>66.5</v>
      </c>
      <c r="H6" s="6">
        <v>35</v>
      </c>
      <c r="I6" s="6">
        <v>13</v>
      </c>
      <c r="J6" s="7">
        <f t="shared" si="0"/>
        <v>3.02575E-2</v>
      </c>
      <c r="K6" s="8">
        <v>21.12</v>
      </c>
      <c r="L6" s="9">
        <v>8809414192989</v>
      </c>
      <c r="M6" s="10"/>
    </row>
    <row r="7" spans="1:13" s="11" customFormat="1" ht="90" customHeight="1" x14ac:dyDescent="0.3">
      <c r="A7" s="1">
        <f t="shared" si="1"/>
        <v>5</v>
      </c>
      <c r="B7" s="2"/>
      <c r="C7" s="3" t="s">
        <v>5</v>
      </c>
      <c r="D7" s="4" t="s">
        <v>1</v>
      </c>
      <c r="E7" s="5">
        <v>100</v>
      </c>
      <c r="F7" s="22">
        <v>2800</v>
      </c>
      <c r="G7" s="6">
        <v>66.5</v>
      </c>
      <c r="H7" s="6">
        <v>35</v>
      </c>
      <c r="I7" s="6">
        <v>13</v>
      </c>
      <c r="J7" s="7">
        <f t="shared" si="0"/>
        <v>3.02575E-2</v>
      </c>
      <c r="K7" s="8">
        <v>21.12</v>
      </c>
      <c r="L7" s="9">
        <v>8809414193054</v>
      </c>
      <c r="M7" s="10"/>
    </row>
    <row r="8" spans="1:13" s="11" customFormat="1" ht="90" customHeight="1" x14ac:dyDescent="0.3">
      <c r="A8" s="1">
        <f t="shared" si="1"/>
        <v>6</v>
      </c>
      <c r="B8" s="2"/>
      <c r="C8" s="3" t="s">
        <v>6</v>
      </c>
      <c r="D8" s="4" t="s">
        <v>1</v>
      </c>
      <c r="E8" s="5">
        <v>100</v>
      </c>
      <c r="F8" s="22">
        <v>2800</v>
      </c>
      <c r="G8" s="6">
        <v>66.5</v>
      </c>
      <c r="H8" s="6">
        <v>35</v>
      </c>
      <c r="I8" s="6">
        <v>13</v>
      </c>
      <c r="J8" s="7">
        <f t="shared" si="0"/>
        <v>3.02575E-2</v>
      </c>
      <c r="K8" s="8">
        <v>21.12</v>
      </c>
      <c r="L8" s="9">
        <v>8809414193023</v>
      </c>
      <c r="M8" s="10"/>
    </row>
    <row r="9" spans="1:13" s="11" customFormat="1" ht="90" customHeight="1" x14ac:dyDescent="0.3">
      <c r="A9" s="1">
        <f t="shared" si="1"/>
        <v>7</v>
      </c>
      <c r="B9" s="2"/>
      <c r="C9" s="3" t="s">
        <v>7</v>
      </c>
      <c r="D9" s="4" t="s">
        <v>1</v>
      </c>
      <c r="E9" s="5">
        <v>100</v>
      </c>
      <c r="F9" s="22">
        <v>2800</v>
      </c>
      <c r="G9" s="6">
        <v>66.5</v>
      </c>
      <c r="H9" s="6">
        <v>35</v>
      </c>
      <c r="I9" s="6">
        <v>13</v>
      </c>
      <c r="J9" s="7">
        <f t="shared" si="0"/>
        <v>3.02575E-2</v>
      </c>
      <c r="K9" s="8">
        <v>21.12</v>
      </c>
      <c r="L9" s="9">
        <v>8809414193009</v>
      </c>
      <c r="M9" s="10"/>
    </row>
    <row r="10" spans="1:13" s="11" customFormat="1" ht="90" customHeight="1" x14ac:dyDescent="0.3">
      <c r="A10" s="1">
        <f t="shared" si="1"/>
        <v>8</v>
      </c>
      <c r="B10" s="2"/>
      <c r="C10" s="3" t="s">
        <v>8</v>
      </c>
      <c r="D10" s="4" t="s">
        <v>1</v>
      </c>
      <c r="E10" s="5">
        <v>100</v>
      </c>
      <c r="F10" s="22">
        <v>2800</v>
      </c>
      <c r="G10" s="6">
        <v>66.5</v>
      </c>
      <c r="H10" s="6">
        <v>35</v>
      </c>
      <c r="I10" s="6">
        <v>13</v>
      </c>
      <c r="J10" s="7">
        <f t="shared" si="0"/>
        <v>3.02575E-2</v>
      </c>
      <c r="K10" s="8">
        <v>21.12</v>
      </c>
      <c r="L10" s="9">
        <v>8809414193047</v>
      </c>
      <c r="M10" s="10"/>
    </row>
    <row r="11" spans="1:13" s="11" customFormat="1" ht="90" customHeight="1" x14ac:dyDescent="0.3">
      <c r="A11" s="1">
        <f t="shared" si="1"/>
        <v>9</v>
      </c>
      <c r="B11" s="2"/>
      <c r="C11" s="3" t="s">
        <v>9</v>
      </c>
      <c r="D11" s="4" t="s">
        <v>10</v>
      </c>
      <c r="E11" s="5">
        <v>100</v>
      </c>
      <c r="F11" s="22">
        <v>2800</v>
      </c>
      <c r="G11" s="6">
        <v>44.5</v>
      </c>
      <c r="H11" s="6">
        <v>23</v>
      </c>
      <c r="I11" s="6">
        <v>25.5</v>
      </c>
      <c r="J11" s="7">
        <f t="shared" si="0"/>
        <v>2.6099250000000001E-2</v>
      </c>
      <c r="K11" s="8">
        <v>14.86</v>
      </c>
      <c r="L11" s="9">
        <v>8809414193078</v>
      </c>
      <c r="M11" s="10"/>
    </row>
    <row r="12" spans="1:13" s="11" customFormat="1" ht="90" customHeight="1" x14ac:dyDescent="0.3">
      <c r="A12" s="1">
        <f t="shared" si="1"/>
        <v>10</v>
      </c>
      <c r="B12" s="2"/>
      <c r="C12" s="3" t="s">
        <v>11</v>
      </c>
      <c r="D12" s="4" t="s">
        <v>10</v>
      </c>
      <c r="E12" s="5">
        <v>100</v>
      </c>
      <c r="F12" s="22">
        <v>2800</v>
      </c>
      <c r="G12" s="6">
        <v>44.5</v>
      </c>
      <c r="H12" s="6">
        <v>23</v>
      </c>
      <c r="I12" s="6">
        <v>25.5</v>
      </c>
      <c r="J12" s="7">
        <f t="shared" si="0"/>
        <v>2.6099250000000001E-2</v>
      </c>
      <c r="K12" s="8">
        <v>14.86</v>
      </c>
      <c r="L12" s="9">
        <v>8809414193092</v>
      </c>
      <c r="M12" s="10"/>
    </row>
    <row r="13" spans="1:13" s="11" customFormat="1" ht="90" customHeight="1" x14ac:dyDescent="0.3">
      <c r="A13" s="1">
        <f t="shared" si="1"/>
        <v>11</v>
      </c>
      <c r="B13" s="2"/>
      <c r="C13" s="3" t="s">
        <v>12</v>
      </c>
      <c r="D13" s="4" t="s">
        <v>10</v>
      </c>
      <c r="E13" s="5">
        <v>100</v>
      </c>
      <c r="F13" s="22">
        <v>2800</v>
      </c>
      <c r="G13" s="6">
        <v>44.5</v>
      </c>
      <c r="H13" s="6">
        <v>23</v>
      </c>
      <c r="I13" s="6">
        <v>25.5</v>
      </c>
      <c r="J13" s="7">
        <f t="shared" si="0"/>
        <v>2.6099250000000001E-2</v>
      </c>
      <c r="K13" s="8">
        <v>14.86</v>
      </c>
      <c r="L13" s="9">
        <v>8809414193085</v>
      </c>
      <c r="M13" s="10"/>
    </row>
    <row r="14" spans="1:13" s="11" customFormat="1" ht="90" customHeight="1" x14ac:dyDescent="0.3">
      <c r="A14" s="1">
        <f t="shared" si="1"/>
        <v>12</v>
      </c>
      <c r="B14" s="2"/>
      <c r="C14" s="3" t="s">
        <v>13</v>
      </c>
      <c r="D14" s="4" t="s">
        <v>10</v>
      </c>
      <c r="E14" s="5">
        <v>100</v>
      </c>
      <c r="F14" s="22">
        <v>2800</v>
      </c>
      <c r="G14" s="6">
        <v>44.5</v>
      </c>
      <c r="H14" s="6">
        <v>23</v>
      </c>
      <c r="I14" s="6">
        <v>25.5</v>
      </c>
      <c r="J14" s="7">
        <f t="shared" si="0"/>
        <v>2.6099250000000001E-2</v>
      </c>
      <c r="K14" s="8">
        <v>14.86</v>
      </c>
      <c r="L14" s="9">
        <v>8809414193061</v>
      </c>
      <c r="M14" s="10"/>
    </row>
    <row r="15" spans="1:13" s="11" customFormat="1" ht="90" customHeight="1" x14ac:dyDescent="0.3">
      <c r="A15" s="1">
        <f t="shared" si="1"/>
        <v>13</v>
      </c>
      <c r="B15" s="2"/>
      <c r="C15" s="3" t="s">
        <v>14</v>
      </c>
      <c r="D15" s="4" t="s">
        <v>15</v>
      </c>
      <c r="E15" s="5">
        <v>50</v>
      </c>
      <c r="F15" s="22">
        <v>2800</v>
      </c>
      <c r="G15" s="6">
        <v>50.5</v>
      </c>
      <c r="H15" s="6">
        <v>27</v>
      </c>
      <c r="I15" s="6">
        <v>19.5</v>
      </c>
      <c r="J15" s="7">
        <f t="shared" si="0"/>
        <v>2.6588250000000001E-2</v>
      </c>
      <c r="K15" s="8">
        <v>13.14</v>
      </c>
      <c r="L15" s="9">
        <v>8809414193115</v>
      </c>
      <c r="M15" s="10"/>
    </row>
    <row r="16" spans="1:13" s="11" customFormat="1" ht="90" customHeight="1" x14ac:dyDescent="0.3">
      <c r="A16" s="1">
        <f t="shared" si="1"/>
        <v>14</v>
      </c>
      <c r="B16" s="2"/>
      <c r="C16" s="3" t="s">
        <v>16</v>
      </c>
      <c r="D16" s="4" t="s">
        <v>15</v>
      </c>
      <c r="E16" s="5">
        <v>50</v>
      </c>
      <c r="F16" s="22">
        <v>2800</v>
      </c>
      <c r="G16" s="6">
        <v>50.5</v>
      </c>
      <c r="H16" s="6">
        <v>27</v>
      </c>
      <c r="I16" s="6">
        <v>19.5</v>
      </c>
      <c r="J16" s="7">
        <f t="shared" si="0"/>
        <v>2.6588250000000001E-2</v>
      </c>
      <c r="K16" s="8">
        <v>13.14</v>
      </c>
      <c r="L16" s="9">
        <v>8809414193139</v>
      </c>
      <c r="M16" s="10"/>
    </row>
    <row r="17" spans="1:13" s="11" customFormat="1" ht="90" customHeight="1" x14ac:dyDescent="0.3">
      <c r="A17" s="1">
        <f t="shared" si="1"/>
        <v>15</v>
      </c>
      <c r="B17" s="2"/>
      <c r="C17" s="3" t="s">
        <v>17</v>
      </c>
      <c r="D17" s="4" t="s">
        <v>15</v>
      </c>
      <c r="E17" s="5">
        <v>50</v>
      </c>
      <c r="F17" s="22">
        <v>2800</v>
      </c>
      <c r="G17" s="6">
        <v>50.5</v>
      </c>
      <c r="H17" s="6">
        <v>27</v>
      </c>
      <c r="I17" s="6">
        <v>19.5</v>
      </c>
      <c r="J17" s="7">
        <f t="shared" si="0"/>
        <v>2.6588250000000001E-2</v>
      </c>
      <c r="K17" s="8">
        <v>13.14</v>
      </c>
      <c r="L17" s="9">
        <v>8809414193122</v>
      </c>
      <c r="M17" s="10"/>
    </row>
    <row r="18" spans="1:13" s="11" customFormat="1" ht="90" customHeight="1" x14ac:dyDescent="0.3">
      <c r="A18" s="1">
        <f t="shared" si="1"/>
        <v>16</v>
      </c>
      <c r="B18" s="2"/>
      <c r="C18" s="3" t="s">
        <v>18</v>
      </c>
      <c r="D18" s="4" t="s">
        <v>15</v>
      </c>
      <c r="E18" s="5">
        <v>50</v>
      </c>
      <c r="F18" s="22">
        <v>2800</v>
      </c>
      <c r="G18" s="6">
        <v>50.5</v>
      </c>
      <c r="H18" s="6">
        <v>27</v>
      </c>
      <c r="I18" s="6">
        <v>19.5</v>
      </c>
      <c r="J18" s="7">
        <f t="shared" si="0"/>
        <v>2.6588250000000001E-2</v>
      </c>
      <c r="K18" s="8">
        <v>13.14</v>
      </c>
      <c r="L18" s="9">
        <v>8809414193108</v>
      </c>
      <c r="M18" s="10"/>
    </row>
    <row r="19" spans="1:13" s="11" customFormat="1" ht="90" customHeight="1" x14ac:dyDescent="0.3">
      <c r="A19" s="1">
        <f t="shared" si="1"/>
        <v>17</v>
      </c>
      <c r="B19" s="2"/>
      <c r="C19" s="3" t="s">
        <v>19</v>
      </c>
      <c r="D19" s="4" t="s">
        <v>20</v>
      </c>
      <c r="E19" s="5">
        <v>80</v>
      </c>
      <c r="F19" s="22">
        <v>2000</v>
      </c>
      <c r="G19" s="6">
        <v>54.5</v>
      </c>
      <c r="H19" s="6">
        <v>44.5</v>
      </c>
      <c r="I19" s="6">
        <v>21</v>
      </c>
      <c r="J19" s="7">
        <f t="shared" si="0"/>
        <v>5.0930250000000003E-2</v>
      </c>
      <c r="K19" s="8">
        <v>16.13</v>
      </c>
      <c r="L19" s="9">
        <v>8809414193177</v>
      </c>
      <c r="M19" s="10"/>
    </row>
    <row r="20" spans="1:13" s="11" customFormat="1" ht="90" customHeight="1" x14ac:dyDescent="0.3">
      <c r="A20" s="1">
        <f t="shared" si="1"/>
        <v>18</v>
      </c>
      <c r="B20" s="2"/>
      <c r="C20" s="3" t="s">
        <v>21</v>
      </c>
      <c r="D20" s="4" t="s">
        <v>20</v>
      </c>
      <c r="E20" s="5">
        <v>80</v>
      </c>
      <c r="F20" s="22">
        <v>2000</v>
      </c>
      <c r="G20" s="6">
        <v>54.5</v>
      </c>
      <c r="H20" s="6">
        <v>44.5</v>
      </c>
      <c r="I20" s="6">
        <v>21</v>
      </c>
      <c r="J20" s="7">
        <f t="shared" si="0"/>
        <v>5.0930250000000003E-2</v>
      </c>
      <c r="K20" s="8">
        <v>16.13</v>
      </c>
      <c r="L20" s="9">
        <v>8809414193191</v>
      </c>
      <c r="M20" s="10"/>
    </row>
    <row r="21" spans="1:13" s="11" customFormat="1" ht="90" customHeight="1" x14ac:dyDescent="0.3">
      <c r="A21" s="1">
        <f t="shared" si="1"/>
        <v>19</v>
      </c>
      <c r="B21" s="2"/>
      <c r="C21" s="3" t="s">
        <v>22</v>
      </c>
      <c r="D21" s="4" t="s">
        <v>20</v>
      </c>
      <c r="E21" s="5">
        <v>80</v>
      </c>
      <c r="F21" s="22">
        <v>2000</v>
      </c>
      <c r="G21" s="6">
        <v>54.5</v>
      </c>
      <c r="H21" s="6">
        <v>44.5</v>
      </c>
      <c r="I21" s="6">
        <v>21</v>
      </c>
      <c r="J21" s="7">
        <f t="shared" si="0"/>
        <v>5.0930250000000003E-2</v>
      </c>
      <c r="K21" s="8">
        <v>16.13</v>
      </c>
      <c r="L21" s="9">
        <v>8809414193184</v>
      </c>
      <c r="M21" s="10"/>
    </row>
    <row r="22" spans="1:13" s="11" customFormat="1" ht="90" customHeight="1" x14ac:dyDescent="0.3">
      <c r="A22" s="1">
        <f t="shared" si="1"/>
        <v>20</v>
      </c>
      <c r="B22" s="2"/>
      <c r="C22" s="3" t="s">
        <v>23</v>
      </c>
      <c r="D22" s="4" t="s">
        <v>20</v>
      </c>
      <c r="E22" s="5">
        <v>80</v>
      </c>
      <c r="F22" s="22">
        <v>2000</v>
      </c>
      <c r="G22" s="6">
        <v>54.5</v>
      </c>
      <c r="H22" s="6">
        <v>44.5</v>
      </c>
      <c r="I22" s="6">
        <v>21</v>
      </c>
      <c r="J22" s="7">
        <f t="shared" si="0"/>
        <v>5.0930250000000003E-2</v>
      </c>
      <c r="K22" s="8">
        <v>16.13</v>
      </c>
      <c r="L22" s="9">
        <v>8809414193160</v>
      </c>
      <c r="M22" s="10"/>
    </row>
    <row r="23" spans="1:13" s="11" customFormat="1" ht="90" customHeight="1" x14ac:dyDescent="0.3">
      <c r="A23" s="1">
        <f t="shared" si="1"/>
        <v>21</v>
      </c>
      <c r="B23" s="2"/>
      <c r="C23" s="3" t="s">
        <v>24</v>
      </c>
      <c r="D23" s="4" t="s">
        <v>25</v>
      </c>
      <c r="E23" s="5">
        <v>100</v>
      </c>
      <c r="F23" s="22">
        <v>900</v>
      </c>
      <c r="G23" s="6">
        <v>31</v>
      </c>
      <c r="H23" s="6">
        <v>31</v>
      </c>
      <c r="I23" s="6">
        <v>21</v>
      </c>
      <c r="J23" s="7">
        <f t="shared" si="0"/>
        <v>2.0181000000000001E-2</v>
      </c>
      <c r="K23" s="8">
        <v>5.99</v>
      </c>
      <c r="L23" s="9">
        <v>8809414193283</v>
      </c>
      <c r="M23" s="10"/>
    </row>
    <row r="24" spans="1:13" s="11" customFormat="1" ht="90" customHeight="1" x14ac:dyDescent="0.3">
      <c r="A24" s="1">
        <f t="shared" si="1"/>
        <v>22</v>
      </c>
      <c r="B24" s="2"/>
      <c r="C24" s="3" t="s">
        <v>26</v>
      </c>
      <c r="D24" s="4" t="s">
        <v>25</v>
      </c>
      <c r="E24" s="5">
        <v>100</v>
      </c>
      <c r="F24" s="22">
        <v>900</v>
      </c>
      <c r="G24" s="6">
        <v>31</v>
      </c>
      <c r="H24" s="6">
        <v>31</v>
      </c>
      <c r="I24" s="6">
        <v>21</v>
      </c>
      <c r="J24" s="7">
        <f t="shared" si="0"/>
        <v>2.0181000000000001E-2</v>
      </c>
      <c r="K24" s="8">
        <v>5.99</v>
      </c>
      <c r="L24" s="9">
        <v>8809414193306</v>
      </c>
      <c r="M24" s="10"/>
    </row>
    <row r="25" spans="1:13" s="11" customFormat="1" ht="90" customHeight="1" x14ac:dyDescent="0.3">
      <c r="A25" s="1">
        <f t="shared" si="1"/>
        <v>23</v>
      </c>
      <c r="B25" s="2"/>
      <c r="C25" s="3" t="s">
        <v>27</v>
      </c>
      <c r="D25" s="4" t="s">
        <v>25</v>
      </c>
      <c r="E25" s="5">
        <v>100</v>
      </c>
      <c r="F25" s="22">
        <v>900</v>
      </c>
      <c r="G25" s="6">
        <v>31</v>
      </c>
      <c r="H25" s="6">
        <v>31</v>
      </c>
      <c r="I25" s="6">
        <v>21</v>
      </c>
      <c r="J25" s="7">
        <f t="shared" si="0"/>
        <v>2.0181000000000001E-2</v>
      </c>
      <c r="K25" s="8">
        <v>5.99</v>
      </c>
      <c r="L25" s="9">
        <v>8809414193290</v>
      </c>
      <c r="M25" s="10"/>
    </row>
    <row r="26" spans="1:13" s="11" customFormat="1" ht="90" customHeight="1" x14ac:dyDescent="0.3">
      <c r="A26" s="1">
        <f t="shared" si="1"/>
        <v>24</v>
      </c>
      <c r="B26" s="2"/>
      <c r="C26" s="3" t="s">
        <v>28</v>
      </c>
      <c r="D26" s="4" t="s">
        <v>25</v>
      </c>
      <c r="E26" s="5">
        <v>100</v>
      </c>
      <c r="F26" s="22">
        <v>900</v>
      </c>
      <c r="G26" s="6">
        <v>31</v>
      </c>
      <c r="H26" s="6">
        <v>31</v>
      </c>
      <c r="I26" s="6">
        <v>21</v>
      </c>
      <c r="J26" s="7">
        <f t="shared" si="0"/>
        <v>2.0181000000000001E-2</v>
      </c>
      <c r="K26" s="8">
        <v>5.99</v>
      </c>
      <c r="L26" s="9">
        <v>8809414193276</v>
      </c>
      <c r="M26" s="10"/>
    </row>
    <row r="27" spans="1:13" s="11" customFormat="1" ht="90" customHeight="1" x14ac:dyDescent="0.3">
      <c r="A27" s="1">
        <f t="shared" si="1"/>
        <v>25</v>
      </c>
      <c r="B27" s="2"/>
      <c r="C27" s="3" t="s">
        <v>29</v>
      </c>
      <c r="D27" s="4" t="s">
        <v>30</v>
      </c>
      <c r="E27" s="5">
        <v>100</v>
      </c>
      <c r="F27" s="22">
        <v>850</v>
      </c>
      <c r="G27" s="6">
        <v>53</v>
      </c>
      <c r="H27" s="6">
        <v>46</v>
      </c>
      <c r="I27" s="6">
        <v>18</v>
      </c>
      <c r="J27" s="7">
        <f t="shared" si="0"/>
        <v>4.3883999999999999E-2</v>
      </c>
      <c r="K27" s="8">
        <v>13.45</v>
      </c>
      <c r="L27" s="9">
        <v>8809414193344</v>
      </c>
      <c r="M27" s="10"/>
    </row>
    <row r="28" spans="1:13" s="11" customFormat="1" ht="90" customHeight="1" x14ac:dyDescent="0.3">
      <c r="A28" s="1">
        <f t="shared" si="1"/>
        <v>26</v>
      </c>
      <c r="B28" s="2"/>
      <c r="C28" s="3" t="s">
        <v>31</v>
      </c>
      <c r="D28" s="4" t="s">
        <v>30</v>
      </c>
      <c r="E28" s="5">
        <v>100</v>
      </c>
      <c r="F28" s="22">
        <v>850</v>
      </c>
      <c r="G28" s="6">
        <v>53</v>
      </c>
      <c r="H28" s="6">
        <v>46</v>
      </c>
      <c r="I28" s="6">
        <v>18</v>
      </c>
      <c r="J28" s="7">
        <f t="shared" si="0"/>
        <v>4.3883999999999999E-2</v>
      </c>
      <c r="K28" s="8">
        <v>13.45</v>
      </c>
      <c r="L28" s="9">
        <v>8809414193368</v>
      </c>
      <c r="M28" s="10"/>
    </row>
    <row r="29" spans="1:13" s="11" customFormat="1" ht="90" customHeight="1" x14ac:dyDescent="0.3">
      <c r="A29" s="1">
        <f t="shared" si="1"/>
        <v>27</v>
      </c>
      <c r="B29" s="2"/>
      <c r="C29" s="3" t="s">
        <v>32</v>
      </c>
      <c r="D29" s="4" t="s">
        <v>30</v>
      </c>
      <c r="E29" s="5">
        <v>100</v>
      </c>
      <c r="F29" s="22">
        <v>850</v>
      </c>
      <c r="G29" s="6">
        <v>53</v>
      </c>
      <c r="H29" s="6">
        <v>46</v>
      </c>
      <c r="I29" s="6">
        <v>18</v>
      </c>
      <c r="J29" s="7">
        <f t="shared" si="0"/>
        <v>4.3883999999999999E-2</v>
      </c>
      <c r="K29" s="8">
        <v>13.45</v>
      </c>
      <c r="L29" s="9">
        <v>8809414193351</v>
      </c>
      <c r="M29" s="10"/>
    </row>
    <row r="30" spans="1:13" s="11" customFormat="1" ht="90" customHeight="1" x14ac:dyDescent="0.3">
      <c r="A30" s="1">
        <f t="shared" si="1"/>
        <v>28</v>
      </c>
      <c r="B30" s="2"/>
      <c r="C30" s="3" t="s">
        <v>33</v>
      </c>
      <c r="D30" s="4" t="s">
        <v>30</v>
      </c>
      <c r="E30" s="5">
        <v>100</v>
      </c>
      <c r="F30" s="22">
        <v>850</v>
      </c>
      <c r="G30" s="6">
        <v>53</v>
      </c>
      <c r="H30" s="6">
        <v>46</v>
      </c>
      <c r="I30" s="6">
        <v>18</v>
      </c>
      <c r="J30" s="7">
        <f t="shared" si="0"/>
        <v>4.3883999999999999E-2</v>
      </c>
      <c r="K30" s="8">
        <v>13.45</v>
      </c>
      <c r="L30" s="9">
        <v>8809414193337</v>
      </c>
      <c r="M30" s="10"/>
    </row>
    <row r="31" spans="1:13" s="11" customFormat="1" ht="90" customHeight="1" x14ac:dyDescent="0.3">
      <c r="A31" s="1">
        <f t="shared" si="1"/>
        <v>29</v>
      </c>
      <c r="B31" s="2"/>
      <c r="C31" s="3" t="s">
        <v>34</v>
      </c>
      <c r="D31" s="4" t="s">
        <v>35</v>
      </c>
      <c r="E31" s="5">
        <v>80</v>
      </c>
      <c r="F31" s="22">
        <v>2200</v>
      </c>
      <c r="G31" s="6">
        <v>65</v>
      </c>
      <c r="H31" s="6">
        <v>42</v>
      </c>
      <c r="I31" s="6">
        <v>17</v>
      </c>
      <c r="J31" s="7">
        <f t="shared" si="0"/>
        <v>4.641E-2</v>
      </c>
      <c r="K31" s="8">
        <v>14.96</v>
      </c>
      <c r="L31" s="9">
        <v>8809414193405</v>
      </c>
      <c r="M31" s="10"/>
    </row>
    <row r="32" spans="1:13" s="11" customFormat="1" ht="90" customHeight="1" x14ac:dyDescent="0.3">
      <c r="A32" s="1">
        <f t="shared" si="1"/>
        <v>30</v>
      </c>
      <c r="B32" s="2"/>
      <c r="C32" s="3" t="s">
        <v>36</v>
      </c>
      <c r="D32" s="4" t="s">
        <v>35</v>
      </c>
      <c r="E32" s="5">
        <v>80</v>
      </c>
      <c r="F32" s="22">
        <v>2200</v>
      </c>
      <c r="G32" s="6">
        <v>65</v>
      </c>
      <c r="H32" s="6">
        <v>42</v>
      </c>
      <c r="I32" s="6">
        <v>17</v>
      </c>
      <c r="J32" s="7">
        <f t="shared" si="0"/>
        <v>4.641E-2</v>
      </c>
      <c r="K32" s="8">
        <v>14.96</v>
      </c>
      <c r="L32" s="9">
        <v>8809414193399</v>
      </c>
      <c r="M32" s="10"/>
    </row>
    <row r="33" spans="1:13" s="11" customFormat="1" ht="90" customHeight="1" x14ac:dyDescent="0.3">
      <c r="A33" s="1">
        <f t="shared" si="1"/>
        <v>31</v>
      </c>
      <c r="B33" s="2"/>
      <c r="C33" s="3" t="s">
        <v>37</v>
      </c>
      <c r="D33" s="4" t="s">
        <v>35</v>
      </c>
      <c r="E33" s="5">
        <v>80</v>
      </c>
      <c r="F33" s="22">
        <v>2200</v>
      </c>
      <c r="G33" s="6">
        <v>65</v>
      </c>
      <c r="H33" s="6">
        <v>42</v>
      </c>
      <c r="I33" s="6">
        <v>17</v>
      </c>
      <c r="J33" s="7">
        <f t="shared" si="0"/>
        <v>4.641E-2</v>
      </c>
      <c r="K33" s="8">
        <v>14.96</v>
      </c>
      <c r="L33" s="9">
        <v>8809414193382</v>
      </c>
      <c r="M33" s="10"/>
    </row>
    <row r="34" spans="1:13" s="11" customFormat="1" ht="90" customHeight="1" x14ac:dyDescent="0.3">
      <c r="A34" s="1">
        <f t="shared" si="1"/>
        <v>32</v>
      </c>
      <c r="B34" s="2"/>
      <c r="C34" s="3" t="s">
        <v>38</v>
      </c>
      <c r="D34" s="4" t="s">
        <v>39</v>
      </c>
      <c r="E34" s="5">
        <v>100</v>
      </c>
      <c r="F34" s="22">
        <v>1600</v>
      </c>
      <c r="G34" s="6">
        <v>62</v>
      </c>
      <c r="H34" s="6">
        <v>36.5</v>
      </c>
      <c r="I34" s="6">
        <v>16</v>
      </c>
      <c r="J34" s="7">
        <f t="shared" si="0"/>
        <v>3.6207999999999997E-2</v>
      </c>
      <c r="K34" s="8">
        <v>10.1</v>
      </c>
      <c r="L34" s="9">
        <v>8809414193214</v>
      </c>
      <c r="M34" s="10"/>
    </row>
    <row r="35" spans="1:13" s="11" customFormat="1" ht="90" customHeight="1" x14ac:dyDescent="0.3">
      <c r="A35" s="1">
        <f t="shared" si="1"/>
        <v>33</v>
      </c>
      <c r="B35" s="2"/>
      <c r="C35" s="3" t="s">
        <v>40</v>
      </c>
      <c r="D35" s="4" t="s">
        <v>39</v>
      </c>
      <c r="E35" s="5">
        <v>100</v>
      </c>
      <c r="F35" s="22">
        <v>1500</v>
      </c>
      <c r="G35" s="6">
        <v>62</v>
      </c>
      <c r="H35" s="6">
        <v>36.5</v>
      </c>
      <c r="I35" s="6">
        <v>16</v>
      </c>
      <c r="J35" s="7">
        <f t="shared" si="0"/>
        <v>3.6207999999999997E-2</v>
      </c>
      <c r="K35" s="8">
        <v>10.1</v>
      </c>
      <c r="L35" s="9">
        <v>8809414193207</v>
      </c>
      <c r="M35" s="10"/>
    </row>
    <row r="36" spans="1:13" s="11" customFormat="1" ht="90" customHeight="1" x14ac:dyDescent="0.3">
      <c r="A36" s="1">
        <f t="shared" si="1"/>
        <v>34</v>
      </c>
      <c r="B36" s="2"/>
      <c r="C36" s="3" t="s">
        <v>41</v>
      </c>
      <c r="D36" s="4" t="s">
        <v>39</v>
      </c>
      <c r="E36" s="5">
        <v>100</v>
      </c>
      <c r="F36" s="22">
        <v>1500</v>
      </c>
      <c r="G36" s="6">
        <v>62</v>
      </c>
      <c r="H36" s="6">
        <v>36.5</v>
      </c>
      <c r="I36" s="6">
        <v>16</v>
      </c>
      <c r="J36" s="7">
        <f t="shared" si="0"/>
        <v>3.6207999999999997E-2</v>
      </c>
      <c r="K36" s="8">
        <v>10.1</v>
      </c>
      <c r="L36" s="9">
        <v>8809414193221</v>
      </c>
      <c r="M36" s="10"/>
    </row>
    <row r="37" spans="1:13" s="11" customFormat="1" ht="90" customHeight="1" x14ac:dyDescent="0.3">
      <c r="A37" s="1">
        <f t="shared" si="1"/>
        <v>35</v>
      </c>
      <c r="B37" s="2"/>
      <c r="C37" s="3" t="s">
        <v>42</v>
      </c>
      <c r="D37" s="4" t="s">
        <v>10</v>
      </c>
      <c r="E37" s="5">
        <v>100</v>
      </c>
      <c r="F37" s="22">
        <v>2300</v>
      </c>
      <c r="G37" s="6">
        <v>58</v>
      </c>
      <c r="H37" s="6">
        <v>30</v>
      </c>
      <c r="I37" s="6">
        <v>15.5</v>
      </c>
      <c r="J37" s="7">
        <f t="shared" si="0"/>
        <v>2.6970000000000001E-2</v>
      </c>
      <c r="K37" s="8">
        <v>7.63</v>
      </c>
      <c r="L37" s="9">
        <v>8809414193375</v>
      </c>
      <c r="M37" s="10"/>
    </row>
  </sheetData>
  <mergeCells count="2">
    <mergeCell ref="G2:I2"/>
    <mergeCell ref="A1:M1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H.S Song</dc:creator>
  <cp:lastModifiedBy>H.S Song</cp:lastModifiedBy>
  <dcterms:created xsi:type="dcterms:W3CDTF">2025-08-12T05:15:50Z</dcterms:created>
  <dcterms:modified xsi:type="dcterms:W3CDTF">2025-08-12T05:57:06Z</dcterms:modified>
</cp:coreProperties>
</file>
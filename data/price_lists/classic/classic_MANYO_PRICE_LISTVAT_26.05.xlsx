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MANYO (RU+CIS, 더블도어))\매출\"/>
    </mc:Choice>
  </mc:AlternateContent>
  <xr:revisionPtr revIDLastSave="0" documentId="8_{51137540-A7F1-4AB7-9DAA-D30F80616B13}" xr6:coauthVersionLast="45" xr6:coauthVersionMax="45" xr10:uidLastSave="{00000000-0000-0000-0000-000000000000}"/>
  <bookViews>
    <workbookView xWindow="-120" yWindow="-120" windowWidth="29040" windowHeight="15720" xr2:uid="{8D235C68-2E58-4CD1-A601-3E76148F9395}"/>
  </bookViews>
  <sheets>
    <sheet name="Price List(KRW)" sheetId="1" r:id="rId1"/>
  </sheets>
  <definedNames>
    <definedName name="_xlnm._FilterDatabase" localSheetId="0" hidden="1">'Price List(KRW)'!$B$3:$S$63</definedName>
    <definedName name="_xlnm.Print_Area" localSheetId="0">'Price List(KRW)'!$E$2:$J$63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7" i="1"/>
  <c r="Q14" i="1"/>
  <c r="Q15" i="1"/>
  <c r="Q17" i="1"/>
  <c r="Q18" i="1"/>
  <c r="Q19" i="1"/>
  <c r="Q26" i="1"/>
  <c r="Q27" i="1"/>
  <c r="Q28" i="1"/>
  <c r="Q29" i="1"/>
  <c r="Q30" i="1"/>
  <c r="Q32" i="1"/>
  <c r="Q33" i="1"/>
  <c r="Q35" i="1"/>
  <c r="Q41" i="1"/>
  <c r="Q42" i="1"/>
  <c r="Q46" i="1"/>
  <c r="Q47" i="1"/>
  <c r="Q49" i="1"/>
  <c r="Q50" i="1"/>
  <c r="Q54" i="1"/>
  <c r="Q55" i="1"/>
  <c r="Q57" i="1"/>
  <c r="Q62" i="1"/>
  <c r="Q61" i="1"/>
  <c r="Q60" i="1"/>
  <c r="Q59" i="1"/>
  <c r="Q58" i="1"/>
  <c r="Q53" i="1"/>
  <c r="Q52" i="1"/>
  <c r="Q51" i="1"/>
  <c r="Q48" i="1"/>
  <c r="Q45" i="1"/>
  <c r="Q39" i="1"/>
  <c r="Q38" i="1"/>
  <c r="Q37" i="1"/>
  <c r="Q36" i="1"/>
  <c r="Q34" i="1"/>
  <c r="Q25" i="1"/>
  <c r="Q21" i="1"/>
  <c r="Q20" i="1"/>
  <c r="Q16" i="1"/>
  <c r="Q13" i="1"/>
  <c r="Q12" i="1"/>
  <c r="Q8" i="1"/>
  <c r="Q5" i="1"/>
  <c r="Q4" i="1"/>
  <c r="P63" i="1"/>
  <c r="Q56" i="1"/>
  <c r="Q44" i="1"/>
  <c r="Q43" i="1"/>
  <c r="Q40" i="1"/>
  <c r="Q31" i="1"/>
  <c r="Q24" i="1"/>
  <c r="Q23" i="1"/>
  <c r="Q22" i="1"/>
  <c r="Q11" i="1"/>
  <c r="Q10" i="1"/>
  <c r="Q9" i="1"/>
  <c r="Q63" i="1" l="1"/>
</calcChain>
</file>

<file path=xl/sharedStrings.xml><?xml version="1.0" encoding="utf-8"?>
<sst xmlns="http://schemas.openxmlformats.org/spreadsheetml/2006/main" count="548" uniqueCount="263">
  <si>
    <t>Manyo Product List</t>
    <phoneticPr fontId="5" type="noConversion"/>
  </si>
  <si>
    <t xml:space="preserve">  </t>
    <phoneticPr fontId="5" type="noConversion"/>
  </si>
  <si>
    <t>Line</t>
    <phoneticPr fontId="5" type="noConversion"/>
  </si>
  <si>
    <t>Category</t>
    <phoneticPr fontId="5" type="noConversion"/>
  </si>
  <si>
    <t>Product Code</t>
    <phoneticPr fontId="10" type="noConversion"/>
  </si>
  <si>
    <t>Product Name (ENG)</t>
    <phoneticPr fontId="5" type="noConversion"/>
  </si>
  <si>
    <t xml:space="preserve">Product Name(KOR) </t>
    <phoneticPr fontId="10" type="noConversion"/>
  </si>
  <si>
    <t>Volume</t>
    <phoneticPr fontId="10" type="noConversion"/>
  </si>
  <si>
    <t>Barcode</t>
    <phoneticPr fontId="10" type="noConversion"/>
  </si>
  <si>
    <t>List Price
(KRW)</t>
    <phoneticPr fontId="5" type="noConversion"/>
  </si>
  <si>
    <t>Product 
Per Carton</t>
    <phoneticPr fontId="5" type="noConversion"/>
  </si>
  <si>
    <t>Language</t>
    <phoneticPr fontId="5" type="noConversion"/>
  </si>
  <si>
    <t>CPNP,
SCPN</t>
    <phoneticPr fontId="5" type="noConversion"/>
  </si>
  <si>
    <t>MOCRA</t>
    <phoneticPr fontId="5" type="noConversion"/>
  </si>
  <si>
    <t>Remark</t>
    <phoneticPr fontId="5" type="noConversion"/>
  </si>
  <si>
    <t>Order Q'ty</t>
    <phoneticPr fontId="3" type="noConversion"/>
  </si>
  <si>
    <t>Amount</t>
    <phoneticPr fontId="3" type="noConversion"/>
  </si>
  <si>
    <t>PURE SOYBEAN CLEANSING</t>
    <phoneticPr fontId="5" type="noConversion"/>
  </si>
  <si>
    <t>CLEANSING OIL</t>
    <phoneticPr fontId="3" type="noConversion"/>
  </si>
  <si>
    <t>MA1A0168A</t>
  </si>
  <si>
    <t xml:space="preserve">manyo Pure Soybean Cleansing Oil </t>
  </si>
  <si>
    <t>퓨어소이빈클렌징오일200(일원화)</t>
  </si>
  <si>
    <t>200ml</t>
  </si>
  <si>
    <t>KOR/ENG</t>
    <phoneticPr fontId="3" type="noConversion"/>
  </si>
  <si>
    <t>O</t>
    <phoneticPr fontId="3" type="noConversion"/>
  </si>
  <si>
    <t>FOAM</t>
    <phoneticPr fontId="3" type="noConversion"/>
  </si>
  <si>
    <t>MA1A0166A</t>
    <phoneticPr fontId="3" type="noConversion"/>
  </si>
  <si>
    <t>manyo Pure Soybean Cleansing Foam</t>
    <phoneticPr fontId="3" type="noConversion"/>
  </si>
  <si>
    <t>퓨어소이빈클렌징폼120(일원화)</t>
  </si>
  <si>
    <t>120ml</t>
  </si>
  <si>
    <t>KOR/ENG</t>
  </si>
  <si>
    <t>MA1A0167A</t>
  </si>
  <si>
    <t>manyo Pure Soybean Cleansing Foam</t>
  </si>
  <si>
    <t>퓨어소이빈클렌징폼160(일원화)</t>
  </si>
  <si>
    <t>160ml</t>
  </si>
  <si>
    <t>CLEANSING WATER</t>
  </si>
  <si>
    <t>MA1A0175A</t>
  </si>
  <si>
    <t>manyo Pure Soybean Cleansing Water</t>
  </si>
  <si>
    <t>퓨어소이빈클렌징워터500(일원화_리무버펌프타입)</t>
  </si>
  <si>
    <t>500ml</t>
  </si>
  <si>
    <t>CLEANSING MILK</t>
    <phoneticPr fontId="3" type="noConversion"/>
  </si>
  <si>
    <t>MA1A0158C</t>
  </si>
  <si>
    <t>ma:nyo Pure Soybean Cleansing Milk</t>
    <phoneticPr fontId="3" type="noConversion"/>
  </si>
  <si>
    <t>퓨어소이빈클렌징밀크200(일원화용)(디자인리뉴얼)</t>
  </si>
  <si>
    <t>CLEANSING BALM</t>
    <phoneticPr fontId="3" type="noConversion"/>
  </si>
  <si>
    <t>MC1A0118A</t>
  </si>
  <si>
    <t>ma:nyo Pure Soybean Cleansing Balm</t>
    <phoneticPr fontId="3" type="noConversion"/>
  </si>
  <si>
    <r>
      <rPr>
        <sz val="9"/>
        <color theme="1"/>
        <rFont val="맑은 고딕"/>
        <family val="3"/>
        <charset val="129"/>
      </rPr>
      <t>퓨어소이빈클렌징밤</t>
    </r>
    <r>
      <rPr>
        <sz val="9"/>
        <color theme="1"/>
        <rFont val="Arial"/>
        <family val="2"/>
      </rPr>
      <t>80(</t>
    </r>
    <r>
      <rPr>
        <sz val="9"/>
        <color theme="1"/>
        <rFont val="맑은 고딕"/>
        <family val="3"/>
        <charset val="129"/>
      </rPr>
      <t>영문</t>
    </r>
    <r>
      <rPr>
        <sz val="9"/>
        <color theme="1"/>
        <rFont val="Arial"/>
        <family val="2"/>
      </rPr>
      <t>_</t>
    </r>
    <r>
      <rPr>
        <sz val="9"/>
        <color theme="1"/>
        <rFont val="맑은 고딕"/>
        <family val="3"/>
        <charset val="129"/>
      </rPr>
      <t>모크라</t>
    </r>
    <r>
      <rPr>
        <sz val="9"/>
        <color theme="1"/>
        <rFont val="Arial"/>
        <family val="2"/>
      </rPr>
      <t>)</t>
    </r>
    <phoneticPr fontId="3" type="noConversion"/>
  </si>
  <si>
    <t>80ml</t>
    <phoneticPr fontId="3" type="noConversion"/>
  </si>
  <si>
    <t>BIFIDA</t>
    <phoneticPr fontId="3" type="noConversion"/>
  </si>
  <si>
    <t>AMPOULE</t>
  </si>
  <si>
    <t>MA1A2013B</t>
  </si>
  <si>
    <t>ma:nyo BIFIDA BIOME COMPLEX AMPOULE</t>
    <phoneticPr fontId="3" type="noConversion"/>
  </si>
  <si>
    <t>마녀공장 비피다 바이옴 콤플렉스 앰플</t>
  </si>
  <si>
    <t>50ml</t>
    <phoneticPr fontId="3" type="noConversion"/>
  </si>
  <si>
    <t>MA1A2012B</t>
  </si>
  <si>
    <t>ma:nyo BIFIDA BIOME COMPLEX AMPOULE</t>
  </si>
  <si>
    <t>30ml</t>
  </si>
  <si>
    <t>TONER</t>
    <phoneticPr fontId="3" type="noConversion"/>
  </si>
  <si>
    <t>MA1A1332B</t>
  </si>
  <si>
    <t>ma:nyo BIFIDA BIOME AMPOULE TONER</t>
  </si>
  <si>
    <t>마녀공장 비피다 바이옴 앰플 토너</t>
  </si>
  <si>
    <t>210ml</t>
  </si>
  <si>
    <t>CREAM</t>
  </si>
  <si>
    <t>MA1A1953B</t>
  </si>
  <si>
    <t>ma:nyo BIFIDA BIOME AQUA BARRIER CREAM</t>
  </si>
  <si>
    <t>마녀공장 비피다 바이옴 아쿠아 베리어 크림</t>
  </si>
  <si>
    <t>80ml</t>
  </si>
  <si>
    <t>SERUM</t>
    <phoneticPr fontId="3" type="noConversion"/>
  </si>
  <si>
    <t>MA1A2006A</t>
  </si>
  <si>
    <t>ma:nyo BIFIDA BIOME CONCENTRATE SERUM</t>
  </si>
  <si>
    <t>마녀공장 비피다 바이옴 컨센트레이트 세럼</t>
  </si>
  <si>
    <t>35ml</t>
  </si>
  <si>
    <t>CREAM</t>
    <phoneticPr fontId="3" type="noConversion"/>
  </si>
  <si>
    <t>MA1A0507B</t>
  </si>
  <si>
    <t>ma:nyo BIFIDA BIOME CONCENTRATE EYE CREAM</t>
    <phoneticPr fontId="3" type="noConversion"/>
  </si>
  <si>
    <t>마녀공장 비피다 바이옴 컨센트레이트 아이크림</t>
  </si>
  <si>
    <t>X</t>
    <phoneticPr fontId="3" type="noConversion"/>
  </si>
  <si>
    <t>MASK</t>
  </si>
  <si>
    <t>MA2A0604C</t>
  </si>
  <si>
    <t>ma:nyo BIFIDA BIOME AMPOULE MASK (1 SHEET)</t>
    <phoneticPr fontId="3" type="noConversion"/>
  </si>
  <si>
    <t>마녀공장 비피다 바이옴 앰플마스크 (1매)</t>
  </si>
  <si>
    <t>1 SHEET</t>
  </si>
  <si>
    <t>MB1A0601A</t>
  </si>
  <si>
    <t>ma:nyo BIFIDA BIOME AMPOULE MASK (30G/10SHEETS)</t>
  </si>
  <si>
    <t>마녀공장 비피다 바이옴 앰플마스크 (10매)</t>
  </si>
  <si>
    <t>10 SHEET</t>
  </si>
  <si>
    <t>CLEANSER</t>
  </si>
  <si>
    <t>MA1A0124D</t>
  </si>
  <si>
    <t>ma:nyo BIFIDA COMPLEX AMPOULE GEL CLEANSER</t>
    <phoneticPr fontId="3" type="noConversion"/>
  </si>
  <si>
    <t>마녀공장 비피다 앰플 젤 클렌저</t>
  </si>
  <si>
    <t>400ml</t>
  </si>
  <si>
    <t>GALAC</t>
  </si>
  <si>
    <t>ESSENCE</t>
  </si>
  <si>
    <t>MA1A0229C</t>
  </si>
  <si>
    <t>ma:nyo GALAC NIACIN 3.0 ESSENCE</t>
    <phoneticPr fontId="3" type="noConversion"/>
  </si>
  <si>
    <t>갈락나이아신3.0에센스60(일원화용)</t>
  </si>
  <si>
    <t>60ml</t>
  </si>
  <si>
    <t>MD1A0219B</t>
  </si>
  <si>
    <t>ma:nyo GALAC NIACIN 3.0 ESSENCE</t>
  </si>
  <si>
    <t>갈락나이아신3.0에센스30(일원화용)</t>
  </si>
  <si>
    <t>TONER</t>
  </si>
  <si>
    <t>MA1A1324B</t>
  </si>
  <si>
    <t>ma:nyo GALACTOMY CLEARSKIN TONER</t>
  </si>
  <si>
    <t>마녀공장 갈락토미 클리어스킨 토너</t>
  </si>
  <si>
    <t>PEELING GEL</t>
  </si>
  <si>
    <t>MA1A0102D</t>
  </si>
  <si>
    <t>ma:nyo GALACTOMY ENZYME PEELING GEL</t>
    <phoneticPr fontId="3" type="noConversion"/>
  </si>
  <si>
    <t>마녀공장 갈락토미 엔자임 필링젤</t>
  </si>
  <si>
    <t>75ml</t>
  </si>
  <si>
    <t>MA2A0603C</t>
  </si>
  <si>
    <t>ma:nyo GALAC NIACIN ESSENCE MASK (1 SHEET)</t>
    <phoneticPr fontId="3" type="noConversion"/>
  </si>
  <si>
    <t>마녀공장 갈락 나이아신 에센스 마스크 (1매)</t>
  </si>
  <si>
    <t>MA1A0633D</t>
  </si>
  <si>
    <t>ma:nyo GALAC NIACIN ESSENCE MASK (30G/10SHEETS)</t>
  </si>
  <si>
    <t>마녀공장 갈락 나이아신 에센스 마스크 (10매)</t>
  </si>
  <si>
    <t>SUN SERUM</t>
  </si>
  <si>
    <t>MA1A2026E</t>
  </si>
  <si>
    <t>ma:nyo GALACTOMY MOISTURE SUN SERUM</t>
    <phoneticPr fontId="3" type="noConversion"/>
  </si>
  <si>
    <t>마녀공장 갈락토미 모이스처 선세럼</t>
  </si>
  <si>
    <t>50ml</t>
  </si>
  <si>
    <t>SUN</t>
    <phoneticPr fontId="3" type="noConversion"/>
  </si>
  <si>
    <t>SUN CREAM</t>
    <phoneticPr fontId="3" type="noConversion"/>
  </si>
  <si>
    <t>MA1A0809B</t>
  </si>
  <si>
    <t>ma:nyo FOUNDATION- FREE SUN CREAM</t>
    <phoneticPr fontId="3" type="noConversion"/>
  </si>
  <si>
    <t>마녀공장 파데 프리 선크림</t>
  </si>
  <si>
    <t>PANTHETOIN</t>
    <phoneticPr fontId="3" type="noConversion"/>
  </si>
  <si>
    <t>MA1A0321A</t>
  </si>
  <si>
    <t>ma:nyo PANTHETOIN ESSENCE TONER</t>
    <phoneticPr fontId="3" type="noConversion"/>
  </si>
  <si>
    <t>마녀공장 판테토인 에센스 토너</t>
  </si>
  <si>
    <t>PANTHETOIN</t>
  </si>
  <si>
    <t>MA1A1960B</t>
  </si>
  <si>
    <t>ma:nyo PANTHETOIN CREAM</t>
  </si>
  <si>
    <t>마녀공장 판테토인 크림</t>
  </si>
  <si>
    <t>HYALURON</t>
  </si>
  <si>
    <t>SUNSCREEN</t>
  </si>
  <si>
    <t>MA1A0813B</t>
  </si>
  <si>
    <t>ma:nyo HYALURON HYDRATING SUNSCREEN</t>
    <phoneticPr fontId="3" type="noConversion"/>
  </si>
  <si>
    <t>마녀공장 히알루론하이드레이팅선크림50</t>
  </si>
  <si>
    <t>Lotus</t>
  </si>
  <si>
    <t>MA1A0232A</t>
  </si>
  <si>
    <t>ma:nyo Lotus Pore Tightening Serum</t>
  </si>
  <si>
    <t>마녀공장 로터스포어타이트닝세럼55</t>
  </si>
  <si>
    <t>55ml</t>
  </si>
  <si>
    <t>MA1A0233A</t>
  </si>
  <si>
    <t>ma:nyo Lotus Pore Tightening Serum</t>
    <phoneticPr fontId="3" type="noConversion"/>
  </si>
  <si>
    <t>마녀공장 로터스포어타이트닝세럼30</t>
  </si>
  <si>
    <t>MA1A0819A</t>
  </si>
  <si>
    <t>ma:nyo Lotus Primer-Free Sunscreen</t>
  </si>
  <si>
    <t>마녀공장 로터스프라이머프리선크림50</t>
  </si>
  <si>
    <t>MA2A0609A</t>
  </si>
  <si>
    <t>ma:nyo Lotus Pore Tight-Fit Mask (1 SHEET)</t>
    <phoneticPr fontId="3" type="noConversion"/>
  </si>
  <si>
    <t>마녀공장 로터스포어타이트핏마스크25(1ea)</t>
  </si>
  <si>
    <t>Vcollagen</t>
    <phoneticPr fontId="3" type="noConversion"/>
  </si>
  <si>
    <t>MA1A0661A</t>
  </si>
  <si>
    <t>ma:nyo Vcollagen Deep Ampoule Gel Mask</t>
    <phoneticPr fontId="3" type="noConversion"/>
  </si>
  <si>
    <t>마녀공장 브이콜라겐딥앰플겔마스크34(1ea)</t>
  </si>
  <si>
    <t>Glutathione</t>
  </si>
  <si>
    <t>SERUM PATCH</t>
    <phoneticPr fontId="3" type="noConversion"/>
  </si>
  <si>
    <t>MA2A0610A</t>
  </si>
  <si>
    <t>manyo Glutathione 7 Dark Spot Serum Patch</t>
    <phoneticPr fontId="3" type="noConversion"/>
  </si>
  <si>
    <t>글루타치온7다크스팟세럼패치30매(일원화)</t>
  </si>
  <si>
    <t>30 sheet/72g</t>
  </si>
  <si>
    <t>MA1A2048A</t>
  </si>
  <si>
    <t>manyo Glutathione 7 Dark Spot Serum</t>
  </si>
  <si>
    <t>마녀공장글루타치온7다크스팟세럼30(일원화)</t>
  </si>
  <si>
    <t>MA1A0172A</t>
  </si>
  <si>
    <t>manyo Pure Soybean Cleansing Oil</t>
    <phoneticPr fontId="3" type="noConversion"/>
  </si>
  <si>
    <r>
      <rPr>
        <sz val="9"/>
        <color theme="1"/>
        <rFont val="맑은 고딕"/>
        <family val="3"/>
        <charset val="129"/>
      </rPr>
      <t>마녀공장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소이빈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클렌징오일</t>
    </r>
    <r>
      <rPr>
        <sz val="9"/>
        <color theme="1"/>
        <rFont val="Arial"/>
        <family val="2"/>
      </rPr>
      <t xml:space="preserve"> 55ml</t>
    </r>
    <phoneticPr fontId="3" type="noConversion"/>
  </si>
  <si>
    <t>Sample(Miniature)</t>
    <phoneticPr fontId="5" type="noConversion"/>
  </si>
  <si>
    <t>BIFIDA</t>
  </si>
  <si>
    <t>MA1B2004B</t>
  </si>
  <si>
    <t>ma:nyo BIFIDA BIOME COMPLEX AMPOULE (M)</t>
    <phoneticPr fontId="3" type="noConversion"/>
  </si>
  <si>
    <t>마녀공장 비피다 바이옴 콤플렉스 앰플 12ml (M)</t>
  </si>
  <si>
    <t>12ml</t>
  </si>
  <si>
    <t>MA1B0309B</t>
  </si>
  <si>
    <t>ma:nyo BIFIDA BIOME AMPOULE TONER (M)</t>
    <phoneticPr fontId="3" type="noConversion"/>
  </si>
  <si>
    <t>마녀공장 비피다 바이옴 앰플토너 30ml (M)</t>
  </si>
  <si>
    <t>MA1B0406A</t>
  </si>
  <si>
    <t>ma:nyo BIFIDA BIOME AMPOULE LOTION (M)</t>
    <phoneticPr fontId="3" type="noConversion"/>
  </si>
  <si>
    <t>마녀공장 비피다바이옴앰플로션30(단상자x)</t>
  </si>
  <si>
    <t>MA1B0408A</t>
  </si>
  <si>
    <t>ma:nyo BIFIDA BIOME AMPOULE LOTION (M)</t>
  </si>
  <si>
    <t>마녀공장 비피다바이옴앰플로션8(단상자x)</t>
  </si>
  <si>
    <t>8ml</t>
  </si>
  <si>
    <t>MA1B0316A</t>
  </si>
  <si>
    <t>ma:nyo BIFIDA BIOME AMPOULE TONER (M)</t>
  </si>
  <si>
    <t>마녀공장 비피다바이옴앰플토너8</t>
  </si>
  <si>
    <t>MA1B2008B</t>
  </si>
  <si>
    <t>마녀공장 비피다바이옴콤플렉스앰플8</t>
  </si>
  <si>
    <t>GALACTOMY</t>
  </si>
  <si>
    <t>MA1B0314A</t>
  </si>
  <si>
    <t>ma:nyo GALACTOMY CLEARSKIN TONER (M)</t>
    <phoneticPr fontId="3" type="noConversion"/>
  </si>
  <si>
    <t>마녀공장 갈락토미클리어스킨토너30</t>
  </si>
  <si>
    <t>MA1B0317A</t>
  </si>
  <si>
    <t>ma:nyo GALACTOMY CLEARSKIN TONER (M)</t>
  </si>
  <si>
    <t>마녀공장 갈락토미클리어스킨토너8</t>
  </si>
  <si>
    <t>MA1B0132A</t>
  </si>
  <si>
    <t>ma:nyo GALACTOMY ENZYME PEELING GEL (M)</t>
    <phoneticPr fontId="3" type="noConversion"/>
  </si>
  <si>
    <t>마녀공장 갈락토미엔자임필링젤20</t>
  </si>
  <si>
    <t>20ml</t>
  </si>
  <si>
    <t>MA1B0803A</t>
  </si>
  <si>
    <t>ma:nyo FOUNDATION- FREE SUN CREAM (M)</t>
    <phoneticPr fontId="3" type="noConversion"/>
  </si>
  <si>
    <t>마녀공장 파데프리선크림15</t>
  </si>
  <si>
    <t>15ml</t>
  </si>
  <si>
    <t>MA1B1907A</t>
  </si>
  <si>
    <t>ma:nyo PANTHETOIN CREAM (M)</t>
    <phoneticPr fontId="3" type="noConversion"/>
  </si>
  <si>
    <t>마녀공장 판테토인크림15(미니어쳐)</t>
  </si>
  <si>
    <t>GALACTOMY</t>
    <phoneticPr fontId="3" type="noConversion"/>
  </si>
  <si>
    <t>MA1C0101A</t>
  </si>
  <si>
    <t>ma:nyo GALACTOMY ENZYME PEELING GEL (P)</t>
    <phoneticPr fontId="3" type="noConversion"/>
  </si>
  <si>
    <t>마녀공장 갈락토미엔자임필링젤1.5</t>
  </si>
  <si>
    <t>1.5 ml</t>
  </si>
  <si>
    <t>MA1C0301A</t>
  </si>
  <si>
    <t>ma:nyo GALACTOMY CLEARSKIN TONER (P)</t>
  </si>
  <si>
    <t>마녀공장 갈락토미클리어스킨토너2</t>
  </si>
  <si>
    <t>2 ml</t>
  </si>
  <si>
    <t>MA1C1803A</t>
  </si>
  <si>
    <t>ma:nyo BIFIDA TONER &amp; AMPOULE (P)</t>
    <phoneticPr fontId="3" type="noConversion"/>
  </si>
  <si>
    <t>마녀공장 비피다2종파우치</t>
  </si>
  <si>
    <t>-</t>
  </si>
  <si>
    <t>MA1C1913B</t>
  </si>
  <si>
    <t>ma:nyo BIFIDA BIOME AQUA BARRIER CREAM (P)</t>
    <phoneticPr fontId="3" type="noConversion"/>
  </si>
  <si>
    <t>마녀공장 비피다바이옴아쿠아베리어크림3</t>
  </si>
  <si>
    <t>MA1C0123A</t>
  </si>
  <si>
    <t>ma:nyo Pure Soybean Cleansing Milk (P)</t>
    <phoneticPr fontId="3" type="noConversion"/>
  </si>
  <si>
    <t>퓨어소이빈클렌징밀크2</t>
  </si>
  <si>
    <t>Sample(Sachet)</t>
    <phoneticPr fontId="5" type="noConversion"/>
  </si>
  <si>
    <t>DEEP PORE CLEANSING</t>
  </si>
  <si>
    <t>MA1C0111A</t>
  </si>
  <si>
    <t>ma:nyo DEEP PORE CLEANSING SODA FOAM (P)</t>
    <phoneticPr fontId="3" type="noConversion"/>
  </si>
  <si>
    <t>마녀공장 딥 포어 소다폼2</t>
  </si>
  <si>
    <t>O</t>
    <phoneticPr fontId="5" type="noConversion"/>
  </si>
  <si>
    <t>MA1C2003B</t>
  </si>
  <si>
    <t>ma:nyo BIFIDA BIOME COMPLEX AMPOULE (P)</t>
  </si>
  <si>
    <t>마녀공장 비피다바이옴앰플1.5</t>
  </si>
  <si>
    <t>MA1C2001A</t>
    <phoneticPr fontId="3" type="noConversion"/>
  </si>
  <si>
    <t>ma:nyo BIFIDA BIOME CONCENTRATE SERUM (P)</t>
    <phoneticPr fontId="3" type="noConversion"/>
  </si>
  <si>
    <t>마녀공장 비피다바이옴컨센트레이트세럼1</t>
  </si>
  <si>
    <t>1 ml</t>
  </si>
  <si>
    <t>MA1C2002A</t>
  </si>
  <si>
    <t>ma:nyo BIFIDA COMPLEX AMPOULE (P)</t>
  </si>
  <si>
    <t>마녀공장 비피다앰플1.5</t>
  </si>
  <si>
    <t>MA1C0207A</t>
  </si>
  <si>
    <t>ma:nyo GALAC NIACIN 3.0 ESSENCE (P)</t>
    <phoneticPr fontId="3" type="noConversion"/>
  </si>
  <si>
    <t>갈락나이아신3.0에센스1.5(내수)</t>
  </si>
  <si>
    <t>MA1C0811A</t>
  </si>
  <si>
    <t>ma:nyo PANTHE-CALMING SUN CREAM (P)</t>
    <phoneticPr fontId="3" type="noConversion"/>
  </si>
  <si>
    <t>마녀공장 판테카밍선크림2</t>
  </si>
  <si>
    <t>MA1C0308B</t>
  </si>
  <si>
    <t>ma:nyo PANTHETOIN ESSENCE TONER (P)</t>
  </si>
  <si>
    <t>마녀공장 판테토인에센스토너2</t>
  </si>
  <si>
    <t>MA2C1901A</t>
  </si>
  <si>
    <t>ma:nyo PANTHETOIN CREAM (P)</t>
    <phoneticPr fontId="3" type="noConversion"/>
  </si>
  <si>
    <t>마녀공장 판테토인크림2</t>
  </si>
  <si>
    <t>LOTUS</t>
    <phoneticPr fontId="3" type="noConversion"/>
  </si>
  <si>
    <t>MA1C0208A</t>
  </si>
  <si>
    <t>ma:nyo Lotus Pore Tightening Serum (P)</t>
    <phoneticPr fontId="3" type="noConversion"/>
  </si>
  <si>
    <t>로터스포어타이트닝세럼1.5</t>
  </si>
  <si>
    <t>1.5ml</t>
  </si>
  <si>
    <t>SAMPLE</t>
  </si>
  <si>
    <t>SAMPLE</t>
    <phoneticPr fontId="3" type="noConversion"/>
  </si>
  <si>
    <t>SUPPLY PRICE
(-VAT)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</si>
</sst>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#,##0_);[Red]\(#,##0\)"/>
    <numFmt numFmtId="179" formatCode="#,##0_ "/>
    <numFmt numFmtId="180" formatCode="&quot;₩&quot;#,##0_);[Red]\(&quot;₩&quot;#,##0\)"/>
  </numFmts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3"/>
      <color theme="1"/>
      <name val="Arial"/>
      <family val="2"/>
    </font>
    <font>
      <sz val="8"/>
      <name val="맑은 고딕"/>
      <family val="3"/>
      <charset val="129"/>
    </font>
    <font>
      <sz val="9"/>
      <name val="Arial"/>
      <family val="2"/>
    </font>
    <font>
      <b/>
      <sz val="9"/>
      <color theme="1"/>
      <name val="Arial"/>
      <family val="2"/>
    </font>
    <font>
      <sz val="11"/>
      <name val="돋움"/>
      <family val="3"/>
      <charset val="129"/>
    </font>
    <font>
      <b/>
      <sz val="9"/>
      <name val="Arial"/>
      <family val="2"/>
    </font>
    <font>
      <sz val="8"/>
      <name val="돋움"/>
      <family val="3"/>
      <charset val="129"/>
    </font>
    <font>
      <b/>
      <sz val="9"/>
      <name val="맑은 고딕"/>
      <family val="2"/>
      <charset val="129"/>
    </font>
    <font>
      <sz val="9"/>
      <name val="맑은 고딕"/>
      <family val="3"/>
      <charset val="129"/>
      <scheme val="minor"/>
    </font>
    <font>
      <sz val="9"/>
      <color rgb="FFC00000"/>
      <name val="Arial"/>
      <family val="2"/>
    </font>
    <font>
      <sz val="9"/>
      <color theme="1"/>
      <name val="Arial"/>
      <family val="3"/>
      <charset val="129"/>
    </font>
    <font>
      <sz val="9"/>
      <color theme="1"/>
      <name val="맑은 고딕"/>
      <family val="3"/>
      <charset val="129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74">
    <xf numFmtId="0" fontId="0" fillId="0" borderId="0" xfId="0"/>
    <xf numFmtId="0" fontId="2" fillId="0" borderId="0" xfId="0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  <xf numFmtId="42" fontId="6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9" fillId="3" borderId="1" xfId="2" applyFont="1" applyFill="1" applyBorder="1" applyAlignment="1">
      <alignment horizontal="center" vertical="center" wrapText="1"/>
    </xf>
    <xf numFmtId="176" fontId="9" fillId="3" borderId="1" xfId="2" applyNumberFormat="1" applyFont="1" applyFill="1" applyBorder="1" applyAlignment="1">
      <alignment horizontal="center" vertical="center" wrapText="1"/>
    </xf>
    <xf numFmtId="42" fontId="9" fillId="4" borderId="1" xfId="1" applyNumberFormat="1" applyFont="1" applyFill="1" applyBorder="1" applyAlignment="1">
      <alignment horizontal="center" vertical="center" wrapText="1"/>
    </xf>
    <xf numFmtId="42" fontId="11" fillId="4" borderId="1" xfId="1" applyNumberFormat="1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>
      <alignment horizontal="center" vertical="center" wrapText="1"/>
    </xf>
    <xf numFmtId="177" fontId="7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1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/>
    </xf>
    <xf numFmtId="42" fontId="6" fillId="3" borderId="1" xfId="1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6" fillId="0" borderId="7" xfId="2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176" fontId="6" fillId="0" borderId="7" xfId="0" applyNumberFormat="1" applyFont="1" applyBorder="1" applyAlignment="1">
      <alignment horizontal="center" vertical="center"/>
    </xf>
    <xf numFmtId="42" fontId="6" fillId="0" borderId="7" xfId="0" quotePrefix="1" applyNumberFormat="1" applyFont="1" applyBorder="1" applyAlignment="1">
      <alignment horizontal="center" vertical="center"/>
    </xf>
    <xf numFmtId="42" fontId="6" fillId="0" borderId="7" xfId="0" applyNumberFormat="1" applyFont="1" applyBorder="1" applyAlignment="1">
      <alignment horizontal="center" vertical="center"/>
    </xf>
    <xf numFmtId="179" fontId="6" fillId="0" borderId="7" xfId="2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7" fontId="2" fillId="0" borderId="8" xfId="0" applyNumberFormat="1" applyFont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179" fontId="6" fillId="0" borderId="7" xfId="2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6" fillId="0" borderId="7" xfId="0" applyNumberFormat="1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76" fontId="6" fillId="0" borderId="7" xfId="1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6" fillId="0" borderId="10" xfId="2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42" fontId="6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center"/>
    </xf>
    <xf numFmtId="0" fontId="6" fillId="0" borderId="12" xfId="2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42" fontId="6" fillId="0" borderId="12" xfId="0" applyNumberFormat="1" applyFont="1" applyBorder="1" applyAlignment="1">
      <alignment horizontal="center" vertical="center"/>
    </xf>
    <xf numFmtId="0" fontId="6" fillId="0" borderId="12" xfId="2" quotePrefix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6" fillId="0" borderId="7" xfId="2" quotePrefix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6" fillId="0" borderId="7" xfId="2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17" fontId="6" fillId="0" borderId="7" xfId="2" applyNumberFormat="1" applyFont="1" applyBorder="1" applyAlignment="1">
      <alignment horizontal="center" vertical="center"/>
    </xf>
    <xf numFmtId="41" fontId="2" fillId="0" borderId="0" xfId="1" applyFont="1" applyAlignment="1">
      <alignment vertical="center"/>
    </xf>
    <xf numFmtId="41" fontId="7" fillId="0" borderId="0" xfId="1" applyFont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180" fontId="7" fillId="3" borderId="3" xfId="0" applyNumberFormat="1" applyFont="1" applyFill="1" applyBorder="1" applyAlignment="1">
      <alignment horizontal="center" vertical="center"/>
    </xf>
    <xf numFmtId="180" fontId="2" fillId="0" borderId="14" xfId="0" applyNumberFormat="1" applyFont="1" applyBorder="1" applyAlignment="1">
      <alignment horizontal="right" vertical="center"/>
    </xf>
    <xf numFmtId="180" fontId="2" fillId="0" borderId="9" xfId="0" applyNumberFormat="1" applyFont="1" applyBorder="1" applyAlignment="1">
      <alignment horizontal="right" vertical="center"/>
    </xf>
    <xf numFmtId="180" fontId="2" fillId="0" borderId="6" xfId="0" applyNumberFormat="1" applyFont="1" applyBorder="1" applyAlignment="1">
      <alignment horizontal="right" vertical="center"/>
    </xf>
    <xf numFmtId="180" fontId="2" fillId="3" borderId="5" xfId="0" applyNumberFormat="1" applyFont="1" applyFill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41" fontId="2" fillId="0" borderId="0" xfId="0" applyNumberFormat="1" applyFont="1" applyAlignment="1">
      <alignment vertical="center"/>
    </xf>
  </cellXfs>
  <cellStyles count="3">
    <cellStyle name="쉼표 [0]" xfId="1" builtinId="6"/>
    <cellStyle name="표준" xfId="0" builtinId="0"/>
    <cellStyle name="표준 2 2 2" xfId="2" xr:uid="{6C523878-DAE4-4249-9509-4D0096637D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B61F-57DD-4F9C-A9E1-F25484AE09A4}">
  <sheetPr>
    <pageSetUpPr fitToPage="1"/>
  </sheetPr>
  <dimension ref="A1:S1048532"/>
  <sheetViews>
    <sheetView showGridLines="0" tabSelected="1" zoomScale="85" zoomScaleNormal="85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S11" sqref="S11"/>
    </sheetView>
  </sheetViews>
  <sheetFormatPr defaultColWidth="34" defaultRowHeight="15" customHeight="1" outlineLevelCol="1" x14ac:dyDescent="0.3"/>
  <cols>
    <col min="1" max="1" width="1.625" style="1" customWidth="1"/>
    <col min="2" max="2" width="23.875" style="8" customWidth="1"/>
    <col min="3" max="3" width="17.125" style="8" customWidth="1"/>
    <col min="4" max="4" width="13.75" style="6" customWidth="1"/>
    <col min="5" max="5" width="13.875" style="10" customWidth="1"/>
    <col min="6" max="6" width="47.125" style="5" bestFit="1" customWidth="1"/>
    <col min="7" max="7" width="38.625" style="5" hidden="1" customWidth="1" outlineLevel="1"/>
    <col min="8" max="8" width="10.75" style="4" customWidth="1" collapsed="1"/>
    <col min="9" max="9" width="8.75" style="7" customWidth="1"/>
    <col min="10" max="10" width="12.125" style="7" customWidth="1"/>
    <col min="11" max="11" width="9.125" style="8" bestFit="1" customWidth="1"/>
    <col min="12" max="12" width="9.125" style="8" customWidth="1"/>
    <col min="13" max="13" width="7.625" style="8" customWidth="1"/>
    <col min="14" max="14" width="9.25" style="8" customWidth="1"/>
    <col min="15" max="15" width="14.625" style="4" bestFit="1" customWidth="1"/>
    <col min="16" max="16" width="9.25" style="9" customWidth="1"/>
    <col min="17" max="17" width="11.625" style="66" customWidth="1"/>
    <col min="18" max="18" width="11.875" style="64" customWidth="1"/>
    <col min="19" max="20" width="11.875" style="4" customWidth="1"/>
    <col min="21" max="16384" width="34" style="4"/>
  </cols>
  <sheetData>
    <row r="1" spans="1:19" ht="30" customHeight="1" x14ac:dyDescent="0.3">
      <c r="B1" s="2" t="s">
        <v>0</v>
      </c>
      <c r="C1" s="3"/>
      <c r="E1" s="4"/>
      <c r="F1" s="2"/>
    </row>
    <row r="2" spans="1:19" ht="15" customHeight="1" thickBot="1" x14ac:dyDescent="0.35">
      <c r="I2" s="6"/>
      <c r="J2" s="6"/>
      <c r="O2" s="4" t="s">
        <v>1</v>
      </c>
    </row>
    <row r="3" spans="1:19" s="18" customFormat="1" ht="38.65" customHeight="1" thickTop="1" x14ac:dyDescent="0.3">
      <c r="A3" s="11"/>
      <c r="B3" s="12" t="s">
        <v>2</v>
      </c>
      <c r="C3" s="12" t="s">
        <v>3</v>
      </c>
      <c r="D3" s="13" t="s">
        <v>8</v>
      </c>
      <c r="E3" s="12" t="s">
        <v>4</v>
      </c>
      <c r="F3" s="12" t="s">
        <v>5</v>
      </c>
      <c r="G3" s="12" t="s">
        <v>6</v>
      </c>
      <c r="H3" s="12" t="s">
        <v>7</v>
      </c>
      <c r="I3" s="14" t="s">
        <v>9</v>
      </c>
      <c r="J3" s="15" t="s">
        <v>262</v>
      </c>
      <c r="K3" s="16" t="s">
        <v>10</v>
      </c>
      <c r="L3" s="16" t="s">
        <v>11</v>
      </c>
      <c r="M3" s="12" t="s">
        <v>12</v>
      </c>
      <c r="N3" s="12" t="s">
        <v>13</v>
      </c>
      <c r="O3" s="12" t="s">
        <v>14</v>
      </c>
      <c r="P3" s="17" t="s">
        <v>15</v>
      </c>
      <c r="Q3" s="67" t="s">
        <v>16</v>
      </c>
      <c r="R3" s="65"/>
    </row>
    <row r="4" spans="1:19" ht="15" customHeight="1" x14ac:dyDescent="0.2">
      <c r="B4" s="49" t="s">
        <v>17</v>
      </c>
      <c r="C4" s="49" t="s">
        <v>18</v>
      </c>
      <c r="D4" s="52">
        <v>8809082392292</v>
      </c>
      <c r="E4" s="50" t="s">
        <v>19</v>
      </c>
      <c r="F4" s="49" t="s">
        <v>20</v>
      </c>
      <c r="G4" s="49" t="s">
        <v>21</v>
      </c>
      <c r="H4" s="51" t="s">
        <v>22</v>
      </c>
      <c r="I4" s="53">
        <v>25000</v>
      </c>
      <c r="J4" s="53">
        <v>9750</v>
      </c>
      <c r="K4" s="54">
        <v>40</v>
      </c>
      <c r="L4" s="54" t="s">
        <v>23</v>
      </c>
      <c r="M4" s="51" t="s">
        <v>24</v>
      </c>
      <c r="N4" s="51" t="s">
        <v>24</v>
      </c>
      <c r="O4" s="51"/>
      <c r="P4" s="55"/>
      <c r="Q4" s="68">
        <f>J4*P4</f>
        <v>0</v>
      </c>
      <c r="S4" s="73"/>
    </row>
    <row r="5" spans="1:19" ht="15" customHeight="1" x14ac:dyDescent="0.3">
      <c r="B5" s="29" t="s">
        <v>17</v>
      </c>
      <c r="C5" s="29" t="s">
        <v>25</v>
      </c>
      <c r="D5" s="32">
        <v>8809730959167</v>
      </c>
      <c r="E5" s="56" t="s">
        <v>26</v>
      </c>
      <c r="F5" s="29" t="s">
        <v>27</v>
      </c>
      <c r="G5" s="29" t="s">
        <v>28</v>
      </c>
      <c r="H5" s="30" t="s">
        <v>29</v>
      </c>
      <c r="I5" s="34">
        <v>11800</v>
      </c>
      <c r="J5" s="34">
        <v>4610</v>
      </c>
      <c r="K5" s="57">
        <v>54</v>
      </c>
      <c r="L5" s="57" t="s">
        <v>30</v>
      </c>
      <c r="M5" s="30" t="s">
        <v>24</v>
      </c>
      <c r="N5" s="30" t="s">
        <v>24</v>
      </c>
      <c r="O5" s="58"/>
      <c r="P5" s="37"/>
      <c r="Q5" s="69">
        <f>J5*P5</f>
        <v>0</v>
      </c>
      <c r="S5" s="73"/>
    </row>
    <row r="6" spans="1:19" ht="15" customHeight="1" x14ac:dyDescent="0.3">
      <c r="B6" s="29" t="s">
        <v>17</v>
      </c>
      <c r="C6" s="29" t="s">
        <v>25</v>
      </c>
      <c r="D6" s="32">
        <v>8809730959174</v>
      </c>
      <c r="E6" s="56" t="s">
        <v>31</v>
      </c>
      <c r="F6" s="29" t="s">
        <v>32</v>
      </c>
      <c r="G6" s="29" t="s">
        <v>33</v>
      </c>
      <c r="H6" s="30" t="s">
        <v>34</v>
      </c>
      <c r="I6" s="34">
        <v>14400</v>
      </c>
      <c r="J6" s="34">
        <v>5620</v>
      </c>
      <c r="K6" s="57">
        <v>30</v>
      </c>
      <c r="L6" s="57" t="s">
        <v>30</v>
      </c>
      <c r="M6" s="30" t="s">
        <v>24</v>
      </c>
      <c r="N6" s="30" t="s">
        <v>24</v>
      </c>
      <c r="O6" s="58"/>
      <c r="P6" s="37"/>
      <c r="Q6" s="69">
        <f>J6*P6</f>
        <v>0</v>
      </c>
      <c r="S6" s="73"/>
    </row>
    <row r="7" spans="1:19" ht="15" customHeight="1" x14ac:dyDescent="0.2">
      <c r="B7" s="29" t="s">
        <v>17</v>
      </c>
      <c r="C7" s="29" t="s">
        <v>35</v>
      </c>
      <c r="D7" s="43">
        <v>8809730959372</v>
      </c>
      <c r="E7" s="59" t="s">
        <v>36</v>
      </c>
      <c r="F7" s="60" t="s">
        <v>37</v>
      </c>
      <c r="G7" s="60" t="s">
        <v>38</v>
      </c>
      <c r="H7" s="30" t="s">
        <v>39</v>
      </c>
      <c r="I7" s="34">
        <v>28200</v>
      </c>
      <c r="J7" s="34">
        <v>11000</v>
      </c>
      <c r="K7" s="57">
        <v>20</v>
      </c>
      <c r="L7" s="57" t="s">
        <v>30</v>
      </c>
      <c r="M7" s="30" t="s">
        <v>24</v>
      </c>
      <c r="N7" s="30" t="s">
        <v>24</v>
      </c>
      <c r="O7" s="40"/>
      <c r="P7" s="37"/>
      <c r="Q7" s="69">
        <f>J7*P7</f>
        <v>0</v>
      </c>
      <c r="S7" s="73"/>
    </row>
    <row r="8" spans="1:19" ht="15" customHeight="1" x14ac:dyDescent="0.2">
      <c r="B8" s="29" t="s">
        <v>17</v>
      </c>
      <c r="C8" s="29" t="s">
        <v>40</v>
      </c>
      <c r="D8" s="32">
        <v>8809730959075</v>
      </c>
      <c r="E8" s="59" t="s">
        <v>41</v>
      </c>
      <c r="F8" s="29" t="s">
        <v>42</v>
      </c>
      <c r="G8" s="29" t="s">
        <v>43</v>
      </c>
      <c r="H8" s="30" t="s">
        <v>22</v>
      </c>
      <c r="I8" s="34">
        <v>21000</v>
      </c>
      <c r="J8" s="34">
        <v>8190</v>
      </c>
      <c r="K8" s="39">
        <v>40</v>
      </c>
      <c r="L8" s="39" t="s">
        <v>30</v>
      </c>
      <c r="M8" s="30" t="s">
        <v>24</v>
      </c>
      <c r="N8" s="30" t="s">
        <v>24</v>
      </c>
      <c r="O8" s="30"/>
      <c r="P8" s="37"/>
      <c r="Q8" s="69">
        <f>J8*P8</f>
        <v>0</v>
      </c>
      <c r="S8" s="73"/>
    </row>
    <row r="9" spans="1:19" ht="18" customHeight="1" x14ac:dyDescent="0.2">
      <c r="B9" s="29" t="s">
        <v>17</v>
      </c>
      <c r="C9" s="29" t="s">
        <v>44</v>
      </c>
      <c r="D9" s="32"/>
      <c r="E9" s="59" t="s">
        <v>45</v>
      </c>
      <c r="F9" s="29" t="s">
        <v>46</v>
      </c>
      <c r="G9" s="31" t="s">
        <v>47</v>
      </c>
      <c r="H9" s="30" t="s">
        <v>48</v>
      </c>
      <c r="I9" s="34">
        <v>24000</v>
      </c>
      <c r="J9" s="34">
        <v>9360</v>
      </c>
      <c r="K9" s="39"/>
      <c r="L9" s="39" t="s">
        <v>30</v>
      </c>
      <c r="M9" s="30" t="s">
        <v>24</v>
      </c>
      <c r="N9" s="30" t="s">
        <v>24</v>
      </c>
      <c r="O9" s="30"/>
      <c r="P9" s="37"/>
      <c r="Q9" s="69">
        <f>J9*P9</f>
        <v>0</v>
      </c>
      <c r="S9" s="73"/>
    </row>
    <row r="10" spans="1:19" ht="15" customHeight="1" x14ac:dyDescent="0.2">
      <c r="B10" s="29" t="s">
        <v>49</v>
      </c>
      <c r="C10" s="29" t="s">
        <v>50</v>
      </c>
      <c r="D10" s="32">
        <v>8809657114700</v>
      </c>
      <c r="E10" s="59" t="s">
        <v>51</v>
      </c>
      <c r="F10" s="29" t="s">
        <v>52</v>
      </c>
      <c r="G10" s="29" t="s">
        <v>53</v>
      </c>
      <c r="H10" s="30" t="s">
        <v>54</v>
      </c>
      <c r="I10" s="34">
        <v>35000</v>
      </c>
      <c r="J10" s="34">
        <v>13650</v>
      </c>
      <c r="K10" s="30">
        <v>35</v>
      </c>
      <c r="L10" s="30" t="s">
        <v>30</v>
      </c>
      <c r="M10" s="30" t="s">
        <v>24</v>
      </c>
      <c r="N10" s="30" t="s">
        <v>24</v>
      </c>
      <c r="O10" s="58"/>
      <c r="P10" s="37"/>
      <c r="Q10" s="69">
        <f>J10*P10</f>
        <v>0</v>
      </c>
      <c r="S10" s="73"/>
    </row>
    <row r="11" spans="1:19" ht="15" customHeight="1" x14ac:dyDescent="0.2">
      <c r="B11" s="29" t="s">
        <v>49</v>
      </c>
      <c r="C11" s="29" t="s">
        <v>50</v>
      </c>
      <c r="D11" s="32">
        <v>8809657114687</v>
      </c>
      <c r="E11" s="59" t="s">
        <v>55</v>
      </c>
      <c r="F11" s="29" t="s">
        <v>56</v>
      </c>
      <c r="G11" s="29" t="s">
        <v>53</v>
      </c>
      <c r="H11" s="30" t="s">
        <v>57</v>
      </c>
      <c r="I11" s="34">
        <v>23000</v>
      </c>
      <c r="J11" s="34">
        <v>8970</v>
      </c>
      <c r="K11" s="30">
        <v>100</v>
      </c>
      <c r="L11" s="30" t="s">
        <v>30</v>
      </c>
      <c r="M11" s="30" t="s">
        <v>24</v>
      </c>
      <c r="N11" s="30" t="s">
        <v>24</v>
      </c>
      <c r="O11" s="58"/>
      <c r="P11" s="37"/>
      <c r="Q11" s="69">
        <f>J11*P11</f>
        <v>0</v>
      </c>
      <c r="S11" s="73"/>
    </row>
    <row r="12" spans="1:19" ht="15" customHeight="1" x14ac:dyDescent="0.2">
      <c r="B12" s="29" t="s">
        <v>49</v>
      </c>
      <c r="C12" s="29" t="s">
        <v>58</v>
      </c>
      <c r="D12" s="32">
        <v>8809730950881</v>
      </c>
      <c r="E12" s="59" t="s">
        <v>59</v>
      </c>
      <c r="F12" s="29" t="s">
        <v>60</v>
      </c>
      <c r="G12" s="29" t="s">
        <v>61</v>
      </c>
      <c r="H12" s="30" t="s">
        <v>62</v>
      </c>
      <c r="I12" s="34">
        <v>15000</v>
      </c>
      <c r="J12" s="34">
        <v>5850</v>
      </c>
      <c r="K12" s="30">
        <v>60</v>
      </c>
      <c r="L12" s="30" t="s">
        <v>30</v>
      </c>
      <c r="M12" s="30" t="s">
        <v>24</v>
      </c>
      <c r="N12" s="30" t="s">
        <v>24</v>
      </c>
      <c r="O12" s="61"/>
      <c r="P12" s="37"/>
      <c r="Q12" s="69">
        <f>J12*P12</f>
        <v>0</v>
      </c>
      <c r="S12" s="73"/>
    </row>
    <row r="13" spans="1:19" ht="15" customHeight="1" x14ac:dyDescent="0.2">
      <c r="B13" s="29" t="s">
        <v>49</v>
      </c>
      <c r="C13" s="29" t="s">
        <v>63</v>
      </c>
      <c r="D13" s="32">
        <v>8809730950560</v>
      </c>
      <c r="E13" s="59" t="s">
        <v>64</v>
      </c>
      <c r="F13" s="29" t="s">
        <v>65</v>
      </c>
      <c r="G13" s="29" t="s">
        <v>66</v>
      </c>
      <c r="H13" s="30" t="s">
        <v>67</v>
      </c>
      <c r="I13" s="34">
        <v>24500</v>
      </c>
      <c r="J13" s="34">
        <v>9560</v>
      </c>
      <c r="K13" s="30">
        <v>120</v>
      </c>
      <c r="L13" s="30" t="s">
        <v>30</v>
      </c>
      <c r="M13" s="30" t="s">
        <v>24</v>
      </c>
      <c r="N13" s="30" t="s">
        <v>24</v>
      </c>
      <c r="O13" s="61"/>
      <c r="P13" s="37"/>
      <c r="Q13" s="69">
        <f>J13*P13</f>
        <v>0</v>
      </c>
      <c r="S13" s="73"/>
    </row>
    <row r="14" spans="1:19" ht="15" customHeight="1" x14ac:dyDescent="0.2">
      <c r="B14" s="29" t="s">
        <v>49</v>
      </c>
      <c r="C14" s="29" t="s">
        <v>68</v>
      </c>
      <c r="D14" s="32">
        <v>8809639172810</v>
      </c>
      <c r="E14" s="59" t="s">
        <v>69</v>
      </c>
      <c r="F14" s="29" t="s">
        <v>70</v>
      </c>
      <c r="G14" s="29" t="s">
        <v>71</v>
      </c>
      <c r="H14" s="30" t="s">
        <v>72</v>
      </c>
      <c r="I14" s="34">
        <v>39000</v>
      </c>
      <c r="J14" s="34">
        <v>15210</v>
      </c>
      <c r="K14" s="30">
        <v>88</v>
      </c>
      <c r="L14" s="30" t="s">
        <v>30</v>
      </c>
      <c r="M14" s="30" t="s">
        <v>24</v>
      </c>
      <c r="N14" s="30" t="s">
        <v>24</v>
      </c>
      <c r="O14" s="58"/>
      <c r="P14" s="37"/>
      <c r="Q14" s="69">
        <f>J14*P14</f>
        <v>0</v>
      </c>
      <c r="S14" s="73"/>
    </row>
    <row r="15" spans="1:19" ht="15" customHeight="1" x14ac:dyDescent="0.2">
      <c r="B15" s="29" t="s">
        <v>49</v>
      </c>
      <c r="C15" s="29" t="s">
        <v>73</v>
      </c>
      <c r="D15" s="32">
        <v>8809730950034</v>
      </c>
      <c r="E15" s="59" t="s">
        <v>74</v>
      </c>
      <c r="F15" s="29" t="s">
        <v>75</v>
      </c>
      <c r="G15" s="29" t="s">
        <v>76</v>
      </c>
      <c r="H15" s="30" t="s">
        <v>57</v>
      </c>
      <c r="I15" s="34">
        <v>35000</v>
      </c>
      <c r="J15" s="34">
        <v>13650</v>
      </c>
      <c r="K15" s="30">
        <v>90</v>
      </c>
      <c r="L15" s="30" t="s">
        <v>30</v>
      </c>
      <c r="M15" s="30" t="s">
        <v>77</v>
      </c>
      <c r="N15" s="30" t="s">
        <v>24</v>
      </c>
      <c r="O15" s="58"/>
      <c r="P15" s="37"/>
      <c r="Q15" s="69">
        <f>J15*P15</f>
        <v>0</v>
      </c>
      <c r="S15" s="73"/>
    </row>
    <row r="16" spans="1:19" ht="15" customHeight="1" x14ac:dyDescent="0.2">
      <c r="B16" s="29" t="s">
        <v>49</v>
      </c>
      <c r="C16" s="29" t="s">
        <v>78</v>
      </c>
      <c r="D16" s="32">
        <v>8809730950553</v>
      </c>
      <c r="E16" s="59" t="s">
        <v>79</v>
      </c>
      <c r="F16" s="29" t="s">
        <v>80</v>
      </c>
      <c r="G16" s="29" t="s">
        <v>81</v>
      </c>
      <c r="H16" s="30" t="s">
        <v>82</v>
      </c>
      <c r="I16" s="34">
        <v>3000</v>
      </c>
      <c r="J16" s="34">
        <v>1170</v>
      </c>
      <c r="K16" s="30">
        <v>300</v>
      </c>
      <c r="L16" s="30" t="s">
        <v>30</v>
      </c>
      <c r="M16" s="30" t="s">
        <v>24</v>
      </c>
      <c r="N16" s="30" t="s">
        <v>24</v>
      </c>
      <c r="O16" s="58"/>
      <c r="P16" s="37"/>
      <c r="Q16" s="69">
        <f>J16*P16</f>
        <v>0</v>
      </c>
      <c r="S16" s="73"/>
    </row>
    <row r="17" spans="1:19" ht="15" customHeight="1" x14ac:dyDescent="0.2">
      <c r="B17" s="29" t="s">
        <v>49</v>
      </c>
      <c r="C17" s="29" t="s">
        <v>78</v>
      </c>
      <c r="D17" s="32">
        <v>8809730951161</v>
      </c>
      <c r="E17" s="59" t="s">
        <v>83</v>
      </c>
      <c r="F17" s="29" t="s">
        <v>84</v>
      </c>
      <c r="G17" s="29" t="s">
        <v>85</v>
      </c>
      <c r="H17" s="30" t="s">
        <v>86</v>
      </c>
      <c r="I17" s="34">
        <v>30000</v>
      </c>
      <c r="J17" s="34">
        <v>11700</v>
      </c>
      <c r="K17" s="30">
        <v>30</v>
      </c>
      <c r="L17" s="30" t="s">
        <v>30</v>
      </c>
      <c r="M17" s="30" t="s">
        <v>24</v>
      </c>
      <c r="N17" s="30" t="s">
        <v>24</v>
      </c>
      <c r="O17" s="61"/>
      <c r="P17" s="37"/>
      <c r="Q17" s="69">
        <f>J17*P17</f>
        <v>0</v>
      </c>
      <c r="S17" s="73"/>
    </row>
    <row r="18" spans="1:19" ht="15" customHeight="1" x14ac:dyDescent="0.2">
      <c r="B18" s="29" t="s">
        <v>49</v>
      </c>
      <c r="C18" s="29" t="s">
        <v>87</v>
      </c>
      <c r="D18" s="32">
        <v>8809567929722</v>
      </c>
      <c r="E18" s="59" t="s">
        <v>88</v>
      </c>
      <c r="F18" s="29" t="s">
        <v>89</v>
      </c>
      <c r="G18" s="29" t="s">
        <v>90</v>
      </c>
      <c r="H18" s="30" t="s">
        <v>91</v>
      </c>
      <c r="I18" s="34">
        <v>23000</v>
      </c>
      <c r="J18" s="34">
        <v>8970</v>
      </c>
      <c r="K18" s="57">
        <v>35</v>
      </c>
      <c r="L18" s="57" t="s">
        <v>30</v>
      </c>
      <c r="M18" s="30" t="s">
        <v>24</v>
      </c>
      <c r="N18" s="62" t="s">
        <v>77</v>
      </c>
      <c r="O18" s="58"/>
      <c r="P18" s="37"/>
      <c r="Q18" s="69">
        <f>J18*P18</f>
        <v>0</v>
      </c>
      <c r="S18" s="73"/>
    </row>
    <row r="19" spans="1:19" ht="15" customHeight="1" x14ac:dyDescent="0.2">
      <c r="B19" s="29" t="s">
        <v>92</v>
      </c>
      <c r="C19" s="29" t="s">
        <v>93</v>
      </c>
      <c r="D19" s="32">
        <v>8809730958436</v>
      </c>
      <c r="E19" s="59" t="s">
        <v>94</v>
      </c>
      <c r="F19" s="29" t="s">
        <v>95</v>
      </c>
      <c r="G19" s="29" t="s">
        <v>96</v>
      </c>
      <c r="H19" s="30" t="s">
        <v>97</v>
      </c>
      <c r="I19" s="34">
        <v>36000</v>
      </c>
      <c r="J19" s="34">
        <v>14040</v>
      </c>
      <c r="K19" s="30">
        <v>35</v>
      </c>
      <c r="L19" s="30" t="s">
        <v>30</v>
      </c>
      <c r="M19" s="30" t="s">
        <v>24</v>
      </c>
      <c r="N19" s="30" t="s">
        <v>24</v>
      </c>
      <c r="O19" s="40"/>
      <c r="P19" s="37"/>
      <c r="Q19" s="69">
        <f>J19*P19</f>
        <v>0</v>
      </c>
      <c r="S19" s="73"/>
    </row>
    <row r="20" spans="1:19" ht="15" customHeight="1" x14ac:dyDescent="0.2">
      <c r="B20" s="29" t="s">
        <v>92</v>
      </c>
      <c r="C20" s="29" t="s">
        <v>93</v>
      </c>
      <c r="D20" s="32">
        <v>8809730958573</v>
      </c>
      <c r="E20" s="59" t="s">
        <v>98</v>
      </c>
      <c r="F20" s="29" t="s">
        <v>99</v>
      </c>
      <c r="G20" s="29" t="s">
        <v>100</v>
      </c>
      <c r="H20" s="30" t="s">
        <v>57</v>
      </c>
      <c r="I20" s="34">
        <v>24000</v>
      </c>
      <c r="J20" s="34">
        <v>9360</v>
      </c>
      <c r="K20" s="30">
        <v>35</v>
      </c>
      <c r="L20" s="30" t="s">
        <v>30</v>
      </c>
      <c r="M20" s="30" t="s">
        <v>24</v>
      </c>
      <c r="N20" s="30" t="s">
        <v>24</v>
      </c>
      <c r="O20" s="40"/>
      <c r="P20" s="37"/>
      <c r="Q20" s="69">
        <f>J20*P20</f>
        <v>0</v>
      </c>
      <c r="S20" s="73"/>
    </row>
    <row r="21" spans="1:19" ht="15" customHeight="1" x14ac:dyDescent="0.2">
      <c r="B21" s="29" t="s">
        <v>92</v>
      </c>
      <c r="C21" s="29" t="s">
        <v>101</v>
      </c>
      <c r="D21" s="32">
        <v>8809657118203</v>
      </c>
      <c r="E21" s="59" t="s">
        <v>102</v>
      </c>
      <c r="F21" s="29" t="s">
        <v>103</v>
      </c>
      <c r="G21" s="29" t="s">
        <v>104</v>
      </c>
      <c r="H21" s="30" t="s">
        <v>62</v>
      </c>
      <c r="I21" s="34">
        <v>29000</v>
      </c>
      <c r="J21" s="34">
        <v>11310</v>
      </c>
      <c r="K21" s="30">
        <v>35</v>
      </c>
      <c r="L21" s="30" t="s">
        <v>30</v>
      </c>
      <c r="M21" s="30" t="s">
        <v>24</v>
      </c>
      <c r="N21" s="30" t="s">
        <v>24</v>
      </c>
      <c r="O21" s="36"/>
      <c r="P21" s="37"/>
      <c r="Q21" s="69">
        <f>J21*P21</f>
        <v>0</v>
      </c>
      <c r="S21" s="73"/>
    </row>
    <row r="22" spans="1:19" ht="15" customHeight="1" x14ac:dyDescent="0.2">
      <c r="B22" s="29" t="s">
        <v>92</v>
      </c>
      <c r="C22" s="29" t="s">
        <v>105</v>
      </c>
      <c r="D22" s="32">
        <v>8809730951499</v>
      </c>
      <c r="E22" s="59" t="s">
        <v>106</v>
      </c>
      <c r="F22" s="29" t="s">
        <v>107</v>
      </c>
      <c r="G22" s="29" t="s">
        <v>108</v>
      </c>
      <c r="H22" s="30" t="s">
        <v>109</v>
      </c>
      <c r="I22" s="34">
        <v>12000</v>
      </c>
      <c r="J22" s="34">
        <v>4680</v>
      </c>
      <c r="K22" s="30">
        <v>60</v>
      </c>
      <c r="L22" s="30" t="s">
        <v>30</v>
      </c>
      <c r="M22" s="30" t="s">
        <v>24</v>
      </c>
      <c r="N22" s="30" t="s">
        <v>24</v>
      </c>
      <c r="O22" s="61"/>
      <c r="P22" s="37"/>
      <c r="Q22" s="69">
        <f>J22*P22</f>
        <v>0</v>
      </c>
      <c r="S22" s="73"/>
    </row>
    <row r="23" spans="1:19" ht="15" customHeight="1" x14ac:dyDescent="0.2">
      <c r="B23" s="29" t="s">
        <v>92</v>
      </c>
      <c r="C23" s="29" t="s">
        <v>78</v>
      </c>
      <c r="D23" s="32">
        <v>8809730950546</v>
      </c>
      <c r="E23" s="59" t="s">
        <v>110</v>
      </c>
      <c r="F23" s="29" t="s">
        <v>111</v>
      </c>
      <c r="G23" s="29" t="s">
        <v>112</v>
      </c>
      <c r="H23" s="30" t="s">
        <v>82</v>
      </c>
      <c r="I23" s="34">
        <v>3000</v>
      </c>
      <c r="J23" s="34">
        <v>1170</v>
      </c>
      <c r="K23" s="30">
        <v>300</v>
      </c>
      <c r="L23" s="30" t="s">
        <v>30</v>
      </c>
      <c r="M23" s="30" t="s">
        <v>24</v>
      </c>
      <c r="N23" s="30" t="s">
        <v>24</v>
      </c>
      <c r="O23" s="36"/>
      <c r="P23" s="37"/>
      <c r="Q23" s="69">
        <f>J23*P23</f>
        <v>0</v>
      </c>
      <c r="S23" s="73"/>
    </row>
    <row r="24" spans="1:19" ht="15" customHeight="1" x14ac:dyDescent="0.2">
      <c r="B24" s="29" t="s">
        <v>92</v>
      </c>
      <c r="C24" s="29" t="s">
        <v>78</v>
      </c>
      <c r="D24" s="32">
        <v>8809730951178</v>
      </c>
      <c r="E24" s="59" t="s">
        <v>113</v>
      </c>
      <c r="F24" s="29" t="s">
        <v>114</v>
      </c>
      <c r="G24" s="29" t="s">
        <v>115</v>
      </c>
      <c r="H24" s="30" t="s">
        <v>86</v>
      </c>
      <c r="I24" s="34">
        <v>30000</v>
      </c>
      <c r="J24" s="34">
        <v>11700</v>
      </c>
      <c r="K24" s="30">
        <v>24</v>
      </c>
      <c r="L24" s="30" t="s">
        <v>30</v>
      </c>
      <c r="M24" s="30" t="s">
        <v>24</v>
      </c>
      <c r="N24" s="30" t="s">
        <v>24</v>
      </c>
      <c r="O24" s="61"/>
      <c r="P24" s="37"/>
      <c r="Q24" s="69">
        <f>J24*P24</f>
        <v>0</v>
      </c>
      <c r="S24" s="73"/>
    </row>
    <row r="25" spans="1:19" ht="15" customHeight="1" x14ac:dyDescent="0.2">
      <c r="B25" s="29" t="s">
        <v>92</v>
      </c>
      <c r="C25" s="29" t="s">
        <v>116</v>
      </c>
      <c r="D25" s="32">
        <v>8809730955374</v>
      </c>
      <c r="E25" s="59" t="s">
        <v>117</v>
      </c>
      <c r="F25" s="29" t="s">
        <v>118</v>
      </c>
      <c r="G25" s="29" t="s">
        <v>119</v>
      </c>
      <c r="H25" s="30" t="s">
        <v>120</v>
      </c>
      <c r="I25" s="34">
        <v>20000</v>
      </c>
      <c r="J25" s="34">
        <v>7800</v>
      </c>
      <c r="K25" s="30">
        <v>130</v>
      </c>
      <c r="L25" s="30" t="s">
        <v>30</v>
      </c>
      <c r="M25" s="62" t="s">
        <v>77</v>
      </c>
      <c r="N25" s="62" t="s">
        <v>77</v>
      </c>
      <c r="O25" s="58"/>
      <c r="P25" s="37"/>
      <c r="Q25" s="69">
        <f>J25*P25</f>
        <v>0</v>
      </c>
      <c r="S25" s="73"/>
    </row>
    <row r="26" spans="1:19" ht="15" customHeight="1" x14ac:dyDescent="0.2">
      <c r="A26" s="4"/>
      <c r="B26" s="29" t="s">
        <v>121</v>
      </c>
      <c r="C26" s="29" t="s">
        <v>122</v>
      </c>
      <c r="D26" s="32">
        <v>8809730954094</v>
      </c>
      <c r="E26" s="59" t="s">
        <v>123</v>
      </c>
      <c r="F26" s="29" t="s">
        <v>124</v>
      </c>
      <c r="G26" s="29" t="s">
        <v>125</v>
      </c>
      <c r="H26" s="30" t="s">
        <v>120</v>
      </c>
      <c r="I26" s="34">
        <v>28000</v>
      </c>
      <c r="J26" s="34">
        <v>10920</v>
      </c>
      <c r="K26" s="57">
        <v>55</v>
      </c>
      <c r="L26" s="57" t="s">
        <v>30</v>
      </c>
      <c r="M26" s="62" t="s">
        <v>77</v>
      </c>
      <c r="N26" s="62" t="s">
        <v>77</v>
      </c>
      <c r="O26" s="40"/>
      <c r="P26" s="37"/>
      <c r="Q26" s="69">
        <f>J26*P26</f>
        <v>0</v>
      </c>
      <c r="S26" s="73"/>
    </row>
    <row r="27" spans="1:19" ht="15" customHeight="1" x14ac:dyDescent="0.2">
      <c r="A27" s="4"/>
      <c r="B27" s="29" t="s">
        <v>126</v>
      </c>
      <c r="C27" s="29" t="s">
        <v>58</v>
      </c>
      <c r="D27" s="32">
        <v>8809730955107</v>
      </c>
      <c r="E27" s="59" t="s">
        <v>127</v>
      </c>
      <c r="F27" s="29" t="s">
        <v>128</v>
      </c>
      <c r="G27" s="29" t="s">
        <v>129</v>
      </c>
      <c r="H27" s="30" t="s">
        <v>22</v>
      </c>
      <c r="I27" s="34">
        <v>32000</v>
      </c>
      <c r="J27" s="34">
        <v>12480</v>
      </c>
      <c r="K27" s="57">
        <v>45</v>
      </c>
      <c r="L27" s="57" t="s">
        <v>30</v>
      </c>
      <c r="M27" s="30" t="s">
        <v>24</v>
      </c>
      <c r="N27" s="30" t="s">
        <v>24</v>
      </c>
      <c r="O27" s="40"/>
      <c r="P27" s="37"/>
      <c r="Q27" s="69">
        <f>J27*P27</f>
        <v>0</v>
      </c>
      <c r="S27" s="73"/>
    </row>
    <row r="28" spans="1:19" ht="15" customHeight="1" x14ac:dyDescent="0.2">
      <c r="A28" s="4"/>
      <c r="B28" s="29" t="s">
        <v>130</v>
      </c>
      <c r="C28" s="29" t="s">
        <v>63</v>
      </c>
      <c r="D28" s="32">
        <v>8809730955114</v>
      </c>
      <c r="E28" s="59" t="s">
        <v>131</v>
      </c>
      <c r="F28" s="29" t="s">
        <v>132</v>
      </c>
      <c r="G28" s="29" t="s">
        <v>133</v>
      </c>
      <c r="H28" s="30" t="s">
        <v>67</v>
      </c>
      <c r="I28" s="34">
        <v>42000</v>
      </c>
      <c r="J28" s="34">
        <v>16380</v>
      </c>
      <c r="K28" s="57">
        <v>77</v>
      </c>
      <c r="L28" s="57" t="s">
        <v>30</v>
      </c>
      <c r="M28" s="30" t="s">
        <v>24</v>
      </c>
      <c r="N28" s="30" t="s">
        <v>24</v>
      </c>
      <c r="O28" s="40"/>
      <c r="P28" s="37"/>
      <c r="Q28" s="69">
        <f>J28*P28</f>
        <v>0</v>
      </c>
      <c r="S28" s="73"/>
    </row>
    <row r="29" spans="1:19" ht="15" customHeight="1" x14ac:dyDescent="0.2">
      <c r="A29" s="4"/>
      <c r="B29" s="29" t="s">
        <v>134</v>
      </c>
      <c r="C29" s="29" t="s">
        <v>135</v>
      </c>
      <c r="D29" s="32">
        <v>8809730956234</v>
      </c>
      <c r="E29" s="59" t="s">
        <v>136</v>
      </c>
      <c r="F29" s="29" t="s">
        <v>137</v>
      </c>
      <c r="G29" s="29" t="s">
        <v>138</v>
      </c>
      <c r="H29" s="30" t="s">
        <v>120</v>
      </c>
      <c r="I29" s="34">
        <v>26000</v>
      </c>
      <c r="J29" s="34">
        <v>10140</v>
      </c>
      <c r="K29" s="57">
        <v>55</v>
      </c>
      <c r="L29" s="57" t="s">
        <v>30</v>
      </c>
      <c r="M29" s="62" t="s">
        <v>77</v>
      </c>
      <c r="N29" s="62" t="s">
        <v>77</v>
      </c>
      <c r="O29" s="40"/>
      <c r="P29" s="37"/>
      <c r="Q29" s="69">
        <f>J29*P29</f>
        <v>0</v>
      </c>
      <c r="S29" s="73"/>
    </row>
    <row r="30" spans="1:19" ht="15" customHeight="1" x14ac:dyDescent="0.2">
      <c r="B30" s="29" t="s">
        <v>139</v>
      </c>
      <c r="C30" s="29" t="s">
        <v>68</v>
      </c>
      <c r="D30" s="32">
        <v>8809730958740</v>
      </c>
      <c r="E30" s="59" t="s">
        <v>140</v>
      </c>
      <c r="F30" s="29" t="s">
        <v>141</v>
      </c>
      <c r="G30" s="29" t="s">
        <v>142</v>
      </c>
      <c r="H30" s="30" t="s">
        <v>143</v>
      </c>
      <c r="I30" s="34">
        <v>35000</v>
      </c>
      <c r="J30" s="34">
        <v>13650</v>
      </c>
      <c r="K30" s="39">
        <v>35</v>
      </c>
      <c r="L30" s="39" t="s">
        <v>30</v>
      </c>
      <c r="M30" s="30" t="s">
        <v>24</v>
      </c>
      <c r="N30" s="30" t="s">
        <v>24</v>
      </c>
      <c r="O30" s="30"/>
      <c r="P30" s="37"/>
      <c r="Q30" s="69">
        <f>J30*P30</f>
        <v>0</v>
      </c>
      <c r="S30" s="73"/>
    </row>
    <row r="31" spans="1:19" ht="15" customHeight="1" x14ac:dyDescent="0.2">
      <c r="B31" s="29" t="s">
        <v>139</v>
      </c>
      <c r="C31" s="29" t="s">
        <v>68</v>
      </c>
      <c r="D31" s="32">
        <v>8809730959082</v>
      </c>
      <c r="E31" s="59" t="s">
        <v>144</v>
      </c>
      <c r="F31" s="29" t="s">
        <v>145</v>
      </c>
      <c r="G31" s="29" t="s">
        <v>146</v>
      </c>
      <c r="H31" s="30" t="s">
        <v>57</v>
      </c>
      <c r="I31" s="34">
        <v>23000</v>
      </c>
      <c r="J31" s="34">
        <v>8970</v>
      </c>
      <c r="K31" s="39">
        <v>100</v>
      </c>
      <c r="L31" s="39" t="s">
        <v>30</v>
      </c>
      <c r="M31" s="30" t="s">
        <v>24</v>
      </c>
      <c r="N31" s="30" t="s">
        <v>24</v>
      </c>
      <c r="O31" s="30"/>
      <c r="P31" s="37"/>
      <c r="Q31" s="69">
        <f>J31*P31</f>
        <v>0</v>
      </c>
      <c r="S31" s="73"/>
    </row>
    <row r="32" spans="1:19" ht="15" customHeight="1" x14ac:dyDescent="0.2">
      <c r="B32" s="29" t="s">
        <v>139</v>
      </c>
      <c r="C32" s="29" t="s">
        <v>135</v>
      </c>
      <c r="D32" s="32">
        <v>8809730958757</v>
      </c>
      <c r="E32" s="59" t="s">
        <v>147</v>
      </c>
      <c r="F32" s="29" t="s">
        <v>148</v>
      </c>
      <c r="G32" s="29" t="s">
        <v>149</v>
      </c>
      <c r="H32" s="30" t="s">
        <v>120</v>
      </c>
      <c r="I32" s="34">
        <v>28000</v>
      </c>
      <c r="J32" s="34">
        <v>10920</v>
      </c>
      <c r="K32" s="39">
        <v>55</v>
      </c>
      <c r="L32" s="39" t="s">
        <v>30</v>
      </c>
      <c r="M32" s="30" t="s">
        <v>77</v>
      </c>
      <c r="N32" s="30" t="s">
        <v>77</v>
      </c>
      <c r="O32" s="30"/>
      <c r="P32" s="37"/>
      <c r="Q32" s="69">
        <f>J32*P32</f>
        <v>0</v>
      </c>
      <c r="S32" s="73"/>
    </row>
    <row r="33" spans="2:19" ht="15" customHeight="1" x14ac:dyDescent="0.2">
      <c r="B33" s="29" t="s">
        <v>139</v>
      </c>
      <c r="C33" s="29" t="s">
        <v>78</v>
      </c>
      <c r="D33" s="32">
        <v>8809730958771</v>
      </c>
      <c r="E33" s="59" t="s">
        <v>150</v>
      </c>
      <c r="F33" s="29" t="s">
        <v>151</v>
      </c>
      <c r="G33" s="29" t="s">
        <v>152</v>
      </c>
      <c r="H33" s="30" t="s">
        <v>82</v>
      </c>
      <c r="I33" s="34">
        <v>4000</v>
      </c>
      <c r="J33" s="34">
        <v>1560</v>
      </c>
      <c r="K33" s="39">
        <v>300</v>
      </c>
      <c r="L33" s="39" t="s">
        <v>30</v>
      </c>
      <c r="M33" s="30" t="s">
        <v>24</v>
      </c>
      <c r="N33" s="30" t="s">
        <v>24</v>
      </c>
      <c r="O33" s="30"/>
      <c r="P33" s="37"/>
      <c r="Q33" s="69">
        <f>J33*P33</f>
        <v>0</v>
      </c>
      <c r="S33" s="73"/>
    </row>
    <row r="34" spans="2:19" ht="15" customHeight="1" x14ac:dyDescent="0.2">
      <c r="B34" s="29" t="s">
        <v>153</v>
      </c>
      <c r="C34" s="29" t="s">
        <v>78</v>
      </c>
      <c r="D34" s="32">
        <v>8809730958795</v>
      </c>
      <c r="E34" s="59" t="s">
        <v>154</v>
      </c>
      <c r="F34" s="29" t="s">
        <v>155</v>
      </c>
      <c r="G34" s="38" t="s">
        <v>156</v>
      </c>
      <c r="H34" s="30" t="s">
        <v>82</v>
      </c>
      <c r="I34" s="34">
        <v>6000</v>
      </c>
      <c r="J34" s="34">
        <v>2340</v>
      </c>
      <c r="K34" s="39">
        <v>270</v>
      </c>
      <c r="L34" s="39" t="s">
        <v>30</v>
      </c>
      <c r="M34" s="30" t="s">
        <v>77</v>
      </c>
      <c r="N34" s="30" t="s">
        <v>77</v>
      </c>
      <c r="O34" s="30"/>
      <c r="P34" s="37"/>
      <c r="Q34" s="69">
        <f>J34*P34</f>
        <v>0</v>
      </c>
      <c r="S34" s="73"/>
    </row>
    <row r="35" spans="2:19" ht="15" customHeight="1" x14ac:dyDescent="0.2">
      <c r="B35" s="29" t="s">
        <v>157</v>
      </c>
      <c r="C35" s="29" t="s">
        <v>158</v>
      </c>
      <c r="D35" s="32">
        <v>8809730959341</v>
      </c>
      <c r="E35" s="59" t="s">
        <v>159</v>
      </c>
      <c r="F35" s="29" t="s">
        <v>160</v>
      </c>
      <c r="G35" s="38" t="s">
        <v>161</v>
      </c>
      <c r="H35" s="30" t="s">
        <v>162</v>
      </c>
      <c r="I35" s="34">
        <v>24000</v>
      </c>
      <c r="J35" s="34">
        <v>9360</v>
      </c>
      <c r="K35" s="39">
        <v>60</v>
      </c>
      <c r="L35" s="39" t="s">
        <v>30</v>
      </c>
      <c r="M35" s="63">
        <v>46113</v>
      </c>
      <c r="N35" s="30" t="s">
        <v>24</v>
      </c>
      <c r="O35" s="30"/>
      <c r="P35" s="37"/>
      <c r="Q35" s="69">
        <f>J35*P35</f>
        <v>0</v>
      </c>
      <c r="S35" s="73"/>
    </row>
    <row r="36" spans="2:19" ht="15" customHeight="1" x14ac:dyDescent="0.2">
      <c r="B36" s="29" t="s">
        <v>157</v>
      </c>
      <c r="C36" s="29" t="s">
        <v>68</v>
      </c>
      <c r="D36" s="32">
        <v>8809730959334</v>
      </c>
      <c r="E36" s="59" t="s">
        <v>163</v>
      </c>
      <c r="F36" s="29" t="s">
        <v>164</v>
      </c>
      <c r="G36" s="38" t="s">
        <v>165</v>
      </c>
      <c r="H36" s="30" t="s">
        <v>57</v>
      </c>
      <c r="I36" s="34">
        <v>28000</v>
      </c>
      <c r="J36" s="34">
        <v>10920</v>
      </c>
      <c r="K36" s="39">
        <v>128</v>
      </c>
      <c r="L36" s="39" t="s">
        <v>30</v>
      </c>
      <c r="M36" s="63">
        <v>46113</v>
      </c>
      <c r="N36" s="30" t="s">
        <v>24</v>
      </c>
      <c r="O36" s="30"/>
      <c r="P36" s="42"/>
      <c r="Q36" s="69">
        <f>J36*P36</f>
        <v>0</v>
      </c>
      <c r="S36" s="73"/>
    </row>
    <row r="37" spans="2:19" ht="15" customHeight="1" x14ac:dyDescent="0.3">
      <c r="B37" s="29" t="s">
        <v>17</v>
      </c>
      <c r="C37" s="29" t="s">
        <v>260</v>
      </c>
      <c r="D37" s="32">
        <v>8809730959518</v>
      </c>
      <c r="E37" s="30" t="s">
        <v>166</v>
      </c>
      <c r="F37" s="29" t="s">
        <v>167</v>
      </c>
      <c r="G37" s="31" t="s">
        <v>168</v>
      </c>
      <c r="H37" s="30" t="s">
        <v>143</v>
      </c>
      <c r="I37" s="33">
        <v>7900</v>
      </c>
      <c r="J37" s="34">
        <v>3090</v>
      </c>
      <c r="K37" s="35">
        <v>126</v>
      </c>
      <c r="L37" s="35"/>
      <c r="M37" s="30" t="s">
        <v>24</v>
      </c>
      <c r="N37" s="30" t="s">
        <v>24</v>
      </c>
      <c r="O37" s="30" t="s">
        <v>169</v>
      </c>
      <c r="P37" s="37"/>
      <c r="Q37" s="69">
        <f>J37*P37</f>
        <v>0</v>
      </c>
      <c r="S37" s="73"/>
    </row>
    <row r="38" spans="2:19" ht="15" customHeight="1" x14ac:dyDescent="0.3">
      <c r="B38" s="29" t="s">
        <v>170</v>
      </c>
      <c r="C38" s="29" t="s">
        <v>260</v>
      </c>
      <c r="D38" s="32">
        <v>8809657116407</v>
      </c>
      <c r="E38" s="30" t="s">
        <v>171</v>
      </c>
      <c r="F38" s="29" t="s">
        <v>172</v>
      </c>
      <c r="G38" s="38" t="s">
        <v>173</v>
      </c>
      <c r="H38" s="30" t="s">
        <v>174</v>
      </c>
      <c r="I38" s="34">
        <v>11700</v>
      </c>
      <c r="J38" s="34">
        <v>4563</v>
      </c>
      <c r="K38" s="39">
        <v>495</v>
      </c>
      <c r="L38" s="30"/>
      <c r="M38" s="30" t="s">
        <v>24</v>
      </c>
      <c r="N38" s="30" t="s">
        <v>24</v>
      </c>
      <c r="O38" s="30" t="s">
        <v>169</v>
      </c>
      <c r="P38" s="37"/>
      <c r="Q38" s="69">
        <f>J38*P38</f>
        <v>0</v>
      </c>
      <c r="S38" s="73"/>
    </row>
    <row r="39" spans="2:19" ht="15" customHeight="1" x14ac:dyDescent="0.3">
      <c r="B39" s="29" t="s">
        <v>170</v>
      </c>
      <c r="C39" s="29" t="s">
        <v>260</v>
      </c>
      <c r="D39" s="32">
        <v>8809657116537</v>
      </c>
      <c r="E39" s="30" t="s">
        <v>175</v>
      </c>
      <c r="F39" s="29" t="s">
        <v>176</v>
      </c>
      <c r="G39" s="38" t="s">
        <v>177</v>
      </c>
      <c r="H39" s="30" t="s">
        <v>57</v>
      </c>
      <c r="I39" s="34">
        <v>3900</v>
      </c>
      <c r="J39" s="34">
        <v>1521</v>
      </c>
      <c r="K39" s="39">
        <v>286</v>
      </c>
      <c r="L39" s="30"/>
      <c r="M39" s="30" t="s">
        <v>24</v>
      </c>
      <c r="N39" s="30" t="s">
        <v>24</v>
      </c>
      <c r="O39" s="30" t="s">
        <v>169</v>
      </c>
      <c r="P39" s="37"/>
      <c r="Q39" s="69">
        <f>J39*P39</f>
        <v>0</v>
      </c>
      <c r="S39" s="73"/>
    </row>
    <row r="40" spans="2:19" ht="15" customHeight="1" x14ac:dyDescent="0.3">
      <c r="B40" s="29" t="s">
        <v>170</v>
      </c>
      <c r="C40" s="29" t="s">
        <v>260</v>
      </c>
      <c r="D40" s="32">
        <v>8809730952359</v>
      </c>
      <c r="E40" s="30" t="s">
        <v>178</v>
      </c>
      <c r="F40" s="29" t="s">
        <v>179</v>
      </c>
      <c r="G40" s="29" t="s">
        <v>180</v>
      </c>
      <c r="H40" s="30" t="s">
        <v>57</v>
      </c>
      <c r="I40" s="34">
        <v>4800</v>
      </c>
      <c r="J40" s="34">
        <v>1872</v>
      </c>
      <c r="K40" s="39">
        <v>286</v>
      </c>
      <c r="L40" s="39"/>
      <c r="M40" s="39" t="s">
        <v>77</v>
      </c>
      <c r="N40" s="39" t="s">
        <v>77</v>
      </c>
      <c r="O40" s="30" t="s">
        <v>169</v>
      </c>
      <c r="P40" s="37"/>
      <c r="Q40" s="69">
        <f>J40*P40</f>
        <v>0</v>
      </c>
      <c r="S40" s="73"/>
    </row>
    <row r="41" spans="2:19" ht="15" customHeight="1" x14ac:dyDescent="0.3">
      <c r="B41" s="29" t="s">
        <v>170</v>
      </c>
      <c r="C41" s="29" t="s">
        <v>260</v>
      </c>
      <c r="D41" s="32">
        <v>8809730955305</v>
      </c>
      <c r="E41" s="30" t="s">
        <v>181</v>
      </c>
      <c r="F41" s="29" t="s">
        <v>182</v>
      </c>
      <c r="G41" s="29" t="s">
        <v>183</v>
      </c>
      <c r="H41" s="30" t="s">
        <v>184</v>
      </c>
      <c r="I41" s="34">
        <v>3000</v>
      </c>
      <c r="J41" s="34">
        <v>1170</v>
      </c>
      <c r="K41" s="39">
        <v>1200</v>
      </c>
      <c r="L41" s="39"/>
      <c r="M41" s="39" t="s">
        <v>77</v>
      </c>
      <c r="N41" s="39" t="s">
        <v>77</v>
      </c>
      <c r="O41" s="30" t="s">
        <v>169</v>
      </c>
      <c r="P41" s="37"/>
      <c r="Q41" s="69">
        <f>J41*P41</f>
        <v>0</v>
      </c>
      <c r="S41" s="73"/>
    </row>
    <row r="42" spans="2:19" ht="15" customHeight="1" x14ac:dyDescent="0.3">
      <c r="B42" s="29" t="s">
        <v>170</v>
      </c>
      <c r="C42" s="29" t="s">
        <v>260</v>
      </c>
      <c r="D42" s="32">
        <v>8809730955169</v>
      </c>
      <c r="E42" s="30" t="s">
        <v>185</v>
      </c>
      <c r="F42" s="29" t="s">
        <v>186</v>
      </c>
      <c r="G42" s="38" t="s">
        <v>187</v>
      </c>
      <c r="H42" s="30" t="s">
        <v>184</v>
      </c>
      <c r="I42" s="34">
        <v>2900</v>
      </c>
      <c r="J42" s="34">
        <v>1131</v>
      </c>
      <c r="K42" s="39">
        <v>1200</v>
      </c>
      <c r="L42" s="30"/>
      <c r="M42" s="30" t="s">
        <v>24</v>
      </c>
      <c r="N42" s="30" t="s">
        <v>24</v>
      </c>
      <c r="O42" s="30" t="s">
        <v>169</v>
      </c>
      <c r="P42" s="37"/>
      <c r="Q42" s="69">
        <f>J42*P42</f>
        <v>0</v>
      </c>
      <c r="S42" s="73"/>
    </row>
    <row r="43" spans="2:19" ht="15" customHeight="1" x14ac:dyDescent="0.3">
      <c r="B43" s="29" t="s">
        <v>170</v>
      </c>
      <c r="C43" s="29" t="s">
        <v>260</v>
      </c>
      <c r="D43" s="32">
        <v>8809730954858</v>
      </c>
      <c r="E43" s="30" t="s">
        <v>188</v>
      </c>
      <c r="F43" s="29" t="s">
        <v>172</v>
      </c>
      <c r="G43" s="38" t="s">
        <v>189</v>
      </c>
      <c r="H43" s="30" t="s">
        <v>184</v>
      </c>
      <c r="I43" s="34">
        <v>9000</v>
      </c>
      <c r="J43" s="34">
        <v>3510</v>
      </c>
      <c r="K43" s="39">
        <v>1200</v>
      </c>
      <c r="L43" s="30"/>
      <c r="M43" s="30" t="s">
        <v>24</v>
      </c>
      <c r="N43" s="30" t="s">
        <v>24</v>
      </c>
      <c r="O43" s="30" t="s">
        <v>169</v>
      </c>
      <c r="P43" s="37"/>
      <c r="Q43" s="69">
        <f>J43*P43</f>
        <v>0</v>
      </c>
      <c r="S43" s="73"/>
    </row>
    <row r="44" spans="2:19" ht="15" customHeight="1" x14ac:dyDescent="0.3">
      <c r="B44" s="29" t="s">
        <v>190</v>
      </c>
      <c r="C44" s="29" t="s">
        <v>260</v>
      </c>
      <c r="D44" s="32">
        <v>8809730954278</v>
      </c>
      <c r="E44" s="30" t="s">
        <v>191</v>
      </c>
      <c r="F44" s="29" t="s">
        <v>192</v>
      </c>
      <c r="G44" s="38" t="s">
        <v>193</v>
      </c>
      <c r="H44" s="30" t="s">
        <v>57</v>
      </c>
      <c r="I44" s="34">
        <v>6600</v>
      </c>
      <c r="J44" s="34">
        <v>2574</v>
      </c>
      <c r="K44" s="39">
        <v>264</v>
      </c>
      <c r="L44" s="39"/>
      <c r="M44" s="30" t="s">
        <v>24</v>
      </c>
      <c r="N44" s="30" t="s">
        <v>24</v>
      </c>
      <c r="O44" s="30" t="s">
        <v>169</v>
      </c>
      <c r="P44" s="37"/>
      <c r="Q44" s="69">
        <f>J44*P44</f>
        <v>0</v>
      </c>
      <c r="S44" s="73"/>
    </row>
    <row r="45" spans="2:19" ht="15" customHeight="1" x14ac:dyDescent="0.3">
      <c r="B45" s="29" t="s">
        <v>190</v>
      </c>
      <c r="C45" s="29" t="s">
        <v>260</v>
      </c>
      <c r="D45" s="32">
        <v>8809730955176</v>
      </c>
      <c r="E45" s="30" t="s">
        <v>194</v>
      </c>
      <c r="F45" s="29" t="s">
        <v>195</v>
      </c>
      <c r="G45" s="38" t="s">
        <v>196</v>
      </c>
      <c r="H45" s="30" t="s">
        <v>184</v>
      </c>
      <c r="I45" s="34">
        <v>3000</v>
      </c>
      <c r="J45" s="34">
        <v>1170</v>
      </c>
      <c r="K45" s="39">
        <v>1200</v>
      </c>
      <c r="L45" s="39"/>
      <c r="M45" s="30" t="s">
        <v>24</v>
      </c>
      <c r="N45" s="30" t="s">
        <v>24</v>
      </c>
      <c r="O45" s="30" t="s">
        <v>169</v>
      </c>
      <c r="P45" s="37"/>
      <c r="Q45" s="69">
        <f>J45*P45</f>
        <v>0</v>
      </c>
      <c r="S45" s="73"/>
    </row>
    <row r="46" spans="2:19" ht="15" customHeight="1" x14ac:dyDescent="0.3">
      <c r="B46" s="29" t="s">
        <v>190</v>
      </c>
      <c r="C46" s="29" t="s">
        <v>260</v>
      </c>
      <c r="D46" s="32">
        <v>8809730953943</v>
      </c>
      <c r="E46" s="30" t="s">
        <v>197</v>
      </c>
      <c r="F46" s="29" t="s">
        <v>198</v>
      </c>
      <c r="G46" s="38" t="s">
        <v>199</v>
      </c>
      <c r="H46" s="30" t="s">
        <v>200</v>
      </c>
      <c r="I46" s="34">
        <v>4500</v>
      </c>
      <c r="J46" s="34">
        <v>1755</v>
      </c>
      <c r="K46" s="39">
        <v>400</v>
      </c>
      <c r="L46" s="39"/>
      <c r="M46" s="30" t="s">
        <v>24</v>
      </c>
      <c r="N46" s="30" t="s">
        <v>24</v>
      </c>
      <c r="O46" s="30" t="s">
        <v>169</v>
      </c>
      <c r="P46" s="37"/>
      <c r="Q46" s="69">
        <f>J46*P46</f>
        <v>0</v>
      </c>
      <c r="S46" s="73"/>
    </row>
    <row r="47" spans="2:19" ht="15" customHeight="1" x14ac:dyDescent="0.3">
      <c r="B47" s="29" t="s">
        <v>121</v>
      </c>
      <c r="C47" s="29" t="s">
        <v>260</v>
      </c>
      <c r="D47" s="32">
        <v>8809730954285</v>
      </c>
      <c r="E47" s="30" t="s">
        <v>201</v>
      </c>
      <c r="F47" s="29" t="s">
        <v>202</v>
      </c>
      <c r="G47" s="38" t="s">
        <v>203</v>
      </c>
      <c r="H47" s="30" t="s">
        <v>204</v>
      </c>
      <c r="I47" s="34">
        <v>11800</v>
      </c>
      <c r="J47" s="34">
        <v>4602</v>
      </c>
      <c r="K47" s="39">
        <v>400</v>
      </c>
      <c r="L47" s="39"/>
      <c r="M47" s="30" t="s">
        <v>77</v>
      </c>
      <c r="N47" s="39" t="s">
        <v>77</v>
      </c>
      <c r="O47" s="30" t="s">
        <v>169</v>
      </c>
      <c r="P47" s="37"/>
      <c r="Q47" s="69">
        <f>J47*P47</f>
        <v>0</v>
      </c>
      <c r="S47" s="73"/>
    </row>
    <row r="48" spans="2:19" ht="15" customHeight="1" x14ac:dyDescent="0.3">
      <c r="B48" s="29" t="s">
        <v>130</v>
      </c>
      <c r="C48" s="29" t="s">
        <v>260</v>
      </c>
      <c r="D48" s="32">
        <v>8809730955145</v>
      </c>
      <c r="E48" s="30" t="s">
        <v>205</v>
      </c>
      <c r="F48" s="29" t="s">
        <v>206</v>
      </c>
      <c r="G48" s="38" t="s">
        <v>207</v>
      </c>
      <c r="H48" s="30" t="s">
        <v>204</v>
      </c>
      <c r="I48" s="34">
        <v>11000</v>
      </c>
      <c r="J48" s="34">
        <v>4290</v>
      </c>
      <c r="K48" s="39">
        <v>560</v>
      </c>
      <c r="L48" s="39"/>
      <c r="M48" s="30" t="s">
        <v>24</v>
      </c>
      <c r="N48" s="30" t="s">
        <v>24</v>
      </c>
      <c r="O48" s="30" t="s">
        <v>169</v>
      </c>
      <c r="P48" s="37"/>
      <c r="Q48" s="69">
        <f>J48*P48</f>
        <v>0</v>
      </c>
      <c r="S48" s="73"/>
    </row>
    <row r="49" spans="2:19" ht="15" customHeight="1" x14ac:dyDescent="0.3">
      <c r="B49" s="29" t="s">
        <v>208</v>
      </c>
      <c r="C49" s="29" t="s">
        <v>260</v>
      </c>
      <c r="D49" s="32">
        <v>8809730953219</v>
      </c>
      <c r="E49" s="40" t="s">
        <v>209</v>
      </c>
      <c r="F49" s="29" t="s">
        <v>210</v>
      </c>
      <c r="G49" s="38" t="s">
        <v>211</v>
      </c>
      <c r="H49" s="30" t="s">
        <v>212</v>
      </c>
      <c r="I49" s="34">
        <v>450</v>
      </c>
      <c r="J49" s="34">
        <v>175.5</v>
      </c>
      <c r="K49" s="41">
        <v>300</v>
      </c>
      <c r="L49" s="41"/>
      <c r="M49" s="30" t="s">
        <v>24</v>
      </c>
      <c r="N49" s="30" t="s">
        <v>24</v>
      </c>
      <c r="O49" s="30" t="s">
        <v>169</v>
      </c>
      <c r="P49" s="37"/>
      <c r="Q49" s="69">
        <f>J49*P49</f>
        <v>0</v>
      </c>
      <c r="S49" s="73"/>
    </row>
    <row r="50" spans="2:19" ht="15" customHeight="1" x14ac:dyDescent="0.3">
      <c r="B50" s="29" t="s">
        <v>208</v>
      </c>
      <c r="C50" s="29" t="s">
        <v>261</v>
      </c>
      <c r="D50" s="32">
        <v>8809730951819</v>
      </c>
      <c r="E50" s="40" t="s">
        <v>213</v>
      </c>
      <c r="F50" s="38" t="s">
        <v>214</v>
      </c>
      <c r="G50" s="38" t="s">
        <v>215</v>
      </c>
      <c r="H50" s="30" t="s">
        <v>216</v>
      </c>
      <c r="I50" s="34">
        <v>420</v>
      </c>
      <c r="J50" s="34">
        <v>163.80000000000001</v>
      </c>
      <c r="K50" s="41">
        <v>300</v>
      </c>
      <c r="L50" s="41"/>
      <c r="M50" s="30" t="s">
        <v>24</v>
      </c>
      <c r="N50" s="30" t="s">
        <v>24</v>
      </c>
      <c r="O50" s="30" t="s">
        <v>169</v>
      </c>
      <c r="P50" s="37"/>
      <c r="Q50" s="69">
        <f>J50*P50</f>
        <v>0</v>
      </c>
      <c r="S50" s="73"/>
    </row>
    <row r="51" spans="2:19" ht="15" customHeight="1" x14ac:dyDescent="0.3">
      <c r="B51" s="29" t="s">
        <v>170</v>
      </c>
      <c r="C51" s="29" t="s">
        <v>260</v>
      </c>
      <c r="D51" s="32">
        <v>8809730954995</v>
      </c>
      <c r="E51" s="40" t="s">
        <v>217</v>
      </c>
      <c r="F51" s="29" t="s">
        <v>218</v>
      </c>
      <c r="G51" s="38" t="s">
        <v>219</v>
      </c>
      <c r="H51" s="30" t="s">
        <v>220</v>
      </c>
      <c r="I51" s="34">
        <v>1300</v>
      </c>
      <c r="J51" s="34">
        <v>507</v>
      </c>
      <c r="K51" s="41">
        <v>300</v>
      </c>
      <c r="L51" s="41"/>
      <c r="M51" s="30" t="s">
        <v>77</v>
      </c>
      <c r="N51" s="30" t="s">
        <v>77</v>
      </c>
      <c r="O51" s="30" t="s">
        <v>169</v>
      </c>
      <c r="P51" s="37"/>
      <c r="Q51" s="69">
        <f>J51*P51</f>
        <v>0</v>
      </c>
      <c r="S51" s="73"/>
    </row>
    <row r="52" spans="2:19" ht="15" customHeight="1" x14ac:dyDescent="0.3">
      <c r="B52" s="29" t="s">
        <v>170</v>
      </c>
      <c r="C52" s="29" t="s">
        <v>260</v>
      </c>
      <c r="D52" s="32">
        <v>8809730950386</v>
      </c>
      <c r="E52" s="40" t="s">
        <v>221</v>
      </c>
      <c r="F52" s="29" t="s">
        <v>222</v>
      </c>
      <c r="G52" s="38" t="s">
        <v>223</v>
      </c>
      <c r="H52" s="30" t="s">
        <v>216</v>
      </c>
      <c r="I52" s="34">
        <v>650</v>
      </c>
      <c r="J52" s="34">
        <v>253.5</v>
      </c>
      <c r="K52" s="39">
        <v>300</v>
      </c>
      <c r="L52" s="30"/>
      <c r="M52" s="30" t="s">
        <v>24</v>
      </c>
      <c r="N52" s="30" t="s">
        <v>24</v>
      </c>
      <c r="O52" s="30" t="s">
        <v>169</v>
      </c>
      <c r="P52" s="42"/>
      <c r="Q52" s="69">
        <f>J52*P52</f>
        <v>0</v>
      </c>
      <c r="S52" s="73"/>
    </row>
    <row r="53" spans="2:19" ht="15" customHeight="1" x14ac:dyDescent="0.3">
      <c r="B53" s="29" t="s">
        <v>17</v>
      </c>
      <c r="C53" s="29" t="s">
        <v>261</v>
      </c>
      <c r="D53" s="32">
        <v>8809730959037</v>
      </c>
      <c r="E53" s="30" t="s">
        <v>224</v>
      </c>
      <c r="F53" s="29" t="s">
        <v>225</v>
      </c>
      <c r="G53" s="38" t="s">
        <v>226</v>
      </c>
      <c r="H53" s="30" t="s">
        <v>216</v>
      </c>
      <c r="I53" s="34">
        <v>474</v>
      </c>
      <c r="J53" s="34">
        <v>184.9</v>
      </c>
      <c r="K53" s="30">
        <v>300</v>
      </c>
      <c r="L53" s="30"/>
      <c r="M53" s="30" t="s">
        <v>24</v>
      </c>
      <c r="N53" s="30" t="s">
        <v>24</v>
      </c>
      <c r="O53" s="30" t="s">
        <v>227</v>
      </c>
      <c r="P53" s="37"/>
      <c r="Q53" s="69">
        <f>J53*P53</f>
        <v>0</v>
      </c>
      <c r="S53" s="73"/>
    </row>
    <row r="54" spans="2:19" ht="15" customHeight="1" x14ac:dyDescent="0.3">
      <c r="B54" s="29" t="s">
        <v>228</v>
      </c>
      <c r="C54" s="29" t="s">
        <v>260</v>
      </c>
      <c r="D54" s="32">
        <v>8809730950683</v>
      </c>
      <c r="E54" s="30" t="s">
        <v>229</v>
      </c>
      <c r="F54" s="29" t="s">
        <v>230</v>
      </c>
      <c r="G54" s="38" t="s">
        <v>231</v>
      </c>
      <c r="H54" s="30" t="s">
        <v>216</v>
      </c>
      <c r="I54" s="34">
        <v>500</v>
      </c>
      <c r="J54" s="34">
        <v>195</v>
      </c>
      <c r="K54" s="30">
        <v>300</v>
      </c>
      <c r="L54" s="30"/>
      <c r="M54" s="30" t="s">
        <v>232</v>
      </c>
      <c r="N54" s="30" t="s">
        <v>24</v>
      </c>
      <c r="O54" s="30" t="s">
        <v>227</v>
      </c>
      <c r="P54" s="37"/>
      <c r="Q54" s="69">
        <f>J54*P54</f>
        <v>0</v>
      </c>
      <c r="S54" s="73"/>
    </row>
    <row r="55" spans="2:19" ht="15" customHeight="1" x14ac:dyDescent="0.3">
      <c r="B55" s="29" t="s">
        <v>170</v>
      </c>
      <c r="C55" s="29" t="s">
        <v>260</v>
      </c>
      <c r="D55" s="32">
        <v>8809657114861</v>
      </c>
      <c r="E55" s="30" t="s">
        <v>233</v>
      </c>
      <c r="F55" s="29" t="s">
        <v>234</v>
      </c>
      <c r="G55" s="38" t="s">
        <v>235</v>
      </c>
      <c r="H55" s="30" t="s">
        <v>212</v>
      </c>
      <c r="I55" s="34">
        <v>510</v>
      </c>
      <c r="J55" s="34">
        <v>198.9</v>
      </c>
      <c r="K55" s="30">
        <v>300</v>
      </c>
      <c r="L55" s="30"/>
      <c r="M55" s="30" t="s">
        <v>24</v>
      </c>
      <c r="N55" s="30" t="s">
        <v>24</v>
      </c>
      <c r="O55" s="30" t="s">
        <v>227</v>
      </c>
      <c r="P55" s="37"/>
      <c r="Q55" s="69">
        <f>J55*P55</f>
        <v>0</v>
      </c>
      <c r="S55" s="73"/>
    </row>
    <row r="56" spans="2:19" ht="15" customHeight="1" x14ac:dyDescent="0.3">
      <c r="B56" s="29" t="s">
        <v>170</v>
      </c>
      <c r="C56" s="29" t="s">
        <v>260</v>
      </c>
      <c r="D56" s="32">
        <v>8809730952618</v>
      </c>
      <c r="E56" s="30" t="s">
        <v>236</v>
      </c>
      <c r="F56" s="29" t="s">
        <v>237</v>
      </c>
      <c r="G56" s="38" t="s">
        <v>238</v>
      </c>
      <c r="H56" s="30" t="s">
        <v>239</v>
      </c>
      <c r="I56" s="34">
        <v>500</v>
      </c>
      <c r="J56" s="34">
        <v>195</v>
      </c>
      <c r="K56" s="30">
        <v>300</v>
      </c>
      <c r="L56" s="30"/>
      <c r="M56" s="30" t="s">
        <v>24</v>
      </c>
      <c r="N56" s="30" t="s">
        <v>24</v>
      </c>
      <c r="O56" s="30" t="s">
        <v>227</v>
      </c>
      <c r="P56" s="37"/>
      <c r="Q56" s="69">
        <f>J56*P56</f>
        <v>0</v>
      </c>
      <c r="S56" s="73"/>
    </row>
    <row r="57" spans="2:19" ht="15" customHeight="1" x14ac:dyDescent="0.3">
      <c r="B57" s="29" t="s">
        <v>170</v>
      </c>
      <c r="C57" s="29" t="s">
        <v>260</v>
      </c>
      <c r="D57" s="32">
        <v>8809730950690</v>
      </c>
      <c r="E57" s="30" t="s">
        <v>240</v>
      </c>
      <c r="F57" s="29" t="s">
        <v>241</v>
      </c>
      <c r="G57" s="38" t="s">
        <v>242</v>
      </c>
      <c r="H57" s="30" t="s">
        <v>212</v>
      </c>
      <c r="I57" s="34">
        <v>580</v>
      </c>
      <c r="J57" s="34">
        <v>226.2</v>
      </c>
      <c r="K57" s="30">
        <v>300</v>
      </c>
      <c r="L57" s="30"/>
      <c r="M57" s="30" t="s">
        <v>77</v>
      </c>
      <c r="N57" s="30" t="s">
        <v>24</v>
      </c>
      <c r="O57" s="30" t="s">
        <v>227</v>
      </c>
      <c r="P57" s="37"/>
      <c r="Q57" s="69">
        <f>J57*P57</f>
        <v>0</v>
      </c>
      <c r="S57" s="73"/>
    </row>
    <row r="58" spans="2:19" ht="15" customHeight="1" x14ac:dyDescent="0.3">
      <c r="B58" s="29" t="s">
        <v>92</v>
      </c>
      <c r="C58" s="29" t="s">
        <v>260</v>
      </c>
      <c r="D58" s="32">
        <v>8809730958511</v>
      </c>
      <c r="E58" s="30" t="s">
        <v>243</v>
      </c>
      <c r="F58" s="29" t="s">
        <v>244</v>
      </c>
      <c r="G58" s="38" t="s">
        <v>245</v>
      </c>
      <c r="H58" s="30" t="s">
        <v>212</v>
      </c>
      <c r="I58" s="34">
        <v>710</v>
      </c>
      <c r="J58" s="34">
        <v>276.89999999999998</v>
      </c>
      <c r="K58" s="30">
        <v>300</v>
      </c>
      <c r="L58" s="30"/>
      <c r="M58" s="30" t="s">
        <v>24</v>
      </c>
      <c r="N58" s="30" t="s">
        <v>24</v>
      </c>
      <c r="O58" s="30" t="s">
        <v>227</v>
      </c>
      <c r="P58" s="37"/>
      <c r="Q58" s="69">
        <f>J58*P58</f>
        <v>0</v>
      </c>
      <c r="S58" s="73"/>
    </row>
    <row r="59" spans="2:19" ht="15" customHeight="1" x14ac:dyDescent="0.3">
      <c r="B59" s="29" t="s">
        <v>130</v>
      </c>
      <c r="C59" s="29" t="s">
        <v>260</v>
      </c>
      <c r="D59" s="32">
        <v>8809730955602</v>
      </c>
      <c r="E59" s="30" t="s">
        <v>246</v>
      </c>
      <c r="F59" s="29" t="s">
        <v>247</v>
      </c>
      <c r="G59" s="38" t="s">
        <v>248</v>
      </c>
      <c r="H59" s="30" t="s">
        <v>216</v>
      </c>
      <c r="I59" s="34">
        <v>1250</v>
      </c>
      <c r="J59" s="34">
        <v>487.5</v>
      </c>
      <c r="K59" s="30">
        <v>300</v>
      </c>
      <c r="L59" s="30"/>
      <c r="M59" s="30" t="s">
        <v>77</v>
      </c>
      <c r="N59" s="30" t="s">
        <v>77</v>
      </c>
      <c r="O59" s="30" t="s">
        <v>227</v>
      </c>
      <c r="P59" s="37"/>
      <c r="Q59" s="69">
        <f>J59*P59</f>
        <v>0</v>
      </c>
      <c r="S59" s="73"/>
    </row>
    <row r="60" spans="2:19" ht="15" customHeight="1" x14ac:dyDescent="0.3">
      <c r="B60" s="29" t="s">
        <v>130</v>
      </c>
      <c r="C60" s="29" t="s">
        <v>260</v>
      </c>
      <c r="D60" s="32">
        <v>8809730956128</v>
      </c>
      <c r="E60" s="30" t="s">
        <v>249</v>
      </c>
      <c r="F60" s="29" t="s">
        <v>250</v>
      </c>
      <c r="G60" s="38" t="s">
        <v>251</v>
      </c>
      <c r="H60" s="30" t="s">
        <v>216</v>
      </c>
      <c r="I60" s="34">
        <v>580</v>
      </c>
      <c r="J60" s="34">
        <v>226.2</v>
      </c>
      <c r="K60" s="30">
        <v>300</v>
      </c>
      <c r="L60" s="30"/>
      <c r="M60" s="30" t="s">
        <v>24</v>
      </c>
      <c r="N60" s="30" t="s">
        <v>24</v>
      </c>
      <c r="O60" s="30" t="s">
        <v>227</v>
      </c>
      <c r="P60" s="37"/>
      <c r="Q60" s="69">
        <f>J60*P60</f>
        <v>0</v>
      </c>
      <c r="S60" s="73"/>
    </row>
    <row r="61" spans="2:19" ht="15" customHeight="1" x14ac:dyDescent="0.3">
      <c r="B61" s="29" t="s">
        <v>130</v>
      </c>
      <c r="C61" s="29" t="s">
        <v>260</v>
      </c>
      <c r="D61" s="32">
        <v>8809730956135</v>
      </c>
      <c r="E61" s="30" t="s">
        <v>252</v>
      </c>
      <c r="F61" s="29" t="s">
        <v>253</v>
      </c>
      <c r="G61" s="38" t="s">
        <v>254</v>
      </c>
      <c r="H61" s="30" t="s">
        <v>216</v>
      </c>
      <c r="I61" s="34">
        <v>960</v>
      </c>
      <c r="J61" s="34">
        <v>374.4</v>
      </c>
      <c r="K61" s="30">
        <v>300</v>
      </c>
      <c r="L61" s="30"/>
      <c r="M61" s="30" t="s">
        <v>24</v>
      </c>
      <c r="N61" s="30" t="s">
        <v>24</v>
      </c>
      <c r="O61" s="30" t="s">
        <v>227</v>
      </c>
      <c r="P61" s="37"/>
      <c r="Q61" s="69">
        <f>J61*P61</f>
        <v>0</v>
      </c>
      <c r="S61" s="73"/>
    </row>
    <row r="62" spans="2:19" ht="15" customHeight="1" x14ac:dyDescent="0.3">
      <c r="B62" s="44" t="s">
        <v>255</v>
      </c>
      <c r="C62" s="44" t="s">
        <v>260</v>
      </c>
      <c r="D62" s="32">
        <v>8809730958788</v>
      </c>
      <c r="E62" s="45" t="s">
        <v>256</v>
      </c>
      <c r="F62" s="44" t="s">
        <v>257</v>
      </c>
      <c r="G62" s="46" t="s">
        <v>258</v>
      </c>
      <c r="H62" s="45" t="s">
        <v>259</v>
      </c>
      <c r="I62" s="47">
        <v>650</v>
      </c>
      <c r="J62" s="47">
        <v>253.5</v>
      </c>
      <c r="K62" s="45">
        <v>300</v>
      </c>
      <c r="L62" s="45"/>
      <c r="M62" s="45" t="s">
        <v>24</v>
      </c>
      <c r="N62" s="45" t="s">
        <v>24</v>
      </c>
      <c r="O62" s="45" t="s">
        <v>227</v>
      </c>
      <c r="P62" s="48"/>
      <c r="Q62" s="70">
        <f>J62*P62</f>
        <v>0</v>
      </c>
      <c r="S62" s="73"/>
    </row>
    <row r="63" spans="2:19" ht="15" customHeight="1" thickBot="1" x14ac:dyDescent="0.35">
      <c r="B63" s="23"/>
      <c r="C63" s="23"/>
      <c r="D63" s="26"/>
      <c r="E63" s="24"/>
      <c r="F63" s="23"/>
      <c r="G63" s="23"/>
      <c r="H63" s="25"/>
      <c r="I63" s="27"/>
      <c r="J63" s="27"/>
      <c r="K63" s="25"/>
      <c r="L63" s="25"/>
      <c r="M63" s="25"/>
      <c r="N63" s="25"/>
      <c r="O63" s="25"/>
      <c r="P63" s="28">
        <f>SUM(P4:P62)</f>
        <v>0</v>
      </c>
      <c r="Q63" s="71">
        <f>SUM(Q4:Q62)</f>
        <v>0</v>
      </c>
    </row>
    <row r="64" spans="2:19" ht="15" customHeight="1" thickTop="1" x14ac:dyDescent="0.3">
      <c r="E64" s="20"/>
      <c r="H64" s="21"/>
      <c r="P64" s="22"/>
      <c r="Q64" s="72"/>
    </row>
    <row r="65" spans="16:17" ht="15" customHeight="1" x14ac:dyDescent="0.3">
      <c r="P65" s="22"/>
      <c r="Q65" s="72"/>
    </row>
    <row r="66" spans="16:17" ht="15" customHeight="1" x14ac:dyDescent="0.3">
      <c r="P66" s="22"/>
      <c r="Q66" s="72"/>
    </row>
    <row r="67" spans="16:17" ht="15" customHeight="1" x14ac:dyDescent="0.3">
      <c r="P67" s="22"/>
      <c r="Q67" s="72"/>
    </row>
    <row r="68" spans="16:17" ht="15" customHeight="1" x14ac:dyDescent="0.3">
      <c r="P68" s="22"/>
      <c r="Q68" s="72"/>
    </row>
    <row r="69" spans="16:17" ht="15" customHeight="1" x14ac:dyDescent="0.3">
      <c r="P69" s="22"/>
      <c r="Q69" s="72"/>
    </row>
    <row r="70" spans="16:17" ht="15" customHeight="1" x14ac:dyDescent="0.3">
      <c r="P70" s="22"/>
      <c r="Q70" s="72"/>
    </row>
    <row r="71" spans="16:17" ht="15" customHeight="1" x14ac:dyDescent="0.3">
      <c r="P71" s="22"/>
      <c r="Q71" s="72"/>
    </row>
    <row r="72" spans="16:17" ht="15" customHeight="1" x14ac:dyDescent="0.3">
      <c r="P72" s="22"/>
      <c r="Q72" s="72"/>
    </row>
    <row r="73" spans="16:17" ht="15" customHeight="1" x14ac:dyDescent="0.3">
      <c r="P73" s="22"/>
      <c r="Q73" s="72"/>
    </row>
    <row r="74" spans="16:17" ht="15" customHeight="1" x14ac:dyDescent="0.3">
      <c r="P74" s="22"/>
      <c r="Q74" s="72"/>
    </row>
    <row r="75" spans="16:17" ht="15" customHeight="1" x14ac:dyDescent="0.3">
      <c r="P75" s="22"/>
      <c r="Q75" s="72"/>
    </row>
    <row r="76" spans="16:17" ht="15" customHeight="1" x14ac:dyDescent="0.3">
      <c r="P76" s="22"/>
      <c r="Q76" s="72"/>
    </row>
    <row r="77" spans="16:17" ht="15" customHeight="1" x14ac:dyDescent="0.3">
      <c r="P77" s="22"/>
      <c r="Q77" s="72"/>
    </row>
    <row r="78" spans="16:17" ht="15" customHeight="1" x14ac:dyDescent="0.3">
      <c r="P78" s="22"/>
      <c r="Q78" s="72"/>
    </row>
    <row r="79" spans="16:17" ht="15" customHeight="1" x14ac:dyDescent="0.3">
      <c r="P79" s="22"/>
      <c r="Q79" s="72"/>
    </row>
    <row r="80" spans="16:17" ht="15" customHeight="1" x14ac:dyDescent="0.3">
      <c r="P80" s="22"/>
      <c r="Q80" s="72"/>
    </row>
    <row r="81" spans="16:17" ht="15" customHeight="1" x14ac:dyDescent="0.3">
      <c r="P81" s="22"/>
      <c r="Q81" s="72"/>
    </row>
    <row r="82" spans="16:17" ht="15" customHeight="1" x14ac:dyDescent="0.3">
      <c r="P82" s="22"/>
      <c r="Q82" s="72"/>
    </row>
    <row r="83" spans="16:17" ht="15" customHeight="1" x14ac:dyDescent="0.3">
      <c r="P83" s="22"/>
      <c r="Q83" s="72"/>
    </row>
    <row r="84" spans="16:17" ht="15" customHeight="1" x14ac:dyDescent="0.3">
      <c r="P84" s="22"/>
      <c r="Q84" s="72"/>
    </row>
    <row r="85" spans="16:17" ht="15" customHeight="1" x14ac:dyDescent="0.3">
      <c r="P85" s="22"/>
      <c r="Q85" s="72"/>
    </row>
    <row r="86" spans="16:17" ht="15" customHeight="1" x14ac:dyDescent="0.3">
      <c r="P86" s="22"/>
      <c r="Q86" s="72"/>
    </row>
    <row r="87" spans="16:17" ht="15" customHeight="1" x14ac:dyDescent="0.3">
      <c r="P87" s="22"/>
      <c r="Q87" s="72"/>
    </row>
    <row r="88" spans="16:17" ht="15" customHeight="1" x14ac:dyDescent="0.3">
      <c r="P88" s="22"/>
      <c r="Q88" s="72"/>
    </row>
    <row r="89" spans="16:17" ht="15" customHeight="1" x14ac:dyDescent="0.3">
      <c r="P89" s="22"/>
      <c r="Q89" s="72"/>
    </row>
    <row r="90" spans="16:17" ht="15" customHeight="1" x14ac:dyDescent="0.3">
      <c r="P90" s="22"/>
      <c r="Q90" s="72"/>
    </row>
    <row r="91" spans="16:17" ht="15" customHeight="1" x14ac:dyDescent="0.3">
      <c r="P91" s="22"/>
      <c r="Q91" s="72"/>
    </row>
    <row r="92" spans="16:17" ht="15" customHeight="1" x14ac:dyDescent="0.3">
      <c r="P92" s="22"/>
      <c r="Q92" s="72"/>
    </row>
    <row r="93" spans="16:17" ht="15" customHeight="1" x14ac:dyDescent="0.3">
      <c r="P93" s="22"/>
      <c r="Q93" s="72"/>
    </row>
    <row r="94" spans="16:17" ht="15" customHeight="1" x14ac:dyDescent="0.3">
      <c r="P94" s="22"/>
      <c r="Q94" s="72"/>
    </row>
    <row r="95" spans="16:17" ht="15" customHeight="1" x14ac:dyDescent="0.3">
      <c r="P95" s="22"/>
      <c r="Q95" s="72"/>
    </row>
    <row r="96" spans="16:17" ht="15" customHeight="1" x14ac:dyDescent="0.3">
      <c r="P96" s="22"/>
      <c r="Q96" s="72"/>
    </row>
    <row r="97" spans="16:17" ht="15" customHeight="1" x14ac:dyDescent="0.3">
      <c r="P97" s="22"/>
      <c r="Q97" s="72"/>
    </row>
    <row r="98" spans="16:17" ht="15" customHeight="1" x14ac:dyDescent="0.3">
      <c r="P98" s="22"/>
      <c r="Q98" s="72"/>
    </row>
    <row r="99" spans="16:17" ht="15" customHeight="1" x14ac:dyDescent="0.3">
      <c r="P99" s="22"/>
      <c r="Q99" s="72"/>
    </row>
    <row r="100" spans="16:17" ht="15" customHeight="1" x14ac:dyDescent="0.3">
      <c r="P100" s="22"/>
      <c r="Q100" s="72"/>
    </row>
    <row r="101" spans="16:17" ht="15" customHeight="1" x14ac:dyDescent="0.3">
      <c r="P101" s="22"/>
      <c r="Q101" s="72"/>
    </row>
    <row r="102" spans="16:17" ht="15" customHeight="1" x14ac:dyDescent="0.3">
      <c r="P102" s="22"/>
      <c r="Q102" s="72"/>
    </row>
    <row r="103" spans="16:17" ht="15" customHeight="1" x14ac:dyDescent="0.3">
      <c r="P103" s="22"/>
      <c r="Q103" s="72"/>
    </row>
    <row r="104" spans="16:17" ht="15" customHeight="1" x14ac:dyDescent="0.3">
      <c r="P104" s="22"/>
      <c r="Q104" s="72"/>
    </row>
    <row r="105" spans="16:17" ht="15" customHeight="1" x14ac:dyDescent="0.3">
      <c r="P105" s="22"/>
      <c r="Q105" s="72"/>
    </row>
    <row r="106" spans="16:17" ht="15" customHeight="1" x14ac:dyDescent="0.3">
      <c r="P106" s="22"/>
      <c r="Q106" s="72"/>
    </row>
    <row r="107" spans="16:17" ht="15" customHeight="1" x14ac:dyDescent="0.3">
      <c r="P107" s="22"/>
      <c r="Q107" s="72"/>
    </row>
    <row r="108" spans="16:17" ht="15" customHeight="1" x14ac:dyDescent="0.3">
      <c r="P108" s="22"/>
      <c r="Q108" s="72"/>
    </row>
    <row r="109" spans="16:17" ht="15" customHeight="1" x14ac:dyDescent="0.3">
      <c r="P109" s="22"/>
      <c r="Q109" s="72"/>
    </row>
    <row r="110" spans="16:17" ht="15" customHeight="1" x14ac:dyDescent="0.3">
      <c r="P110" s="22"/>
      <c r="Q110" s="72"/>
    </row>
    <row r="111" spans="16:17" ht="15" customHeight="1" x14ac:dyDescent="0.3">
      <c r="P111" s="22"/>
      <c r="Q111" s="72"/>
    </row>
    <row r="112" spans="16:17" ht="15" customHeight="1" x14ac:dyDescent="0.3">
      <c r="P112" s="22"/>
      <c r="Q112" s="72"/>
    </row>
    <row r="113" spans="16:17" ht="15" customHeight="1" x14ac:dyDescent="0.3">
      <c r="P113" s="22"/>
      <c r="Q113" s="72"/>
    </row>
    <row r="114" spans="16:17" ht="15" customHeight="1" x14ac:dyDescent="0.3">
      <c r="P114" s="22"/>
      <c r="Q114" s="72"/>
    </row>
    <row r="115" spans="16:17" ht="15" customHeight="1" x14ac:dyDescent="0.3">
      <c r="P115" s="22"/>
      <c r="Q115" s="72"/>
    </row>
    <row r="116" spans="16:17" ht="15" customHeight="1" x14ac:dyDescent="0.3">
      <c r="P116" s="22"/>
      <c r="Q116" s="72"/>
    </row>
    <row r="117" spans="16:17" ht="15" customHeight="1" x14ac:dyDescent="0.3">
      <c r="P117" s="22"/>
      <c r="Q117" s="72"/>
    </row>
    <row r="118" spans="16:17" ht="15" customHeight="1" x14ac:dyDescent="0.3">
      <c r="P118" s="22"/>
      <c r="Q118" s="72"/>
    </row>
    <row r="119" spans="16:17" ht="15" customHeight="1" x14ac:dyDescent="0.3">
      <c r="P119" s="22"/>
      <c r="Q119" s="72"/>
    </row>
    <row r="120" spans="16:17" ht="15" customHeight="1" x14ac:dyDescent="0.3">
      <c r="P120" s="22"/>
      <c r="Q120" s="72"/>
    </row>
    <row r="121" spans="16:17" ht="15" customHeight="1" x14ac:dyDescent="0.3">
      <c r="P121" s="22"/>
      <c r="Q121" s="72"/>
    </row>
    <row r="122" spans="16:17" ht="15" customHeight="1" x14ac:dyDescent="0.3">
      <c r="P122" s="22"/>
      <c r="Q122" s="72"/>
    </row>
    <row r="123" spans="16:17" ht="15" customHeight="1" x14ac:dyDescent="0.3">
      <c r="P123" s="22"/>
      <c r="Q123" s="72"/>
    </row>
    <row r="124" spans="16:17" ht="15" customHeight="1" x14ac:dyDescent="0.3">
      <c r="P124" s="22"/>
      <c r="Q124" s="72"/>
    </row>
    <row r="125" spans="16:17" ht="15" customHeight="1" x14ac:dyDescent="0.3">
      <c r="P125" s="22"/>
      <c r="Q125" s="72"/>
    </row>
    <row r="126" spans="16:17" ht="15" customHeight="1" x14ac:dyDescent="0.3">
      <c r="P126" s="22"/>
      <c r="Q126" s="72"/>
    </row>
    <row r="127" spans="16:17" ht="15" customHeight="1" x14ac:dyDescent="0.3">
      <c r="P127" s="22"/>
      <c r="Q127" s="72"/>
    </row>
    <row r="128" spans="16:17" ht="15" customHeight="1" x14ac:dyDescent="0.3">
      <c r="P128" s="22"/>
      <c r="Q128" s="72"/>
    </row>
    <row r="129" spans="16:17" ht="15" customHeight="1" x14ac:dyDescent="0.3">
      <c r="P129" s="22"/>
      <c r="Q129" s="72"/>
    </row>
    <row r="130" spans="16:17" ht="15" customHeight="1" x14ac:dyDescent="0.3">
      <c r="P130" s="22"/>
      <c r="Q130" s="72"/>
    </row>
    <row r="1048532" spans="14:14" ht="15" customHeight="1" x14ac:dyDescent="0.3">
      <c r="N1048532" s="19" t="s">
        <v>24</v>
      </c>
    </row>
  </sheetData>
  <autoFilter ref="B3:S63" xr:uid="{FC7E9361-F3F2-4F38-8E12-41625C11AC05}"/>
  <phoneticPr fontId="3" type="noConversion"/>
  <pageMargins left="0.25" right="0.25" top="0.75" bottom="0.75" header="0.3" footer="0.3"/>
  <pageSetup paperSize="9" scale="1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Price List(KRW)</vt:lpstr>
      <vt:lpstr>'Price List(KRW)'!Print_Area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이병일(Sean)</dc:creator>
  <cp:lastModifiedBy>H.S Song</cp:lastModifiedBy>
  <dcterms:created xsi:type="dcterms:W3CDTF">2026-05-22T04:14:43Z</dcterms:created>
  <dcterms:modified xsi:type="dcterms:W3CDTF">2026-05-27T05:38:45Z</dcterms:modified>
</cp:coreProperties>
</file>
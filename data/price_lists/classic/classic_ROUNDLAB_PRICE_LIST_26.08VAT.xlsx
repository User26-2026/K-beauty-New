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ROUND LAB_코럴\매출\"/>
    </mc:Choice>
  </mc:AlternateContent>
  <xr:revisionPtr revIDLastSave="0" documentId="13_ncr:1_{347326B0-BC2C-42E1-9574-AC6A26E7C101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H48" i="1" l="1"/>
  <c r="H49" i="1"/>
  <c r="H50" i="1"/>
  <c r="H51" i="1"/>
  <c r="H70" i="1"/>
  <c r="H78" i="1"/>
  <c r="H83" i="1"/>
  <c r="H84" i="1"/>
  <c r="H85" i="1"/>
  <c r="H86" i="1"/>
  <c r="H87" i="1"/>
  <c r="H88" i="1"/>
  <c r="H89" i="1"/>
  <c r="H90" i="1"/>
  <c r="H94" i="1"/>
  <c r="H108" i="1"/>
  <c r="H109" i="1"/>
  <c r="H110" i="1"/>
  <c r="H111" i="1"/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4" i="1"/>
</calcChain>
</file>

<file path=xl/sharedStrings.xml><?xml version="1.0" encoding="utf-8"?>
<sst xmlns="http://schemas.openxmlformats.org/spreadsheetml/2006/main" count="238" uniqueCount="238">
  <si>
    <t>ROUND LAB</t>
  </si>
  <si>
    <t>1025 DOKDO TONER_100ml</t>
  </si>
  <si>
    <t>라운드 랩 1025 독도 토너 200ml</t>
  </si>
  <si>
    <t>1025 DOKDO TONER_200ml</t>
  </si>
  <si>
    <t>1025 DOKDO TONER_500ml</t>
  </si>
  <si>
    <t>라운드 랩 1025 독도 로션 200ml</t>
  </si>
  <si>
    <t>1025 DOKDO LOTION_200ml</t>
  </si>
  <si>
    <t>라운드 랩 1025 독도 크림 80ml</t>
  </si>
  <si>
    <t>1025 DOKDO CREAM_80ml</t>
  </si>
  <si>
    <t>라운드 랩 1025 독도 클렌져 150ml</t>
  </si>
  <si>
    <t xml:space="preserve">1025 DOKDO CLEANSER_150ml  </t>
  </si>
  <si>
    <t>라운드 랩 1025 독도 클렌징 오일 200ml</t>
  </si>
  <si>
    <t>1025 DOKDO CLEANSING OIL_200ml</t>
  </si>
  <si>
    <t>라운드 랩 1025 독도 수면 팩 100ml</t>
  </si>
  <si>
    <t>1025 DOKDO SLEEPING PACK_100ml</t>
  </si>
  <si>
    <t>라운드 랩 1025 독도 앰플 45g</t>
  </si>
  <si>
    <t>1025 DOKDO AMPULE_45g</t>
  </si>
  <si>
    <t>라운드 랩 독도 머드팩 100ml (튜브타입)</t>
  </si>
  <si>
    <t>1025 DOKDO MUD PACK_100ml (Tube Type)</t>
  </si>
  <si>
    <t>라운드 랩 독도 워터겔 마스크 시트 30ml 10매</t>
  </si>
  <si>
    <t>1025 DOKDO HYDRATING WATER GEL MASK_30ml (10ea)</t>
  </si>
  <si>
    <t>라운드 랩 독도 라이트 크림 80ml</t>
  </si>
  <si>
    <t>1025 DOKDO LIGHT CREAM_80ml</t>
  </si>
  <si>
    <t>1025 DOKDO CLEANSING BALM_50ml (NEW)</t>
  </si>
  <si>
    <t>1025 DOKDO CLEANSING MILK_200ml</t>
  </si>
  <si>
    <t>1025 DOKDO BUBBLE FOAM_150ml</t>
  </si>
  <si>
    <t>라운드 랩 1025 독도 패드 70ea</t>
  </si>
  <si>
    <t>1025 DOKDO PAD_70pcs</t>
  </si>
  <si>
    <t>라운드 랩 독도 아이크림 30ml</t>
  </si>
  <si>
    <t>1025 DOKDO EYE CREAM_30ml</t>
  </si>
  <si>
    <t>라운드 랩 독도 필링 젤 120ml</t>
  </si>
  <si>
    <t>1025 DOKDO PEELING GEL_120ml</t>
  </si>
  <si>
    <t>1025 DOKDO SUNSCREEN_50ml</t>
  </si>
  <si>
    <t>1025 DOKDO CLEANSING GEL_150ml</t>
  </si>
  <si>
    <t>라운드 랩 1025 독도 클렌징 워터 400ml</t>
  </si>
  <si>
    <t>1025 DOKDO CLEANSING WATER_400ml</t>
  </si>
  <si>
    <t>1025 DOKDO TONER LOTION SPECIAL SET (Toner_200ml + Lotion_200ml)</t>
  </si>
  <si>
    <t>라운드 랩 독도 트라이얼 키트(독도클렌저30+독도토너20+독도앰플10+독도크림20)</t>
  </si>
  <si>
    <t>1025 DOKDO CLEANSING TISSUE_30ea</t>
  </si>
  <si>
    <t>라운드 랩 자작나무 수분 토너 300ml</t>
  </si>
  <si>
    <t>BIRCH JUICE MOISTURIZING TONER_300ml</t>
  </si>
  <si>
    <t>라운드 랩 자작나무 수분 크림 80ml</t>
  </si>
  <si>
    <t>BIRCH JUICE MOISTURIZING CREAM_80ml</t>
  </si>
  <si>
    <t>라운드 랩 자작나무 수분 클렌저 150ml</t>
  </si>
  <si>
    <t>BIRCH JUICE MOISTURIZING CLEANSER_150ml</t>
  </si>
  <si>
    <t>라운드 랩 자작나무 워시 오프 팩 80ml</t>
  </si>
  <si>
    <t>BIRCH JUICE MOISTURIZING WASHOFF PACK_80ml</t>
  </si>
  <si>
    <t>라운드 랩 자작나무 수분 세럼 50ml</t>
  </si>
  <si>
    <t>BIRCH JUICE MOISTURIZING SERUM_50ml</t>
  </si>
  <si>
    <t>라운드 랩 자작나무 수분 패드 80ea (2021 Renewal)</t>
  </si>
  <si>
    <t>BIRCH JUICE MOISTURIZING PAD_80pcs</t>
  </si>
  <si>
    <t>BIRCH JUICE MOISTURIZING SUNSCREEN_50ml</t>
  </si>
  <si>
    <t>라운드 랩 자작나무 수분 마스크 시트 10매</t>
  </si>
  <si>
    <t>BIRCH JUICE MOISTURIZING MASK_25ml (10ea)</t>
  </si>
  <si>
    <t>BIRCH JUICE MOISTURIZING SOOTHING GEL_150ml</t>
  </si>
  <si>
    <t>BIRCH JUICE MOISTURIZING TONE UP SUNSCREEN_50ml</t>
  </si>
  <si>
    <t>BIRCH JUICE MILD-UP SUNSCREEN_50ml</t>
  </si>
  <si>
    <t xml:space="preserve">BIRCH JUICE MOISTURIZING SUN STICK_19g </t>
  </si>
  <si>
    <t xml:space="preserve">BIRCH JUICE MOISTURIZING SUN CUSHION_15g </t>
  </si>
  <si>
    <t>BIRCH JUICE AMPOULE_50ml</t>
  </si>
  <si>
    <t>라운드 랩 자작나무 수분 클렌징 패드 60매입</t>
  </si>
  <si>
    <t>BIRCH JUICE CLEANSING PAD_60ea</t>
  </si>
  <si>
    <t>BIRCH JUICE HAND CREAM 30ml</t>
  </si>
  <si>
    <t>MUGWORT CALMING TONER_300ml</t>
  </si>
  <si>
    <t>MUGWORT CALMING CREAM_80ml</t>
  </si>
  <si>
    <t>MUGWORT CALMING CLEANSER_150ml</t>
  </si>
  <si>
    <t>MUGWORT CALMING SERUM_50ml</t>
  </si>
  <si>
    <t>MUGWORT CALMING SOOTHING GEL_150ml</t>
  </si>
  <si>
    <t>MUGWORT CALMING MASK_25ml (10ea)</t>
  </si>
  <si>
    <t>SOYBEAN SERUM_50ml</t>
  </si>
  <si>
    <t>라운드 랩 약콩 영양 마스크 시트 27ml 10매</t>
  </si>
  <si>
    <t>SOYBEAN NOURISHING MASK_27ml (10ea)</t>
  </si>
  <si>
    <t>라운드 랩 약콩 영양 토너 300ml</t>
  </si>
  <si>
    <t>SOYBEAN NOURISHING TONER_300ml</t>
  </si>
  <si>
    <t>라운드 랩 약콩 영양 크림 80ml</t>
  </si>
  <si>
    <t>SOYBEAN NOURISHING CREAM_80ml</t>
  </si>
  <si>
    <t>SOYBEAN CLEANSER_150ml</t>
  </si>
  <si>
    <t>SOYBEAN CLEANSING OIL_200ml</t>
  </si>
  <si>
    <t>라운드 랩 약콩 판테놀 토너 250ml</t>
  </si>
  <si>
    <t>SOYBEAN PANTHENOL TONER_250ml</t>
  </si>
  <si>
    <t>라운드 랩 약콩 판테놀 앰플 50ml</t>
  </si>
  <si>
    <t>SOYBEAN PANTHENOL AMPOULE_50ml</t>
  </si>
  <si>
    <t>라운드 랩 약콩 판테놀 크림 80ml</t>
  </si>
  <si>
    <t>SOYBEAN PANTHENOL CREAM_80ml</t>
  </si>
  <si>
    <t>라운드 랩 약콩 판테놀 마스크 10매입</t>
  </si>
  <si>
    <t>SOYBEAN PANTHENOL MASK_25ml (10ea)</t>
  </si>
  <si>
    <t>SOYBEAN PANTHENOL CLEANSER_150ml</t>
  </si>
  <si>
    <t>SOYBEAN PANTHENOL CLEANSING OIL_200ml</t>
  </si>
  <si>
    <t>PINE CALMING CICA CREAM_50ml</t>
  </si>
  <si>
    <t>PINE CALMING CICA AMPOULE_30ml</t>
  </si>
  <si>
    <t>PINE CALMING CICA PAD_50pcs</t>
  </si>
  <si>
    <t>PINE CALMING CICA MASK_27ml (10ea)</t>
  </si>
  <si>
    <t>PINE CALMING CICA TONER_250ml</t>
  </si>
  <si>
    <t>PINE CALMING CICA LOTION_250ml</t>
  </si>
  <si>
    <t>PINE CALMING CICA CLEANSER_150ml</t>
  </si>
  <si>
    <t>라운드 랩 소나무 진정 시카 바디 워시 400ml</t>
  </si>
  <si>
    <t>PINE CALMING CICA BODY WASH_400ml</t>
  </si>
  <si>
    <t>라운드 랩 소나무 시카 트라이얼 키트(소나무시카클렌저30+
소나무시카토너20+소나무시카앰플10+소나무시카크림20)</t>
  </si>
  <si>
    <t>PINE CALMING CICA CREAM PLUS_60ml</t>
  </si>
  <si>
    <t>라운드 랩 비타 나이아신 잡티 세럼 30ml</t>
  </si>
  <si>
    <t>라운드 랩 비타 나이아신 잡티 크림 50ml</t>
  </si>
  <si>
    <t>라운드 랩 베이비 마일드 탑투토 워시 300ml</t>
  </si>
  <si>
    <t>라운드 랩 베이비 마일드 로션 300ml</t>
  </si>
  <si>
    <t>라운드 랩 베이비 마일드  물티슈 20매</t>
  </si>
  <si>
    <t>라운드 랩 베이비 마일드 선크림 60ml</t>
  </si>
  <si>
    <t>라운드 랩 베이비 마일드 수딩젤 150ml</t>
  </si>
  <si>
    <t>라운드 랩 동백 딥 콜라겐 탄력 선 세럼 50ml</t>
  </si>
  <si>
    <t>FOR MEN BIRCH JUICE MOISTURIZING TONER_200ml</t>
  </si>
  <si>
    <t>FOR MEN BIRCH JUICE MOISTURIZING LOTION_200ml</t>
  </si>
  <si>
    <t>FOR MEN BIRCH JUICE MOISTURIZING CREAM_75ml</t>
  </si>
  <si>
    <t>FOR MEN PINE CALMING CICA TONER_200ml</t>
  </si>
  <si>
    <t>FOR MEN PINE CALMING CICA LOTION_200ml</t>
  </si>
  <si>
    <t>FOR MEN PINE CALMING CICA CREAM_75ml</t>
  </si>
  <si>
    <t>1025 DOKDO TRIAL KIT (Cleanser 30ml + Toner 20ml + Ampule 10ml + Cream 20ml)</t>
  </si>
  <si>
    <t>BIRCH JUICE TRIAL KIT (Cleanser 30ml + Toner 20ml + Ampoule 10ml + Cream 20ml)</t>
  </si>
  <si>
    <t>BIRCH JUICE MOISTURIZING DOUBLE GEL MASK 23ml(10ea)</t>
  </si>
  <si>
    <t>BIRCH JUICE MOISTURIZING LIP BALM(+MINI BRUSH)</t>
  </si>
  <si>
    <t>BIRCH JUICE MOISTURIZING LIP BALM SET(+LIP BRUSH)</t>
  </si>
  <si>
    <t>BIRCH JUICE MOISTURIZING INTENSIVE CREAM 50ml</t>
  </si>
  <si>
    <t>BIRCH JUICE MOISTURIZING SUN SPRAY 100ml</t>
  </si>
  <si>
    <t>PINE CICA DEEP PORE CLAY MASK CLEANSER_150ml</t>
  </si>
  <si>
    <t>PINE CALMING CICA TRIAL KIT (Cleanser 30ml + Toner 20ml + Ampoule 10ml + Cream 20ml)</t>
  </si>
  <si>
    <t>PINE CALMING CICA SUNSCREEN 40ml</t>
  </si>
  <si>
    <t>PINE CALMING CICA MILD UP SUNSCREEN 40ml</t>
  </si>
  <si>
    <t>PINE CALMING CICA AIRY SUN STICK 19g</t>
  </si>
  <si>
    <t>PINE CALMING CICA SCALP AMPOULE 15ml</t>
  </si>
  <si>
    <t>PINE CALMING CICA SHAMPOO 400ml</t>
  </si>
  <si>
    <t>PINE CALMING CICA SCALP TONIC 100ml</t>
  </si>
  <si>
    <t>PINE CALMING CICA NOSE PACK (5ea)</t>
  </si>
  <si>
    <t>PINE CICA DEEP PORE CLEANSING OIL 200ml</t>
  </si>
  <si>
    <t>PINE CALMING CICA PRIMER SUNSCREEN 50ml</t>
  </si>
  <si>
    <t>VITA NIACINAMIDE DARK SPOT SERUM 30ml</t>
  </si>
  <si>
    <t>VITA NIACINAMIDE DARK SPOT CREAM 50ml</t>
  </si>
  <si>
    <t>라운드 랩 비타 나이아신 잡티 마스크 20ml*10ea</t>
  </si>
  <si>
    <t>VITA NIACINAMIDE DARK SPOT SERUM MASK 20ml (10ea)</t>
  </si>
  <si>
    <t>VITA NIACINAMIDE GLOW CAPSULE CREAM 50ml</t>
  </si>
  <si>
    <t>BABY MILD TOP TO TOE WASH 300ml</t>
  </si>
  <si>
    <t>BABY MILD LOTION 300ml</t>
  </si>
  <si>
    <t>BABY MILD WET WIPES 20ea</t>
  </si>
  <si>
    <t>BABY MILD SUNSCREEN_60ml</t>
  </si>
  <si>
    <t>BABY MILD SOOTHING GEL_150ml</t>
  </si>
  <si>
    <t>BABY MILD SUN STICK 21g</t>
  </si>
  <si>
    <t>BABY MILD SUN CUSHION 16g</t>
  </si>
  <si>
    <t>BABY MILD CREAM 200ml</t>
  </si>
  <si>
    <t>CAMELLIA DEEP COLLAGEN FIRMING GEL MASK_34g (4ea)</t>
  </si>
  <si>
    <t>라운드 랩 동백 딥 콜라겐 탄력 앰플 30ml</t>
  </si>
  <si>
    <t>CAMELLIA DEEP COLLAGEN FIRMING AMPOULE_30ml</t>
  </si>
  <si>
    <t>라운드 랩 동백 딥 콜라겐 탄력 크림 50ml</t>
  </si>
  <si>
    <t>CAMELLIA DEEP COLLAGEN FIRMING CREAM_50ml</t>
  </si>
  <si>
    <t>CAMELLIA DEEP COLLAGEN FIRMING SUN SERUM_50ml</t>
  </si>
  <si>
    <t>CAMELLIA DEEP COLLAGEN JELLY MASK CLEANSER 150ml</t>
  </si>
  <si>
    <t>CAMELLIA DEEP COLLAGEN V LIFTING GEL MASK 10g(4ea)</t>
  </si>
  <si>
    <t>CAMELLIA DEEP COLLAGEN EYE CREAM 30ml</t>
  </si>
  <si>
    <t>CAMELLIA DEEP COLLAGEN MILKY PDRN TONER 150ml</t>
  </si>
  <si>
    <t>CAMELLIA DEEP COLLAGEN LIFTING GUA SHA CREAM 60ml</t>
  </si>
  <si>
    <t>STICK POUCH KIT</t>
  </si>
  <si>
    <t>BIRCH JUICE MOISTURIZING EYE BALM 10g</t>
    <phoneticPr fontId="7" type="noConversion"/>
  </si>
  <si>
    <t>BIRCH JUICE MOISTURIZING PEELING CLEANSING OIL 200ml</t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</si>
  <si>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클렌징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밤</t>
    </r>
    <r>
      <rPr>
        <sz val="10"/>
        <rFont val="Arial"/>
        <family val="2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</si>
  <si>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1025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클렌징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밀크</t>
    </r>
    <r>
      <rPr>
        <sz val="10"/>
        <rFont val="Arial"/>
        <family val="2"/>
      </rPr>
      <t xml:space="preserve"> 200ml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</si>
  <si>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1025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버블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폼</t>
    </r>
    <r>
      <rPr>
        <sz val="10"/>
        <rFont val="Arial"/>
        <family val="2"/>
      </rPr>
      <t xml:space="preserve"> 150ml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</si>
  <si>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선크림</t>
    </r>
    <r>
      <rPr>
        <sz val="10"/>
        <rFont val="Arial"/>
        <family val="2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</si>
  <si>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1025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클렌징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젤</t>
    </r>
    <r>
      <rPr>
        <sz val="10"/>
        <rFont val="Arial"/>
        <family val="2"/>
      </rPr>
      <t xml:space="preserve"> 150ml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</si>
  <si>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1025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토너</t>
    </r>
    <r>
      <rPr>
        <sz val="10"/>
        <rFont val="Arial"/>
        <family val="2"/>
      </rPr>
      <t>+</t>
    </r>
    <r>
      <rPr>
        <sz val="10"/>
        <rFont val="맑은 고딕"/>
        <family val="3"/>
        <charset val="129"/>
      </rPr>
      <t>로션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기획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세트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토너</t>
    </r>
    <r>
      <rPr>
        <sz val="10"/>
        <rFont val="Arial"/>
        <family val="2"/>
      </rPr>
      <t xml:space="preserve"> 200ml + </t>
    </r>
    <r>
      <rPr>
        <sz val="10"/>
        <rFont val="맑은 고딕"/>
        <family val="3"/>
        <charset val="129"/>
      </rPr>
      <t>로션</t>
    </r>
    <r>
      <rPr>
        <sz val="10"/>
        <rFont val="Arial"/>
        <family val="2"/>
      </rPr>
      <t xml:space="preserve"> 200ml)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</si>
  <si>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클렌징티슈</t>
    </r>
    <r>
      <rPr>
        <sz val="10"/>
        <rFont val="Arial"/>
        <family val="2"/>
      </rPr>
      <t xml:space="preserve"> 30</t>
    </r>
    <r>
      <rPr>
        <sz val="10"/>
        <rFont val="맑은 고딕"/>
        <family val="3"/>
        <charset val="129"/>
      </rPr>
      <t>매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</si>
  <si>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젤</t>
    </r>
    <r>
      <rPr>
        <sz val="10"/>
        <rFont val="Arial"/>
        <family val="2"/>
      </rPr>
      <t xml:space="preserve"> 150ml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</si>
  <si>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톤업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선크림</t>
    </r>
    <r>
      <rPr>
        <sz val="10"/>
        <rFont val="Arial"/>
        <family val="2"/>
      </rPr>
      <t xml:space="preserve"> 50ml (23AD)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</si>
  <si>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무기자차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마일드업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선크림</t>
    </r>
    <r>
      <rPr>
        <sz val="10"/>
        <rFont val="Arial"/>
        <family val="2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</si>
  <si>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수분선스틱</t>
    </r>
    <r>
      <rPr>
        <sz val="10"/>
        <rFont val="Arial"/>
        <family val="2"/>
      </rPr>
      <t xml:space="preserve"> 19g (23AD)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</si>
  <si>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선쿠션</t>
    </r>
    <r>
      <rPr>
        <sz val="10"/>
        <rFont val="Arial"/>
        <family val="2"/>
      </rPr>
      <t xml:space="preserve"> 15g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</si>
  <si>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앰플</t>
    </r>
    <r>
      <rPr>
        <sz val="10"/>
        <rFont val="Arial"/>
        <family val="2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</si>
  <si>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핸드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크림</t>
    </r>
    <r>
      <rPr>
        <sz val="10"/>
        <rFont val="Arial"/>
        <family val="2"/>
      </rPr>
      <t xml:space="preserve"> 30ml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</si>
  <si>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트라이얼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키트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자작클렌저</t>
    </r>
    <r>
      <rPr>
        <sz val="10"/>
        <rFont val="Arial"/>
        <family val="2"/>
      </rPr>
      <t>30+</t>
    </r>
    <r>
      <rPr>
        <sz val="10"/>
        <rFont val="맑은 고딕"/>
        <family val="3"/>
        <charset val="129"/>
      </rPr>
      <t>자작토너</t>
    </r>
    <r>
      <rPr>
        <sz val="10"/>
        <rFont val="Arial"/>
        <family val="2"/>
      </rPr>
      <t>20+</t>
    </r>
    <r>
      <rPr>
        <sz val="10"/>
        <rFont val="맑은 고딕"/>
        <family val="3"/>
        <charset val="129"/>
      </rPr>
      <t>자작앰플</t>
    </r>
    <r>
      <rPr>
        <sz val="10"/>
        <rFont val="Arial"/>
        <family val="2"/>
      </rPr>
      <t>10+</t>
    </r>
    <r>
      <rPr>
        <sz val="10"/>
        <rFont val="맑은 고딕"/>
        <family val="3"/>
        <charset val="129"/>
      </rPr>
      <t>자작크림</t>
    </r>
    <r>
      <rPr>
        <sz val="10"/>
        <rFont val="Arial"/>
        <family val="2"/>
      </rPr>
      <t>20)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</si>
  <si>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더블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마스크</t>
    </r>
    <r>
      <rPr>
        <sz val="10"/>
        <rFont val="Arial"/>
        <family val="2"/>
      </rPr>
      <t xml:space="preserve"> 10</t>
    </r>
    <r>
      <rPr>
        <sz val="10"/>
        <rFont val="맑은 고딕"/>
        <family val="3"/>
        <charset val="129"/>
      </rPr>
      <t>매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</si>
  <si>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립밤</t>
    </r>
    <r>
      <rPr>
        <sz val="10"/>
        <rFont val="Arial"/>
        <family val="2"/>
      </rPr>
      <t xml:space="preserve"> 20g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</si>
  <si>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립밤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세트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</si>
  <si>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아이 밤</t>
    </r>
    <r>
      <rPr>
        <sz val="10"/>
        <rFont val="Arial"/>
        <family val="3"/>
        <charset val="129"/>
      </rPr>
      <t xml:space="preserve"> 10g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</si>
  <si>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인텐시브 크림</t>
    </r>
    <r>
      <rPr>
        <sz val="10"/>
        <rFont val="Arial"/>
        <family val="3"/>
        <charset val="129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</si>
  <si>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필링 클렌징 오일</t>
    </r>
    <r>
      <rPr>
        <sz val="10"/>
        <rFont val="Arial"/>
        <family val="3"/>
        <charset val="129"/>
      </rPr>
      <t xml:space="preserve"> 200ml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</si>
  <si>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선 스프레이 100</t>
    </r>
    <r>
      <rPr>
        <sz val="10"/>
        <rFont val="Arial"/>
        <family val="2"/>
      </rPr>
      <t>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</si>
  <si>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토너</t>
    </r>
    <r>
      <rPr>
        <sz val="10"/>
        <color theme="1"/>
        <rFont val="Arial"/>
        <family val="2"/>
      </rPr>
      <t xml:space="preserve"> 300ml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</si>
  <si>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80ml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</si>
  <si>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</si>
  <si>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세럼</t>
    </r>
    <r>
      <rPr>
        <sz val="10"/>
        <color theme="1"/>
        <rFont val="Arial"/>
        <family val="2"/>
      </rPr>
      <t xml:space="preserve"> 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</si>
  <si>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수딩젤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</si>
  <si>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해풍쑥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마스크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시트</t>
    </r>
    <r>
      <rPr>
        <sz val="10"/>
        <color theme="1"/>
        <rFont val="Arial"/>
        <family val="2"/>
      </rPr>
      <t xml:space="preserve"> 10</t>
    </r>
    <r>
      <rPr>
        <sz val="10"/>
        <color theme="1"/>
        <rFont val="맑은 고딕"/>
        <family val="3"/>
        <charset val="129"/>
      </rPr>
      <t>매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</si>
  <si>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</si>
  <si>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클랜징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오일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</si>
  <si>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판테놀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</si>
  <si>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판테놀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오일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</si>
  <si>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</si>
  <si>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앰플</t>
    </r>
    <r>
      <rPr>
        <sz val="10"/>
        <color theme="1"/>
        <rFont val="Arial"/>
        <family val="2"/>
      </rPr>
      <t xml:space="preserve"> 30ml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</si>
  <si>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패드</t>
    </r>
    <r>
      <rPr>
        <sz val="10"/>
        <color theme="1"/>
        <rFont val="Arial"/>
        <family val="2"/>
      </rPr>
      <t xml:space="preserve"> 50pcs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</si>
  <si>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마스크</t>
    </r>
    <r>
      <rPr>
        <sz val="10"/>
        <color theme="1"/>
        <rFont val="Arial"/>
        <family val="2"/>
      </rPr>
      <t xml:space="preserve"> 27ml 10</t>
    </r>
    <r>
      <rPr>
        <sz val="10"/>
        <color theme="1"/>
        <rFont val="맑은 고딕"/>
        <family val="3"/>
        <charset val="129"/>
      </rPr>
      <t>매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</si>
  <si>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토너</t>
    </r>
    <r>
      <rPr>
        <sz val="10"/>
        <color theme="1"/>
        <rFont val="Arial"/>
        <family val="2"/>
      </rPr>
      <t xml:space="preserve"> 250ml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</si>
  <si>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로션</t>
    </r>
    <r>
      <rPr>
        <sz val="10"/>
        <color theme="1"/>
        <rFont val="Arial"/>
        <family val="2"/>
      </rPr>
      <t xml:space="preserve"> 250ml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</si>
  <si>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</si>
  <si>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플러스</t>
    </r>
    <r>
      <rPr>
        <sz val="10"/>
        <color theme="1"/>
        <rFont val="Arial"/>
        <family val="2"/>
      </rPr>
      <t xml:space="preserve"> 60ml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</si>
  <si>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선크림</t>
    </r>
    <r>
      <rPr>
        <sz val="10"/>
        <color theme="1"/>
        <rFont val="Arial"/>
        <family val="2"/>
      </rPr>
      <t xml:space="preserve"> 40ml (SPF50+ PA++++)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</si>
  <si>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토너</t>
    </r>
    <r>
      <rPr>
        <sz val="10"/>
        <rFont val="Arial"/>
        <family val="2"/>
      </rPr>
      <t xml:space="preserve"> 500ml </t>
    </r>
    <phoneticPr fontId="7" type="noConversion"/>
  </si>
  <si>
    <t>SOYBEAN QLA BARRIER CREAM 80ml</t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</si>
  <si>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3"/>
      </rPr>
      <t xml:space="preserve"> QLA </t>
    </r>
    <r>
      <rPr>
        <sz val="10"/>
        <color theme="1"/>
        <rFont val="맑은 고딕"/>
        <family val="3"/>
        <charset val="129"/>
      </rPr>
      <t>베리어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3"/>
      </rPr>
      <t xml:space="preserve"> 80ml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</si>
  <si>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클레이팩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</si>
  <si>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마일드 업 선스크린</t>
    </r>
    <r>
      <rPr>
        <sz val="10"/>
        <color theme="1"/>
        <rFont val="Arial"/>
        <family val="2"/>
      </rPr>
      <t xml:space="preserve"> 40ml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</si>
  <si>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에어리 선스틱</t>
    </r>
    <r>
      <rPr>
        <sz val="10"/>
        <color theme="1"/>
        <rFont val="Arial"/>
        <family val="2"/>
      </rPr>
      <t xml:space="preserve"> 19g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</si>
  <si>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두피 앰플</t>
    </r>
    <r>
      <rPr>
        <sz val="10"/>
        <color theme="1"/>
        <rFont val="Arial"/>
        <family val="2"/>
      </rPr>
      <t xml:space="preserve"> 15ml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</si>
  <si>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샴푸</t>
    </r>
    <r>
      <rPr>
        <sz val="10"/>
        <color theme="1"/>
        <rFont val="Arial"/>
        <family val="2"/>
      </rPr>
      <t xml:space="preserve"> 400ml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</si>
  <si>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두피 토닉</t>
    </r>
    <r>
      <rPr>
        <sz val="10"/>
        <color theme="1"/>
        <rFont val="Arial"/>
        <family val="2"/>
      </rPr>
      <t xml:space="preserve"> 400ml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</si>
  <si>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코팩 (5</t>
    </r>
    <r>
      <rPr>
        <sz val="10"/>
        <color theme="1"/>
        <rFont val="Arial"/>
        <family val="2"/>
      </rPr>
      <t>ea)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</si>
  <si>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클렌징 오일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</si>
  <si>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 xml:space="preserve">진정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프라이머 선크림</t>
    </r>
    <r>
      <rPr>
        <sz val="10"/>
        <color theme="1"/>
        <rFont val="Arial"/>
        <family val="2"/>
      </rPr>
      <t xml:space="preserve"> 50ml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</si>
  <si>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나이아신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글로우 캡슐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</si>
  <si>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젤리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클렌저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</si>
  <si>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브이 리프팅 겔 마스크 10</t>
    </r>
    <r>
      <rPr>
        <sz val="10"/>
        <color theme="1"/>
        <rFont val="Arial"/>
        <family val="2"/>
      </rPr>
      <t>g (4ea)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</si>
  <si>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아이 크림</t>
    </r>
    <r>
      <rPr>
        <sz val="10"/>
        <color theme="1"/>
        <rFont val="Arial"/>
        <family val="2"/>
      </rPr>
      <t xml:space="preserve"> 30ml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</si>
  <si>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PDRN </t>
    </r>
    <r>
      <rPr>
        <sz val="10"/>
        <color theme="1"/>
        <rFont val="맑은 고딕"/>
        <family val="2"/>
        <charset val="129"/>
      </rPr>
      <t>밀키 토너</t>
    </r>
    <r>
      <rPr>
        <sz val="10"/>
        <color theme="1"/>
        <rFont val="Arial"/>
        <family val="2"/>
      </rPr>
      <t xml:space="preserve"> 150ml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</si>
  <si>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리프팅 괄사 크림</t>
    </r>
    <r>
      <rPr>
        <sz val="10"/>
        <color theme="1"/>
        <rFont val="Arial"/>
        <family val="2"/>
      </rPr>
      <t xml:space="preserve"> 60ml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</si>
  <si>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세럼</t>
    </r>
    <r>
      <rPr>
        <sz val="10"/>
        <color theme="1"/>
        <rFont val="Arial"/>
        <family val="2"/>
      </rPr>
      <t xml:space="preserve"> 50ml</t>
    </r>
    <phoneticPr fontId="7" type="noConversion"/>
  </si>
  <si>
    <r>
      <rPr>
        <sz val="10"/>
        <color theme="1"/>
        <rFont val="맑은 고딕"/>
        <family val="3"/>
        <charset val="129"/>
      </rPr>
      <t>라운드 랩 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자작나무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토너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</si>
  <si>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자작나무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로션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</si>
  <si>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자작나무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75ml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</si>
  <si>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토너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</si>
  <si>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로션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</si>
  <si>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랩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소나무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75ml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</si>
  <si>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스틱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파우치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키트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</si>
  <si>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자작나무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선크림</t>
    </r>
    <r>
      <rPr>
        <sz val="10"/>
        <rFont val="Arial"/>
        <family val="2"/>
      </rPr>
      <t xml:space="preserve"> 50ml</t>
    </r>
    <phoneticPr fontId="7" type="noConversion"/>
  </si>
  <si>
    <r>
      <rPr>
        <sz val="10"/>
        <rFont val="맑은 고딕"/>
        <family val="3"/>
        <charset val="129"/>
      </rPr>
      <t>라운드 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독도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토너</t>
    </r>
    <r>
      <rPr>
        <sz val="10"/>
        <rFont val="Arial"/>
        <family val="2"/>
      </rPr>
      <t xml:space="preserve"> 100ml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</si>
  <si>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베이비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마일드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선스틱</t>
    </r>
    <r>
      <rPr>
        <sz val="10"/>
        <color theme="1"/>
        <rFont val="Arial"/>
        <family val="2"/>
      </rPr>
      <t xml:space="preserve"> 21g (SPF 50+ PA++++)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</si>
  <si>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베이비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마일드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선쿠션</t>
    </r>
    <r>
      <rPr>
        <sz val="10"/>
        <color theme="1"/>
        <rFont val="Arial"/>
        <family val="2"/>
      </rPr>
      <t xml:space="preserve"> 16g (SPF 50+ PA++++)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</si>
  <si>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베이비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마일드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</rPr>
      <t xml:space="preserve"> 200ml</t>
    </r>
    <phoneticPr fontId="7" type="noConversion"/>
  </si>
  <si>
    <r>
      <rPr>
        <sz val="10"/>
        <color theme="1"/>
        <rFont val="맑은 고딕"/>
        <family val="3"/>
        <charset val="129"/>
      </rPr>
      <t>라운드 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콜라겐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탄력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마스크</t>
    </r>
    <r>
      <rPr>
        <sz val="10"/>
        <color theme="1"/>
        <rFont val="Arial"/>
        <family val="2"/>
      </rPr>
      <t xml:space="preserve"> (4</t>
    </r>
    <r>
      <rPr>
        <sz val="10"/>
        <color theme="1"/>
        <rFont val="맑은 고딕"/>
        <family val="3"/>
        <charset val="129"/>
      </rPr>
      <t>매</t>
    </r>
    <r>
      <rPr>
        <sz val="10"/>
        <color theme="1"/>
        <rFont val="Arial"/>
        <family val="2"/>
      </rPr>
      <t>)</t>
    </r>
    <phoneticPr fontId="7" type="noConversion"/>
  </si>
  <si>
    <t>BARCODE</t>
    <phoneticPr fontId="7" type="noConversion"/>
  </si>
  <si>
    <t>PRODUCT NAME (KR)</t>
    <phoneticPr fontId="7" type="noConversion"/>
  </si>
  <si>
    <t>PRODUCT NAME (EN)</t>
    <phoneticPr fontId="7" type="noConversion"/>
  </si>
  <si>
    <t>EA/ BOX</t>
    <phoneticPr fontId="7" type="noConversion"/>
  </si>
  <si>
    <t>MSRP</t>
    <phoneticPr fontId="7" type="noConversion"/>
  </si>
  <si>
    <t>SUPPLY PRICE
(-VAT)</t>
    <phoneticPr fontId="7" type="noConversion"/>
  </si>
  <si>
    <t>RATE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</si>
</sst>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_ [$¥-804]* #,##0_ ;_ [$¥-804]* \-#,##0_ ;_ [$¥-804]* &quot;-&quot;??_ ;_ @_ "/>
    <numFmt numFmtId="178" formatCode="0_);[Red]\(0\)"/>
    <numFmt numFmtId="180" formatCode="0.0%"/>
  </numFmts>
  <fonts count="17" x14ac:knownFonts="1">
    <font>
      <sz val="11"/>
      <color theme="1"/>
      <name val="맑은 고딕"/>
      <charset val="129"/>
      <scheme val="minor"/>
    </font>
    <font>
      <sz val="10"/>
      <color theme="1"/>
      <name val="맑은 고딕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rgb="FFFF0000"/>
      <name val="Arial"/>
      <family val="2"/>
    </font>
    <font>
      <b/>
      <sz val="10"/>
      <color theme="1"/>
      <name val="Meiryo UI"/>
      <family val="2"/>
      <charset val="128"/>
    </font>
    <font>
      <b/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3"/>
    </font>
    <font>
      <sz val="10"/>
      <color theme="1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>
      <alignment vertical="center"/>
    </xf>
  </cellStyleXfs>
  <cellXfs count="56">
    <xf numFmtId="0" fontId="0" fillId="0" borderId="0" xfId="0">
      <alignment vertical="center"/>
    </xf>
    <xf numFmtId="176" fontId="2" fillId="0" borderId="2" xfId="0" applyNumberFormat="1" applyFont="1" applyBorder="1" applyAlignment="1">
      <alignment horizontal="left" vertical="center"/>
    </xf>
    <xf numFmtId="38" fontId="1" fillId="0" borderId="2" xfId="0" applyNumberFormat="1" applyFont="1" applyBorder="1" applyAlignment="1">
      <alignment horizontal="left" vertical="center"/>
    </xf>
    <xf numFmtId="178" fontId="5" fillId="3" borderId="2" xfId="2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178" fontId="5" fillId="0" borderId="2" xfId="2" applyNumberFormat="1" applyFont="1" applyBorder="1" applyAlignment="1">
      <alignment horizontal="center" vertical="center" wrapText="1"/>
    </xf>
    <xf numFmtId="38" fontId="1" fillId="0" borderId="2" xfId="0" applyNumberFormat="1" applyFont="1" applyBorder="1" applyAlignment="1">
      <alignment horizontal="left" vertical="center" wrapText="1"/>
    </xf>
    <xf numFmtId="38" fontId="8" fillId="0" borderId="2" xfId="0" applyNumberFormat="1" applyFont="1" applyBorder="1" applyAlignment="1">
      <alignment horizontal="left" vertical="center"/>
    </xf>
    <xf numFmtId="178" fontId="9" fillId="0" borderId="2" xfId="2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1" fillId="0" borderId="2" xfId="0" applyNumberFormat="1" applyFont="1" applyFill="1" applyBorder="1" applyAlignment="1">
      <alignment horizontal="left" vertical="center"/>
    </xf>
    <xf numFmtId="178" fontId="5" fillId="0" borderId="2" xfId="2" applyNumberFormat="1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176" fontId="13" fillId="0" borderId="2" xfId="0" applyNumberFormat="1" applyFont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left" vertical="center"/>
    </xf>
    <xf numFmtId="0" fontId="14" fillId="0" borderId="2" xfId="0" applyFont="1" applyBorder="1">
      <alignment vertical="center"/>
    </xf>
    <xf numFmtId="42" fontId="5" fillId="0" borderId="1" xfId="1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/>
    </xf>
    <xf numFmtId="42" fontId="5" fillId="0" borderId="0" xfId="1" applyNumberFormat="1" applyFont="1">
      <alignment vertical="center"/>
    </xf>
    <xf numFmtId="42" fontId="5" fillId="0" borderId="0" xfId="0" applyNumberFormat="1" applyFont="1">
      <alignment vertical="center"/>
    </xf>
    <xf numFmtId="42" fontId="5" fillId="4" borderId="2" xfId="1" applyNumberFormat="1" applyFont="1" applyFill="1" applyBorder="1" applyAlignment="1">
      <alignment horizontal="center" vertical="center" wrapText="1"/>
    </xf>
    <xf numFmtId="42" fontId="9" fillId="4" borderId="2" xfId="1" applyNumberFormat="1" applyFont="1" applyFill="1" applyBorder="1" applyAlignment="1">
      <alignment horizontal="center" vertical="center" wrapText="1"/>
    </xf>
    <xf numFmtId="42" fontId="5" fillId="4" borderId="2" xfId="1" applyNumberFormat="1" applyFont="1" applyFill="1" applyBorder="1">
      <alignment vertical="center"/>
    </xf>
    <xf numFmtId="42" fontId="5" fillId="5" borderId="2" xfId="1" applyNumberFormat="1" applyFont="1" applyFill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left" vertical="center"/>
    </xf>
    <xf numFmtId="38" fontId="1" fillId="0" borderId="3" xfId="0" applyNumberFormat="1" applyFont="1" applyBorder="1" applyAlignment="1">
      <alignment horizontal="left" vertical="center"/>
    </xf>
    <xf numFmtId="178" fontId="5" fillId="3" borderId="3" xfId="2" applyNumberFormat="1" applyFont="1" applyFill="1" applyBorder="1" applyAlignment="1">
      <alignment horizontal="center" vertical="center" wrapText="1"/>
    </xf>
    <xf numFmtId="42" fontId="5" fillId="4" borderId="3" xfId="1" applyNumberFormat="1" applyFont="1" applyFill="1" applyBorder="1" applyAlignment="1">
      <alignment horizontal="center" vertical="center" wrapText="1"/>
    </xf>
    <xf numFmtId="42" fontId="5" fillId="5" borderId="3" xfId="1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42" fontId="4" fillId="4" borderId="7" xfId="1" applyNumberFormat="1" applyFont="1" applyFill="1" applyBorder="1" applyAlignment="1">
      <alignment horizontal="center" vertical="center" wrapText="1"/>
    </xf>
    <xf numFmtId="42" fontId="11" fillId="5" borderId="8" xfId="0" applyNumberFormat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76" fontId="2" fillId="0" borderId="10" xfId="0" applyNumberFormat="1" applyFont="1" applyBorder="1" applyAlignment="1">
      <alignment horizontal="center" vertical="center"/>
    </xf>
    <xf numFmtId="180" fontId="5" fillId="0" borderId="11" xfId="0" applyNumberFormat="1" applyFont="1" applyBorder="1">
      <alignment vertical="center"/>
    </xf>
    <xf numFmtId="176" fontId="2" fillId="0" borderId="12" xfId="0" applyNumberFormat="1" applyFont="1" applyBorder="1" applyAlignment="1">
      <alignment horizontal="center" vertical="center"/>
    </xf>
    <xf numFmtId="180" fontId="5" fillId="0" borderId="13" xfId="0" applyNumberFormat="1" applyFont="1" applyBorder="1">
      <alignment vertical="center"/>
    </xf>
    <xf numFmtId="176" fontId="2" fillId="0" borderId="12" xfId="0" applyNumberFormat="1" applyFont="1" applyBorder="1" applyAlignment="1">
      <alignment horizontal="center" vertical="center" wrapText="1"/>
    </xf>
    <xf numFmtId="176" fontId="2" fillId="0" borderId="12" xfId="0" applyNumberFormat="1" applyFont="1" applyFill="1" applyBorder="1" applyAlignment="1">
      <alignment horizontal="center" vertical="center"/>
    </xf>
    <xf numFmtId="178" fontId="5" fillId="0" borderId="12" xfId="0" applyNumberFormat="1" applyFont="1" applyBorder="1" applyAlignment="1">
      <alignment horizontal="center" vertical="center"/>
    </xf>
    <xf numFmtId="178" fontId="5" fillId="0" borderId="14" xfId="0" applyNumberFormat="1" applyFont="1" applyBorder="1" applyAlignment="1">
      <alignment horizontal="center" vertical="center"/>
    </xf>
    <xf numFmtId="0" fontId="14" fillId="0" borderId="15" xfId="0" applyFont="1" applyBorder="1">
      <alignment vertical="center"/>
    </xf>
    <xf numFmtId="0" fontId="5" fillId="0" borderId="15" xfId="0" applyFont="1" applyBorder="1">
      <alignment vertical="center"/>
    </xf>
    <xf numFmtId="42" fontId="5" fillId="4" borderId="15" xfId="1" applyNumberFormat="1" applyFont="1" applyFill="1" applyBorder="1">
      <alignment vertical="center"/>
    </xf>
    <xf numFmtId="42" fontId="5" fillId="5" borderId="15" xfId="1" applyNumberFormat="1" applyFont="1" applyFill="1" applyBorder="1" applyAlignment="1">
      <alignment horizontal="center" vertical="center" wrapText="1"/>
    </xf>
    <xf numFmtId="180" fontId="5" fillId="0" borderId="16" xfId="0" applyNumberFormat="1" applyFont="1" applyBorder="1">
      <alignment vertical="center"/>
    </xf>
    <xf numFmtId="0" fontId="9" fillId="0" borderId="0" xfId="0" applyFont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032;&#44201;&#54364;/ROUND%20LAB_&#53076;&#47092;/&#46972;&#50868;&#46300;&#47017;%20&#45800;&#44032;%20&#51312;&#51221;&#50504;_26.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.08"/>
      <sheetName val="25.11"/>
      <sheetName val="24.11"/>
      <sheetName val="품목등록"/>
    </sheetNames>
    <sheetDataSet>
      <sheetData sheetId="0">
        <row r="1">
          <cell r="B1" t="str">
            <v>바코드</v>
          </cell>
          <cell r="C1" t="str">
            <v>품목명</v>
          </cell>
          <cell r="D1" t="str">
            <v>규격정보</v>
          </cell>
          <cell r="E1" t="str">
            <v>입수량</v>
          </cell>
          <cell r="F1" t="str">
            <v>MSRP</v>
          </cell>
          <cell r="G1" t="str">
            <v>공급율</v>
          </cell>
          <cell r="H1" t="str">
            <v xml:space="preserve">입고단가
(영세) </v>
          </cell>
          <cell r="I1" t="str">
            <v>출고단가
(영세/+2%)</v>
          </cell>
          <cell r="J1" t="str">
            <v>마진율</v>
          </cell>
          <cell r="K1" t="str">
            <v>카톤 사이즈</v>
          </cell>
        </row>
        <row r="2">
          <cell r="B2">
            <v>8809657114731</v>
          </cell>
          <cell r="C2" t="str">
            <v>ROUND LAB 1025 DOKDO TONER_200ml</v>
          </cell>
          <cell r="D2" t="str">
            <v>200ml</v>
          </cell>
          <cell r="E2">
            <v>30</v>
          </cell>
          <cell r="F2">
            <v>15000</v>
          </cell>
          <cell r="G2">
            <v>0.46</v>
          </cell>
          <cell r="H2">
            <v>6900</v>
          </cell>
          <cell r="I2">
            <v>7200</v>
          </cell>
          <cell r="J2">
            <v>4.1666666666666664E-2</v>
          </cell>
          <cell r="K2" t="str">
            <v>34.4*29*15.4</v>
          </cell>
        </row>
        <row r="3">
          <cell r="B3">
            <v>8809657114748</v>
          </cell>
          <cell r="C3" t="str">
            <v>ROUND LAB 1025 DOKDO TONER_500ml</v>
          </cell>
          <cell r="D3" t="str">
            <v>500ml</v>
          </cell>
          <cell r="E3">
            <v>30</v>
          </cell>
          <cell r="F3">
            <v>30000</v>
          </cell>
          <cell r="G3">
            <v>0.45400000000000001</v>
          </cell>
          <cell r="H3">
            <v>13620</v>
          </cell>
          <cell r="I3">
            <v>14220</v>
          </cell>
          <cell r="J3">
            <v>4.2194092827004218E-2</v>
          </cell>
          <cell r="K3" t="str">
            <v>40.5*34*22.5</v>
          </cell>
        </row>
        <row r="4">
          <cell r="B4">
            <v>8809657114779</v>
          </cell>
          <cell r="C4" t="str">
            <v>ROUND LAB 1025 DOKDO LOTION_200ml</v>
          </cell>
          <cell r="D4" t="str">
            <v>200ml</v>
          </cell>
          <cell r="E4">
            <v>30</v>
          </cell>
          <cell r="F4">
            <v>20000</v>
          </cell>
          <cell r="G4">
            <v>0.46100000000000002</v>
          </cell>
          <cell r="H4">
            <v>9220</v>
          </cell>
          <cell r="I4">
            <v>9620</v>
          </cell>
          <cell r="J4">
            <v>4.1580041580041582E-2</v>
          </cell>
          <cell r="K4" t="str">
            <v>34.4*29*15.4</v>
          </cell>
        </row>
        <row r="5">
          <cell r="B5">
            <v>8809738600245</v>
          </cell>
          <cell r="C5" t="str">
            <v>ROUND LAB 1025 DOKDO CREAM_80ml</v>
          </cell>
          <cell r="D5" t="str">
            <v>80ml</v>
          </cell>
          <cell r="E5">
            <v>80</v>
          </cell>
          <cell r="F5">
            <v>32000</v>
          </cell>
          <cell r="G5">
            <v>0.38200000000000001</v>
          </cell>
          <cell r="H5">
            <v>12224</v>
          </cell>
          <cell r="I5">
            <v>12870</v>
          </cell>
          <cell r="J5">
            <v>5.0194250194250195E-2</v>
          </cell>
          <cell r="K5" t="str">
            <v>34*21.2*13.6</v>
          </cell>
        </row>
        <row r="6">
          <cell r="B6">
            <v>8809738608364</v>
          </cell>
          <cell r="C6" t="str">
            <v>ROUND LAB 1025 DOKDO CLEANSER_150ml</v>
          </cell>
          <cell r="D6" t="str">
            <v>150ml</v>
          </cell>
          <cell r="E6">
            <v>30</v>
          </cell>
          <cell r="F6">
            <v>13000</v>
          </cell>
          <cell r="G6">
            <v>0.46200000000000002</v>
          </cell>
          <cell r="H6">
            <v>6006</v>
          </cell>
          <cell r="I6">
            <v>6270</v>
          </cell>
          <cell r="J6">
            <v>4.2105263157894736E-2</v>
          </cell>
          <cell r="K6" t="str">
            <v>41.7*27*19.5</v>
          </cell>
        </row>
        <row r="7">
          <cell r="B7">
            <v>8809738605677</v>
          </cell>
          <cell r="C7" t="str">
            <v>ROUND LAB 1025 DOKDO CLEANSING OIL_200ml</v>
          </cell>
          <cell r="D7" t="str">
            <v>200ml</v>
          </cell>
          <cell r="E7">
            <v>30</v>
          </cell>
          <cell r="F7">
            <v>23000</v>
          </cell>
          <cell r="G7">
            <v>0.46800000000000003</v>
          </cell>
          <cell r="H7">
            <v>10764</v>
          </cell>
          <cell r="I7">
            <v>11230</v>
          </cell>
          <cell r="J7">
            <v>4.1495992876224401E-2</v>
          </cell>
          <cell r="K7" t="str">
            <v>34.1*28.8*18.4</v>
          </cell>
        </row>
        <row r="8">
          <cell r="B8">
            <v>8809657115639</v>
          </cell>
          <cell r="C8" t="str">
            <v>ROUND LAB 1025 DOKDO SLEEPING PACK_100ml</v>
          </cell>
          <cell r="D8" t="str">
            <v>100ml</v>
          </cell>
          <cell r="E8">
            <v>50</v>
          </cell>
          <cell r="F8">
            <v>21000</v>
          </cell>
          <cell r="G8">
            <v>0.46100000000000002</v>
          </cell>
          <cell r="H8">
            <v>9681</v>
          </cell>
          <cell r="I8">
            <v>10110</v>
          </cell>
          <cell r="J8">
            <v>4.2433234421364985E-2</v>
          </cell>
        </row>
        <row r="9">
          <cell r="B9">
            <v>8809657115479</v>
          </cell>
          <cell r="C9" t="str">
            <v>ROUND LAB 1025 DOKDO AMPOULE_45g</v>
          </cell>
          <cell r="D9" t="str">
            <v>45g</v>
          </cell>
          <cell r="E9">
            <v>100</v>
          </cell>
          <cell r="F9">
            <v>28000</v>
          </cell>
          <cell r="G9">
            <v>0.36099999999999999</v>
          </cell>
          <cell r="H9">
            <v>10108</v>
          </cell>
          <cell r="I9">
            <v>10670</v>
          </cell>
          <cell r="J9">
            <v>5.2671040299906283E-2</v>
          </cell>
        </row>
        <row r="10">
          <cell r="B10">
            <v>8809743540710</v>
          </cell>
          <cell r="C10" t="str">
            <v>ROUND LAB 1025 DOKDO WATER GEL MASK SHEET_30ml</v>
          </cell>
          <cell r="D10" t="str">
            <v>30ml*10ea</v>
          </cell>
          <cell r="E10">
            <v>20</v>
          </cell>
          <cell r="F10">
            <v>40000</v>
          </cell>
          <cell r="G10">
            <v>0.28000000000000003</v>
          </cell>
          <cell r="H10">
            <v>11200.000000000002</v>
          </cell>
          <cell r="I10">
            <v>12000</v>
          </cell>
          <cell r="J10">
            <v>6.6666666666666513E-2</v>
          </cell>
          <cell r="K10" t="str">
            <v>44.6*32*22.5</v>
          </cell>
        </row>
        <row r="11">
          <cell r="B11">
            <v>8809738591154</v>
          </cell>
          <cell r="C11" t="str">
            <v>ROUND LAB 1025 DOKDO LIGHT CREAM_80ml</v>
          </cell>
          <cell r="D11" t="str">
            <v>80ml</v>
          </cell>
          <cell r="E11">
            <v>30</v>
          </cell>
          <cell r="F11">
            <v>32000</v>
          </cell>
          <cell r="G11">
            <v>0.41</v>
          </cell>
          <cell r="H11">
            <v>13120</v>
          </cell>
          <cell r="I11">
            <v>13760</v>
          </cell>
          <cell r="J11">
            <v>4.6511627906976744E-2</v>
          </cell>
          <cell r="K11" t="str">
            <v>34*21.2*13.6</v>
          </cell>
        </row>
        <row r="12">
          <cell r="B12">
            <v>8809743542684</v>
          </cell>
          <cell r="C12" t="str">
            <v>ROUND LAB 1025 DOKDO CLEANSING MILK_200ml</v>
          </cell>
          <cell r="D12" t="str">
            <v>200ml</v>
          </cell>
          <cell r="E12">
            <v>30</v>
          </cell>
          <cell r="F12">
            <v>24000</v>
          </cell>
          <cell r="G12">
            <v>0.46800000000000003</v>
          </cell>
          <cell r="H12">
            <v>11232</v>
          </cell>
          <cell r="I12">
            <v>11720</v>
          </cell>
          <cell r="J12">
            <v>4.1638225255972695E-2</v>
          </cell>
        </row>
        <row r="13">
          <cell r="B13">
            <v>8809738599044</v>
          </cell>
          <cell r="C13" t="str">
            <v>ROUND LAB 1025 DOKDO BUBBLE FOAM_150ml</v>
          </cell>
          <cell r="D13" t="str">
            <v>150ml</v>
          </cell>
          <cell r="E13">
            <v>30</v>
          </cell>
          <cell r="F13">
            <v>15000</v>
          </cell>
          <cell r="G13">
            <v>0.45400000000000001</v>
          </cell>
          <cell r="H13">
            <v>6810</v>
          </cell>
          <cell r="I13">
            <v>7110</v>
          </cell>
          <cell r="J13">
            <v>4.2194092827004218E-2</v>
          </cell>
        </row>
        <row r="14">
          <cell r="B14">
            <v>8809657129247</v>
          </cell>
          <cell r="C14" t="str">
            <v>ROUND LAB 1025 DOKDO PAD_70pcs</v>
          </cell>
          <cell r="D14" t="str">
            <v>70pcs</v>
          </cell>
          <cell r="E14">
            <v>40</v>
          </cell>
          <cell r="F14">
            <v>24000</v>
          </cell>
          <cell r="G14">
            <v>0.46800000000000003</v>
          </cell>
          <cell r="H14">
            <v>11232</v>
          </cell>
          <cell r="I14">
            <v>11720</v>
          </cell>
          <cell r="J14">
            <v>4.1638225255972695E-2</v>
          </cell>
          <cell r="K14" t="str">
            <v>42*26*15</v>
          </cell>
        </row>
        <row r="15">
          <cell r="B15">
            <v>8809657114632</v>
          </cell>
          <cell r="C15" t="str">
            <v>ROUND LAB 1025 DOKDO EYE CREAM_30ml</v>
          </cell>
          <cell r="D15" t="str">
            <v>30ml</v>
          </cell>
          <cell r="E15">
            <v>200</v>
          </cell>
          <cell r="F15">
            <v>35000</v>
          </cell>
          <cell r="G15">
            <v>0.3</v>
          </cell>
          <cell r="H15">
            <v>10500</v>
          </cell>
          <cell r="I15">
            <v>11200</v>
          </cell>
          <cell r="J15">
            <v>6.25E-2</v>
          </cell>
          <cell r="K15" t="str">
            <v>52.5*36*15.8</v>
          </cell>
        </row>
        <row r="16">
          <cell r="B16">
            <v>8809783321966</v>
          </cell>
          <cell r="C16" t="str">
            <v>ROUND LAB 1025 DOKDO PEELING GEL_120ml</v>
          </cell>
          <cell r="D16" t="str">
            <v>120ml</v>
          </cell>
          <cell r="E16">
            <v>50</v>
          </cell>
          <cell r="F16">
            <v>15000</v>
          </cell>
          <cell r="G16">
            <v>0.45400000000000001</v>
          </cell>
          <cell r="H16">
            <v>6810</v>
          </cell>
          <cell r="I16">
            <v>7110</v>
          </cell>
          <cell r="J16">
            <v>4.2194092827004218E-2</v>
          </cell>
          <cell r="K16" t="str">
            <v>33.5*33.5*23.3</v>
          </cell>
        </row>
        <row r="17">
          <cell r="B17">
            <v>8809782557298</v>
          </cell>
          <cell r="C17" t="str">
            <v>ROUND LAB 1025 DOKDO SUNSCREEN_50ml</v>
          </cell>
          <cell r="D17" t="str">
            <v>50ml</v>
          </cell>
          <cell r="E17">
            <v>50</v>
          </cell>
          <cell r="F17">
            <v>25000</v>
          </cell>
          <cell r="G17">
            <v>0.39</v>
          </cell>
          <cell r="H17">
            <v>9750</v>
          </cell>
          <cell r="I17">
            <v>10250</v>
          </cell>
          <cell r="J17">
            <v>4.878048780487805E-2</v>
          </cell>
          <cell r="K17" t="str">
            <v>36*22*17</v>
          </cell>
        </row>
        <row r="18">
          <cell r="B18">
            <v>8809875901120</v>
          </cell>
          <cell r="C18" t="str">
            <v>ROUND LAB 1025 DOKDO CLEANSING GEL_150ml</v>
          </cell>
          <cell r="D18" t="str">
            <v>150ml</v>
          </cell>
          <cell r="E18">
            <v>30</v>
          </cell>
          <cell r="F18">
            <v>18000</v>
          </cell>
          <cell r="G18">
            <v>0.4</v>
          </cell>
          <cell r="H18">
            <v>7200</v>
          </cell>
          <cell r="I18">
            <v>7560</v>
          </cell>
          <cell r="J18">
            <v>4.7619047619047616E-2</v>
          </cell>
        </row>
        <row r="19">
          <cell r="B19">
            <v>8809657114243</v>
          </cell>
          <cell r="C19" t="str">
            <v>ROUND LAB 1025 DOKDO TONER LOTION SPECIAL SET_200ml+200ml</v>
          </cell>
          <cell r="D19" t="str">
            <v>400ml</v>
          </cell>
          <cell r="E19">
            <v>30</v>
          </cell>
          <cell r="F19">
            <v>35000</v>
          </cell>
          <cell r="G19">
            <v>0.42</v>
          </cell>
          <cell r="H19">
            <v>14700</v>
          </cell>
          <cell r="I19">
            <v>15400</v>
          </cell>
          <cell r="J19">
            <v>4.5454545454545456E-2</v>
          </cell>
        </row>
        <row r="20">
          <cell r="B20">
            <v>8809738600214</v>
          </cell>
          <cell r="C20" t="str">
            <v>ROUND LAB BIRCH JUICE MOISTURIZING TONER_300ml</v>
          </cell>
          <cell r="D20" t="str">
            <v>300ml</v>
          </cell>
          <cell r="E20">
            <v>40</v>
          </cell>
          <cell r="F20">
            <v>24000</v>
          </cell>
          <cell r="G20">
            <v>0.378</v>
          </cell>
          <cell r="H20">
            <v>9072</v>
          </cell>
          <cell r="I20">
            <v>9560</v>
          </cell>
          <cell r="J20">
            <v>5.1046025104602509E-2</v>
          </cell>
          <cell r="K20" t="str">
            <v>54*34*17.5</v>
          </cell>
        </row>
        <row r="21">
          <cell r="B21">
            <v>8809738600221</v>
          </cell>
          <cell r="C21" t="str">
            <v>ROUND LAB BIRCH JUICE MOISTURIZING CREAM_80ml</v>
          </cell>
          <cell r="D21" t="str">
            <v>80ml</v>
          </cell>
          <cell r="E21">
            <v>80</v>
          </cell>
          <cell r="F21">
            <v>32000</v>
          </cell>
          <cell r="G21">
            <v>0.377</v>
          </cell>
          <cell r="H21">
            <v>12064</v>
          </cell>
          <cell r="I21">
            <v>12710</v>
          </cell>
          <cell r="J21">
            <v>5.0826121164437452E-2</v>
          </cell>
          <cell r="K21" t="str">
            <v>34*21.2*13.6</v>
          </cell>
        </row>
        <row r="22">
          <cell r="B22">
            <v>8809738600238</v>
          </cell>
          <cell r="C22" t="str">
            <v>ROUND LAB BIRCH JUICE MOISTURIZING CLEANSER_150ml</v>
          </cell>
          <cell r="D22" t="str">
            <v>150ml</v>
          </cell>
          <cell r="E22">
            <v>30</v>
          </cell>
          <cell r="F22">
            <v>15000</v>
          </cell>
          <cell r="G22">
            <v>0.40400000000000003</v>
          </cell>
          <cell r="H22">
            <v>6060</v>
          </cell>
          <cell r="I22">
            <v>6360</v>
          </cell>
          <cell r="J22">
            <v>4.716981132075472E-2</v>
          </cell>
          <cell r="K22" t="str">
            <v>53.5*27.5*20</v>
          </cell>
        </row>
        <row r="23">
          <cell r="B23">
            <v>8809738604762</v>
          </cell>
          <cell r="C23" t="str">
            <v>ROUND LAB BIRCH JUICE MOISTURIZING WASHOFF PACK_80ml</v>
          </cell>
          <cell r="D23" t="str">
            <v>80ml</v>
          </cell>
          <cell r="E23">
            <v>30</v>
          </cell>
          <cell r="F23">
            <v>23000</v>
          </cell>
          <cell r="G23">
            <v>0.38400000000000001</v>
          </cell>
          <cell r="H23">
            <v>8832</v>
          </cell>
          <cell r="I23">
            <v>9300</v>
          </cell>
          <cell r="J23">
            <v>5.0322580645161291E-2</v>
          </cell>
          <cell r="K23" t="str">
            <v>39.8*17.5*17.5</v>
          </cell>
        </row>
        <row r="24">
          <cell r="B24">
            <v>8809782553009</v>
          </cell>
          <cell r="C24" t="str">
            <v>ROUND LAB BIRCH JUICE MOISTURIZING SERUM_50ml</v>
          </cell>
          <cell r="D24" t="str">
            <v>50ml</v>
          </cell>
          <cell r="E24">
            <v>70</v>
          </cell>
          <cell r="F24">
            <v>28000</v>
          </cell>
          <cell r="G24">
            <v>0.374</v>
          </cell>
          <cell r="H24">
            <v>10472</v>
          </cell>
          <cell r="I24">
            <v>11040</v>
          </cell>
          <cell r="J24">
            <v>5.1449275362318837E-2</v>
          </cell>
          <cell r="K24" t="str">
            <v>49*34.5*12.8</v>
          </cell>
        </row>
        <row r="25">
          <cell r="B25">
            <v>8809614958712</v>
          </cell>
          <cell r="C25" t="str">
            <v>ROUND LAB BIRCH JUICE MOISTURIZING PAD_80pcs</v>
          </cell>
          <cell r="D25" t="str">
            <v>80pcs</v>
          </cell>
          <cell r="E25">
            <v>40</v>
          </cell>
          <cell r="F25">
            <v>25000</v>
          </cell>
          <cell r="G25">
            <v>0.41</v>
          </cell>
          <cell r="H25">
            <v>10250</v>
          </cell>
          <cell r="I25">
            <v>10750</v>
          </cell>
          <cell r="J25">
            <v>4.6511627906976744E-2</v>
          </cell>
          <cell r="K25" t="str">
            <v>46.5*37.5*16</v>
          </cell>
        </row>
        <row r="26">
          <cell r="B26">
            <v>8809782551814</v>
          </cell>
          <cell r="C26" t="str">
            <v>ROUND LAB BIRCH JUICE MOISTURIZING SUNSCREEN_50ml</v>
          </cell>
          <cell r="D26" t="str">
            <v>50ml</v>
          </cell>
          <cell r="E26">
            <v>60</v>
          </cell>
          <cell r="F26">
            <v>25000</v>
          </cell>
          <cell r="G26">
            <v>0.38</v>
          </cell>
          <cell r="H26">
            <v>9500</v>
          </cell>
          <cell r="I26">
            <v>10000</v>
          </cell>
          <cell r="J26">
            <v>0.05</v>
          </cell>
          <cell r="K26" t="str">
            <v>36*22*17</v>
          </cell>
        </row>
        <row r="27">
          <cell r="B27">
            <v>8809624723157</v>
          </cell>
          <cell r="C27" t="str">
            <v>ROUND LAB BIRCH JUICE MOISTURIZING MASK SHEET_25ml (1pcs)</v>
          </cell>
          <cell r="D27" t="str">
            <v>25ml*10ea</v>
          </cell>
          <cell r="E27">
            <v>40</v>
          </cell>
          <cell r="F27">
            <v>30000</v>
          </cell>
          <cell r="G27">
            <v>0.32</v>
          </cell>
          <cell r="H27">
            <v>9600</v>
          </cell>
          <cell r="I27">
            <v>10200</v>
          </cell>
          <cell r="J27">
            <v>5.8823529411764705E-2</v>
          </cell>
        </row>
        <row r="28">
          <cell r="B28">
            <v>8809638307701</v>
          </cell>
          <cell r="C28" t="str">
            <v>ROUND LAB BIRCH JUICE MOISTURIZING SOOTHING GEL_150ml</v>
          </cell>
          <cell r="D28" t="str">
            <v>150ml</v>
          </cell>
          <cell r="E28">
            <v>40</v>
          </cell>
          <cell r="F28">
            <v>12000</v>
          </cell>
          <cell r="G28">
            <v>0.42899999999999999</v>
          </cell>
          <cell r="H28">
            <v>5148</v>
          </cell>
          <cell r="I28">
            <v>5390</v>
          </cell>
          <cell r="J28">
            <v>4.4897959183673466E-2</v>
          </cell>
        </row>
        <row r="29">
          <cell r="B29">
            <v>8809864769977</v>
          </cell>
          <cell r="C29" t="str">
            <v>ROUND LAB BIRCH JUICE MOISTURIZING TONE UP SUNSCREEN_50ml</v>
          </cell>
          <cell r="D29" t="str">
            <v>50ml</v>
          </cell>
          <cell r="E29">
            <v>60</v>
          </cell>
          <cell r="F29">
            <v>25000</v>
          </cell>
          <cell r="G29">
            <v>0.38</v>
          </cell>
          <cell r="H29">
            <v>9500</v>
          </cell>
          <cell r="I29">
            <v>10000</v>
          </cell>
          <cell r="J29">
            <v>0.05</v>
          </cell>
          <cell r="K29" t="str">
            <v>36*22*17</v>
          </cell>
        </row>
        <row r="30">
          <cell r="B30">
            <v>8809782558523</v>
          </cell>
          <cell r="C30" t="str">
            <v>ROUND LAB BIRCH JUICE MILD-UP SUNSCREEN_50ml</v>
          </cell>
          <cell r="D30" t="str">
            <v>50ml</v>
          </cell>
          <cell r="E30">
            <v>60</v>
          </cell>
          <cell r="F30">
            <v>25000</v>
          </cell>
          <cell r="G30">
            <v>0.38</v>
          </cell>
          <cell r="H30">
            <v>9500</v>
          </cell>
          <cell r="I30">
            <v>10000</v>
          </cell>
          <cell r="J30">
            <v>0.05</v>
          </cell>
          <cell r="K30" t="str">
            <v>36*22*17</v>
          </cell>
        </row>
        <row r="31">
          <cell r="B31">
            <v>8809875904459</v>
          </cell>
          <cell r="C31" t="str">
            <v>ROUND LAB BIRCH JUICE MOISTURIZING SUN STICK_19g</v>
          </cell>
          <cell r="D31" t="str">
            <v>19g</v>
          </cell>
          <cell r="E31">
            <v>60</v>
          </cell>
          <cell r="F31">
            <v>24000</v>
          </cell>
          <cell r="G31">
            <v>0.36199999999999999</v>
          </cell>
          <cell r="H31">
            <v>8688</v>
          </cell>
          <cell r="I31">
            <v>9170</v>
          </cell>
          <cell r="J31">
            <v>5.2562704471101417E-2</v>
          </cell>
        </row>
        <row r="32">
          <cell r="B32">
            <v>8809782556628</v>
          </cell>
          <cell r="C32" t="str">
            <v>ROUND LAB BIRCH JUICE MOISTURIZING SUN CUSHION_15g</v>
          </cell>
          <cell r="D32" t="str">
            <v>15g</v>
          </cell>
          <cell r="E32">
            <v>100</v>
          </cell>
          <cell r="F32">
            <v>24000</v>
          </cell>
          <cell r="G32">
            <v>0.38300000000000001</v>
          </cell>
          <cell r="H32">
            <v>9192</v>
          </cell>
          <cell r="I32">
            <v>9680</v>
          </cell>
          <cell r="J32">
            <v>5.0413223140495865E-2</v>
          </cell>
          <cell r="K32" t="str">
            <v>41*32.5*17.8</v>
          </cell>
        </row>
        <row r="33">
          <cell r="B33">
            <v>8809738605714</v>
          </cell>
          <cell r="C33" t="str">
            <v>ROUND LAB MUGWORT CALMING TONER_300ml</v>
          </cell>
          <cell r="D33" t="str">
            <v>300ml</v>
          </cell>
          <cell r="E33">
            <v>40</v>
          </cell>
          <cell r="F33">
            <v>24000</v>
          </cell>
          <cell r="G33">
            <v>0.378</v>
          </cell>
          <cell r="H33">
            <v>9072</v>
          </cell>
          <cell r="I33">
            <v>9560</v>
          </cell>
          <cell r="J33">
            <v>5.1046025104602509E-2</v>
          </cell>
          <cell r="K33" t="str">
            <v>54*34*17.5</v>
          </cell>
        </row>
        <row r="34">
          <cell r="B34">
            <v>8809738605721</v>
          </cell>
          <cell r="C34" t="str">
            <v>ROUND LAB MUGWORT CALMING CREAM_80ml</v>
          </cell>
          <cell r="D34" t="str">
            <v>80ml</v>
          </cell>
          <cell r="E34">
            <v>80</v>
          </cell>
          <cell r="F34">
            <v>32000</v>
          </cell>
          <cell r="G34">
            <v>0.377</v>
          </cell>
          <cell r="H34">
            <v>12064</v>
          </cell>
          <cell r="I34">
            <v>12710</v>
          </cell>
          <cell r="J34">
            <v>5.0826121164437452E-2</v>
          </cell>
          <cell r="K34" t="str">
            <v>56.6*33.5*17</v>
          </cell>
        </row>
        <row r="35">
          <cell r="B35">
            <v>8809738593080</v>
          </cell>
          <cell r="C35" t="str">
            <v>ROUND LAB MUGWORT CALMING CLEANSER_150ml</v>
          </cell>
          <cell r="D35" t="str">
            <v>150ml</v>
          </cell>
          <cell r="E35">
            <v>30</v>
          </cell>
          <cell r="F35">
            <v>15000</v>
          </cell>
          <cell r="G35">
            <v>0.40400000000000003</v>
          </cell>
          <cell r="H35">
            <v>6060</v>
          </cell>
          <cell r="I35">
            <v>6360</v>
          </cell>
          <cell r="J35">
            <v>4.716981132075472E-2</v>
          </cell>
          <cell r="K35" t="str">
            <v>53.5*27.5*20</v>
          </cell>
        </row>
        <row r="36">
          <cell r="B36">
            <v>8809738593103</v>
          </cell>
          <cell r="C36" t="str">
            <v>ROUND LAB MUGWORT CALMING SERUM_50ml</v>
          </cell>
          <cell r="D36" t="str">
            <v>50ml</v>
          </cell>
          <cell r="E36">
            <v>70</v>
          </cell>
          <cell r="F36">
            <v>28000</v>
          </cell>
          <cell r="G36">
            <v>0.374</v>
          </cell>
          <cell r="H36">
            <v>10472</v>
          </cell>
          <cell r="I36">
            <v>11040</v>
          </cell>
          <cell r="J36">
            <v>5.1449275362318837E-2</v>
          </cell>
          <cell r="K36" t="str">
            <v>49*34.5*12.8</v>
          </cell>
        </row>
        <row r="37">
          <cell r="B37">
            <v>8809624723140</v>
          </cell>
          <cell r="C37" t="str">
            <v>ROUND LAB MUGWORT CALMING MASK SHEET_25ml</v>
          </cell>
          <cell r="D37" t="str">
            <v>25ml*10ea</v>
          </cell>
          <cell r="E37">
            <v>40</v>
          </cell>
          <cell r="F37">
            <v>30000</v>
          </cell>
          <cell r="G37">
            <v>0.32</v>
          </cell>
          <cell r="H37">
            <v>9600</v>
          </cell>
          <cell r="I37">
            <v>10200</v>
          </cell>
          <cell r="J37">
            <v>5.8823529411764705E-2</v>
          </cell>
          <cell r="K37" t="str">
            <v>47*43*19.3</v>
          </cell>
        </row>
        <row r="38">
          <cell r="B38">
            <v>8809738593240</v>
          </cell>
          <cell r="C38" t="str">
            <v>ROUND LAB SOYBEAN SERUM_50ml</v>
          </cell>
          <cell r="D38" t="str">
            <v>50ml</v>
          </cell>
          <cell r="E38">
            <v>70</v>
          </cell>
          <cell r="F38">
            <v>28000</v>
          </cell>
          <cell r="G38">
            <v>0.374</v>
          </cell>
          <cell r="H38">
            <v>10472</v>
          </cell>
          <cell r="I38">
            <v>11040</v>
          </cell>
          <cell r="J38">
            <v>5.1449275362318837E-2</v>
          </cell>
          <cell r="K38" t="str">
            <v>34.5*13*50</v>
          </cell>
        </row>
        <row r="39">
          <cell r="B39">
            <v>8809624723133</v>
          </cell>
          <cell r="C39" t="str">
            <v>ROUND LAB SOYBEAN NOURISHING MASK SHEET_27ml</v>
          </cell>
          <cell r="D39" t="str">
            <v>27ml*10ea</v>
          </cell>
          <cell r="E39">
            <v>40</v>
          </cell>
          <cell r="F39">
            <v>30000</v>
          </cell>
          <cell r="G39">
            <v>0.32</v>
          </cell>
          <cell r="H39">
            <v>9600</v>
          </cell>
          <cell r="I39">
            <v>10200</v>
          </cell>
          <cell r="J39">
            <v>5.8823529411764705E-2</v>
          </cell>
          <cell r="K39" t="str">
            <v>47*43*19.3</v>
          </cell>
        </row>
        <row r="40">
          <cell r="B40">
            <v>8809624726370</v>
          </cell>
          <cell r="C40" t="str">
            <v>ROUND LAB SOYBEAN NOURISHING TONER_300ml</v>
          </cell>
          <cell r="D40" t="str">
            <v>300ml</v>
          </cell>
          <cell r="E40">
            <v>40</v>
          </cell>
          <cell r="F40">
            <v>24000</v>
          </cell>
          <cell r="G40">
            <v>0.378</v>
          </cell>
          <cell r="H40">
            <v>9072</v>
          </cell>
          <cell r="I40">
            <v>9560</v>
          </cell>
          <cell r="J40">
            <v>5.1046025104602509E-2</v>
          </cell>
          <cell r="K40" t="str">
            <v>54*34*17.5</v>
          </cell>
        </row>
        <row r="41">
          <cell r="B41">
            <v>8809624726417</v>
          </cell>
          <cell r="C41" t="str">
            <v>ROUND LAB SOYBEAN NOURISHING CREAM_80ml</v>
          </cell>
          <cell r="D41" t="str">
            <v>80ml</v>
          </cell>
          <cell r="E41">
            <v>80</v>
          </cell>
          <cell r="F41">
            <v>32000</v>
          </cell>
          <cell r="G41">
            <v>0.377</v>
          </cell>
          <cell r="H41">
            <v>12064</v>
          </cell>
          <cell r="I41">
            <v>12710</v>
          </cell>
          <cell r="J41">
            <v>5.0826121164437452E-2</v>
          </cell>
          <cell r="K41" t="str">
            <v>56.6*33.5*17</v>
          </cell>
        </row>
        <row r="42">
          <cell r="B42">
            <v>8809783322369</v>
          </cell>
          <cell r="C42" t="str">
            <v>ROUND LAB SOYBEAN CLEANSER_150ml</v>
          </cell>
          <cell r="D42" t="str">
            <v>150ml</v>
          </cell>
          <cell r="E42">
            <v>50</v>
          </cell>
          <cell r="F42">
            <v>15000</v>
          </cell>
          <cell r="G42">
            <v>0.40400000000000003</v>
          </cell>
          <cell r="H42">
            <v>6060</v>
          </cell>
          <cell r="I42">
            <v>6360</v>
          </cell>
          <cell r="J42">
            <v>4.716981132075472E-2</v>
          </cell>
          <cell r="K42" t="str">
            <v>53.5*27.5*20</v>
          </cell>
        </row>
        <row r="43">
          <cell r="B43">
            <v>8809783322130</v>
          </cell>
          <cell r="C43" t="str">
            <v>ROUND LAB SOYBEAN CLEANSING OIL_200ml</v>
          </cell>
          <cell r="D43" t="str">
            <v>200ml</v>
          </cell>
          <cell r="E43">
            <v>70</v>
          </cell>
          <cell r="F43">
            <v>23000</v>
          </cell>
          <cell r="G43">
            <v>0.40100000000000002</v>
          </cell>
          <cell r="H43">
            <v>9223</v>
          </cell>
          <cell r="I43">
            <v>9690</v>
          </cell>
          <cell r="J43">
            <v>4.8194014447884417E-2</v>
          </cell>
          <cell r="K43" t="str">
            <v>51.5*36.5*20.6</v>
          </cell>
        </row>
        <row r="44">
          <cell r="B44">
            <v>8809783325674</v>
          </cell>
          <cell r="C44" t="str">
            <v>ROUND LAB PINE CALMING CICA CREAM_50ml</v>
          </cell>
          <cell r="D44" t="str">
            <v>50ml</v>
          </cell>
          <cell r="E44">
            <v>60</v>
          </cell>
          <cell r="F44">
            <v>28000</v>
          </cell>
          <cell r="G44">
            <v>0.373</v>
          </cell>
          <cell r="H44">
            <v>10444</v>
          </cell>
          <cell r="I44">
            <v>11010</v>
          </cell>
          <cell r="J44">
            <v>5.1407811080835607E-2</v>
          </cell>
        </row>
        <row r="45">
          <cell r="B45">
            <v>8809783325667</v>
          </cell>
          <cell r="C45" t="str">
            <v>ROUND LAB PINE CALMING CICA AMPOULE_30ml</v>
          </cell>
          <cell r="D45" t="str">
            <v>30ml</v>
          </cell>
          <cell r="E45">
            <v>60</v>
          </cell>
          <cell r="F45">
            <v>24000</v>
          </cell>
          <cell r="G45">
            <v>0.38800000000000001</v>
          </cell>
          <cell r="H45">
            <v>9312</v>
          </cell>
          <cell r="I45">
            <v>9800</v>
          </cell>
          <cell r="J45">
            <v>4.9795918367346939E-2</v>
          </cell>
        </row>
        <row r="46">
          <cell r="B46">
            <v>8809750462708</v>
          </cell>
          <cell r="C46" t="str">
            <v>ROUND LAB PINE CALMING CICA PAD_50pcs</v>
          </cell>
          <cell r="D46" t="str">
            <v>50pcs</v>
          </cell>
          <cell r="E46">
            <v>30</v>
          </cell>
          <cell r="F46">
            <v>25000</v>
          </cell>
          <cell r="G46">
            <v>0.39400000000000002</v>
          </cell>
          <cell r="H46">
            <v>9850</v>
          </cell>
          <cell r="I46">
            <v>10350</v>
          </cell>
          <cell r="J46">
            <v>4.8309178743961352E-2</v>
          </cell>
        </row>
        <row r="47">
          <cell r="B47">
            <v>8809783325728</v>
          </cell>
          <cell r="C47" t="str">
            <v>ROUND LAB PINE CALMING CICA MASK SHEET_27ml</v>
          </cell>
          <cell r="D47" t="str">
            <v>27ml*10ea</v>
          </cell>
          <cell r="E47">
            <v>40</v>
          </cell>
          <cell r="F47">
            <v>30000</v>
          </cell>
          <cell r="G47">
            <v>0.32</v>
          </cell>
          <cell r="H47">
            <v>9600</v>
          </cell>
          <cell r="I47">
            <v>10200</v>
          </cell>
          <cell r="J47">
            <v>5.8823529411764705E-2</v>
          </cell>
        </row>
        <row r="48">
          <cell r="B48">
            <v>8809783326718</v>
          </cell>
          <cell r="C48" t="str">
            <v>ROUND LAB PINE CALMING CICA TONER_250ml</v>
          </cell>
          <cell r="D48" t="str">
            <v>250ml</v>
          </cell>
          <cell r="E48">
            <v>30</v>
          </cell>
          <cell r="F48">
            <v>23000</v>
          </cell>
          <cell r="G48">
            <v>0.39200000000000002</v>
          </cell>
          <cell r="H48">
            <v>9016</v>
          </cell>
          <cell r="I48">
            <v>9480</v>
          </cell>
          <cell r="J48">
            <v>4.8945147679324896E-2</v>
          </cell>
        </row>
        <row r="49">
          <cell r="B49">
            <v>8809783326725</v>
          </cell>
          <cell r="C49" t="str">
            <v>ROUND LAB PINE CALMING CICA LOTION_250ml</v>
          </cell>
          <cell r="D49" t="str">
            <v>250ml</v>
          </cell>
          <cell r="E49">
            <v>30</v>
          </cell>
          <cell r="F49">
            <v>25000</v>
          </cell>
          <cell r="G49">
            <v>0.38200000000000001</v>
          </cell>
          <cell r="H49">
            <v>9550</v>
          </cell>
          <cell r="I49">
            <v>10050</v>
          </cell>
          <cell r="J49">
            <v>4.975124378109453E-2</v>
          </cell>
        </row>
        <row r="50">
          <cell r="B50">
            <v>8809864754126</v>
          </cell>
          <cell r="C50" t="str">
            <v>ROUND LAB PINE CALMING CICA CLEANSER_150ml</v>
          </cell>
          <cell r="D50" t="str">
            <v>150ml</v>
          </cell>
          <cell r="E50">
            <v>30</v>
          </cell>
          <cell r="F50">
            <v>17000</v>
          </cell>
          <cell r="G50">
            <v>0.36499999999999999</v>
          </cell>
          <cell r="H50">
            <v>6205</v>
          </cell>
          <cell r="I50">
            <v>6550</v>
          </cell>
          <cell r="J50">
            <v>5.2671755725190839E-2</v>
          </cell>
        </row>
        <row r="51">
          <cell r="B51">
            <v>8809962541253</v>
          </cell>
          <cell r="C51" t="str">
            <v>ROUND LAB 1025 DOKDO CLEANSING TISSUE_30ea</v>
          </cell>
          <cell r="D51" t="str">
            <v>30ea</v>
          </cell>
          <cell r="E51">
            <v>60</v>
          </cell>
          <cell r="F51">
            <v>5000</v>
          </cell>
          <cell r="G51">
            <v>0.505</v>
          </cell>
          <cell r="H51">
            <v>2525</v>
          </cell>
          <cell r="I51">
            <v>2630</v>
          </cell>
          <cell r="J51">
            <v>3.9923954372623575E-2</v>
          </cell>
        </row>
        <row r="52">
          <cell r="B52">
            <v>8809962541222</v>
          </cell>
          <cell r="C52" t="str">
            <v>ROUND LAB FOR MEN BIRCH JUICE MOISTURIZING TONER_200ml</v>
          </cell>
          <cell r="D52" t="str">
            <v>200ml</v>
          </cell>
          <cell r="E52">
            <v>50</v>
          </cell>
          <cell r="F52">
            <v>24000</v>
          </cell>
          <cell r="G52">
            <v>0.35199999999999998</v>
          </cell>
          <cell r="H52">
            <v>8448</v>
          </cell>
          <cell r="I52">
            <v>8930</v>
          </cell>
          <cell r="J52">
            <v>5.3975363941769314E-2</v>
          </cell>
        </row>
        <row r="53">
          <cell r="B53">
            <v>8809962541239</v>
          </cell>
          <cell r="C53" t="str">
            <v>ROUND LAB FOR MEN BIRCH JUICE MOISTURIZING LOTION_200ml</v>
          </cell>
          <cell r="D53" t="str">
            <v>200ml</v>
          </cell>
          <cell r="E53">
            <v>50</v>
          </cell>
          <cell r="F53">
            <v>24000</v>
          </cell>
          <cell r="G53">
            <v>0.35199999999999998</v>
          </cell>
          <cell r="H53">
            <v>8448</v>
          </cell>
          <cell r="I53">
            <v>8930</v>
          </cell>
          <cell r="J53">
            <v>5.3975363941769314E-2</v>
          </cell>
        </row>
        <row r="54">
          <cell r="B54">
            <v>8809962541246</v>
          </cell>
          <cell r="C54" t="str">
            <v>ROUND LAB FOR MEN BIRCH JUICE MOISTURIZING CREAM_75ml</v>
          </cell>
          <cell r="D54" t="str">
            <v>75ml</v>
          </cell>
          <cell r="E54">
            <v>50</v>
          </cell>
          <cell r="F54">
            <v>26000</v>
          </cell>
          <cell r="G54">
            <v>0.34</v>
          </cell>
          <cell r="H54">
            <v>8840</v>
          </cell>
          <cell r="I54">
            <v>9360</v>
          </cell>
          <cell r="J54">
            <v>5.5555555555555552E-2</v>
          </cell>
        </row>
        <row r="55">
          <cell r="B55">
            <v>8809657115387</v>
          </cell>
          <cell r="C55" t="str">
            <v>ROUND LAB 1025 DOKDO TONER_100ml</v>
          </cell>
          <cell r="D55" t="str">
            <v>100ml</v>
          </cell>
          <cell r="E55">
            <v>96</v>
          </cell>
          <cell r="F55">
            <v>11800</v>
          </cell>
          <cell r="G55">
            <v>0.42499999999999999</v>
          </cell>
          <cell r="H55">
            <v>5015</v>
          </cell>
          <cell r="I55">
            <v>5260</v>
          </cell>
          <cell r="J55">
            <v>4.6577946768060839E-2</v>
          </cell>
        </row>
        <row r="56">
          <cell r="B56">
            <v>8809738604755</v>
          </cell>
          <cell r="C56" t="str">
            <v>ROUND LAB 1025 DOKDO MUD PACK_100ml (Tube Type)</v>
          </cell>
          <cell r="D56" t="str">
            <v>100ml</v>
          </cell>
          <cell r="E56">
            <v>30</v>
          </cell>
          <cell r="F56">
            <v>17000</v>
          </cell>
          <cell r="G56">
            <v>0.435</v>
          </cell>
          <cell r="H56">
            <v>7395</v>
          </cell>
          <cell r="I56">
            <v>7740</v>
          </cell>
          <cell r="J56">
            <v>4.4573643410852716E-2</v>
          </cell>
        </row>
        <row r="57">
          <cell r="B57">
            <v>8809738607343</v>
          </cell>
          <cell r="C57" t="str">
            <v>ROUND LAB 1025 DOKDO CLEANSING WATER_400ml</v>
          </cell>
          <cell r="D57" t="str">
            <v>400ml</v>
          </cell>
          <cell r="E57">
            <v>30</v>
          </cell>
          <cell r="F57">
            <v>18000</v>
          </cell>
          <cell r="G57">
            <v>0.35699999999999998</v>
          </cell>
          <cell r="H57">
            <v>6426</v>
          </cell>
          <cell r="I57">
            <v>6790</v>
          </cell>
          <cell r="J57">
            <v>5.3608247422680409E-2</v>
          </cell>
        </row>
        <row r="58">
          <cell r="B58">
            <v>8809864759480</v>
          </cell>
          <cell r="C58" t="str">
            <v>ROUND LAB BIRCH JUICE AMPOULE_50ml</v>
          </cell>
          <cell r="D58" t="str">
            <v>50ml</v>
          </cell>
          <cell r="E58">
            <v>60</v>
          </cell>
          <cell r="F58">
            <v>28000</v>
          </cell>
          <cell r="G58">
            <v>0.33300000000000002</v>
          </cell>
          <cell r="H58">
            <v>9324</v>
          </cell>
          <cell r="I58">
            <v>9890</v>
          </cell>
          <cell r="J58">
            <v>5.7229524772497473E-2</v>
          </cell>
        </row>
        <row r="59">
          <cell r="B59">
            <v>8809614958057</v>
          </cell>
          <cell r="C59" t="str">
            <v>ROUND LAB BIRCH JUICE CLEANSING PAD_60ea</v>
          </cell>
          <cell r="D59" t="str">
            <v>60ea</v>
          </cell>
          <cell r="E59">
            <v>40</v>
          </cell>
          <cell r="F59">
            <v>22000</v>
          </cell>
          <cell r="G59">
            <v>0.39300000000000002</v>
          </cell>
          <cell r="H59">
            <v>8646</v>
          </cell>
          <cell r="I59">
            <v>9090</v>
          </cell>
          <cell r="J59">
            <v>4.8844884488448842E-2</v>
          </cell>
        </row>
        <row r="60">
          <cell r="B60">
            <v>8809743544176</v>
          </cell>
          <cell r="C60" t="str">
            <v>ROUND LAB MUGWORT CALMING SOOTHING GEL_150ml</v>
          </cell>
          <cell r="D60" t="str">
            <v>150ml</v>
          </cell>
          <cell r="E60">
            <v>40</v>
          </cell>
          <cell r="F60">
            <v>10500</v>
          </cell>
          <cell r="G60">
            <v>0.48</v>
          </cell>
          <cell r="H60">
            <v>5040</v>
          </cell>
          <cell r="I60">
            <v>5250</v>
          </cell>
          <cell r="J60">
            <v>0.04</v>
          </cell>
        </row>
        <row r="61">
          <cell r="B61">
            <v>8809875908075</v>
          </cell>
          <cell r="C61" t="str">
            <v>ROUND LAB SOYBEAN PANTHENOL AMPOULE_50ml</v>
          </cell>
          <cell r="D61" t="str">
            <v>50ml</v>
          </cell>
          <cell r="E61">
            <v>60</v>
          </cell>
          <cell r="F61">
            <v>30000</v>
          </cell>
          <cell r="G61">
            <v>0.34</v>
          </cell>
          <cell r="H61">
            <v>10200</v>
          </cell>
          <cell r="I61">
            <v>10800</v>
          </cell>
          <cell r="J61">
            <v>5.5555555555555552E-2</v>
          </cell>
        </row>
        <row r="62">
          <cell r="B62">
            <v>8809875907337</v>
          </cell>
          <cell r="C62" t="str">
            <v>ROUND LAB SOYBEAN PANTHENOL CREAM_80ml</v>
          </cell>
          <cell r="D62" t="str">
            <v>80ml</v>
          </cell>
          <cell r="E62">
            <v>60</v>
          </cell>
          <cell r="F62">
            <v>34000</v>
          </cell>
          <cell r="G62">
            <v>0.35</v>
          </cell>
          <cell r="H62">
            <v>11900</v>
          </cell>
          <cell r="I62">
            <v>12580</v>
          </cell>
          <cell r="J62">
            <v>5.4054054054054057E-2</v>
          </cell>
        </row>
        <row r="63">
          <cell r="B63">
            <v>8809849803634</v>
          </cell>
          <cell r="C63" t="str">
            <v>ROUND LAB SOYBEAN PANTHENOL MASK_25ml (10ea)</v>
          </cell>
          <cell r="D63" t="str">
            <v>25ml*10ea</v>
          </cell>
          <cell r="E63">
            <v>40</v>
          </cell>
          <cell r="F63">
            <v>30000</v>
          </cell>
          <cell r="G63">
            <v>0.32</v>
          </cell>
          <cell r="H63">
            <v>9600</v>
          </cell>
          <cell r="I63">
            <v>10200</v>
          </cell>
          <cell r="J63">
            <v>5.8823529411764705E-2</v>
          </cell>
        </row>
        <row r="64">
          <cell r="B64">
            <v>8809849802408</v>
          </cell>
          <cell r="C64" t="str">
            <v>ROUND LAB PINE CALMING CICA BODY WASH_400ml</v>
          </cell>
          <cell r="D64" t="str">
            <v>400ml</v>
          </cell>
          <cell r="E64">
            <v>40</v>
          </cell>
          <cell r="F64">
            <v>21000</v>
          </cell>
          <cell r="G64">
            <v>0.34799999999999998</v>
          </cell>
          <cell r="H64">
            <v>7307.9999999999991</v>
          </cell>
          <cell r="I64">
            <v>7730</v>
          </cell>
          <cell r="J64">
            <v>5.4592496765847466E-2</v>
          </cell>
        </row>
        <row r="65">
          <cell r="B65">
            <v>8809962540652</v>
          </cell>
          <cell r="C65" t="str">
            <v>ROUND LAB VITA NIACINAMIDE DARK SPOT SERUM 30ml</v>
          </cell>
          <cell r="D65" t="str">
            <v>30ml</v>
          </cell>
          <cell r="E65">
            <v>60</v>
          </cell>
          <cell r="F65">
            <v>28000</v>
          </cell>
          <cell r="G65">
            <v>0.32500000000000001</v>
          </cell>
          <cell r="H65">
            <v>9100</v>
          </cell>
          <cell r="I65">
            <v>9660</v>
          </cell>
          <cell r="J65">
            <v>5.7971014492753624E-2</v>
          </cell>
        </row>
        <row r="66">
          <cell r="B66">
            <v>8809962540690</v>
          </cell>
          <cell r="C66" t="str">
            <v>ROUND LAB VITA NIACINAMIDE DARK SPOT CREAM 50ml</v>
          </cell>
          <cell r="D66" t="str">
            <v>50ml</v>
          </cell>
          <cell r="E66">
            <v>60</v>
          </cell>
          <cell r="F66">
            <v>30000</v>
          </cell>
          <cell r="G66">
            <v>0.32500000000000001</v>
          </cell>
          <cell r="H66">
            <v>9750</v>
          </cell>
          <cell r="I66">
            <v>10350</v>
          </cell>
          <cell r="J66">
            <v>5.7971014492753624E-2</v>
          </cell>
        </row>
        <row r="67">
          <cell r="B67">
            <v>8809962540775</v>
          </cell>
          <cell r="C67" t="str">
            <v>ROUND LAB VITA NIACINAMIDE DARK SPOT SERUM MASK 20ml (10ea)</v>
          </cell>
          <cell r="D67" t="str">
            <v>20ml*10ea</v>
          </cell>
          <cell r="E67">
            <v>40</v>
          </cell>
          <cell r="F67">
            <v>40000</v>
          </cell>
          <cell r="G67">
            <v>0.25800000000000001</v>
          </cell>
          <cell r="H67">
            <v>10320</v>
          </cell>
          <cell r="I67">
            <v>11120</v>
          </cell>
          <cell r="J67">
            <v>7.1942446043165464E-2</v>
          </cell>
        </row>
        <row r="68">
          <cell r="B68">
            <v>8809962540584</v>
          </cell>
          <cell r="C68" t="str">
            <v>ROUND LAB BABY MILD TOP TO TOE WASH 300ml</v>
          </cell>
          <cell r="D68" t="str">
            <v>300ml</v>
          </cell>
          <cell r="E68">
            <v>30</v>
          </cell>
          <cell r="F68">
            <v>25000</v>
          </cell>
          <cell r="G68">
            <v>0.32500000000000001</v>
          </cell>
          <cell r="H68">
            <v>8125</v>
          </cell>
          <cell r="I68">
            <v>8630</v>
          </cell>
          <cell r="J68">
            <v>5.8516801853997685E-2</v>
          </cell>
        </row>
        <row r="69">
          <cell r="B69">
            <v>8809962540591</v>
          </cell>
          <cell r="C69" t="str">
            <v>ROUND LAB BABY MILD LOTION 300ml</v>
          </cell>
          <cell r="D69" t="str">
            <v>300ml</v>
          </cell>
          <cell r="E69">
            <v>30</v>
          </cell>
          <cell r="F69">
            <v>35000</v>
          </cell>
          <cell r="G69">
            <v>0.307</v>
          </cell>
          <cell r="H69">
            <v>10745</v>
          </cell>
          <cell r="I69">
            <v>11450</v>
          </cell>
          <cell r="J69">
            <v>6.1572052401746728E-2</v>
          </cell>
        </row>
        <row r="70">
          <cell r="B70">
            <v>8809962540539</v>
          </cell>
          <cell r="C70" t="str">
            <v>ROUND LAB BABY MILD WET WIPES 20ea</v>
          </cell>
          <cell r="D70" t="str">
            <v>20ea</v>
          </cell>
          <cell r="E70">
            <v>12</v>
          </cell>
          <cell r="F70">
            <v>1500</v>
          </cell>
          <cell r="G70">
            <v>0.72399999999999998</v>
          </cell>
          <cell r="H70">
            <v>1086</v>
          </cell>
          <cell r="I70">
            <v>1120</v>
          </cell>
          <cell r="J70">
            <v>3.0357142857142857E-2</v>
          </cell>
        </row>
        <row r="71">
          <cell r="B71">
            <v>8809962541383</v>
          </cell>
          <cell r="C71" t="str">
            <v>ROUND LAB CAMELLIA DEEP COLLAGEN FIRMING GEL MASK_34g (4ea)</v>
          </cell>
          <cell r="D71" t="str">
            <v>34g*4ea</v>
          </cell>
          <cell r="E71">
            <v>30</v>
          </cell>
          <cell r="F71">
            <v>24000</v>
          </cell>
          <cell r="G71">
            <v>0.35899999999999999</v>
          </cell>
          <cell r="H71">
            <v>8616</v>
          </cell>
          <cell r="I71">
            <v>9100</v>
          </cell>
          <cell r="J71">
            <v>5.3186813186813189E-2</v>
          </cell>
        </row>
        <row r="72">
          <cell r="B72">
            <v>8809962541024</v>
          </cell>
          <cell r="C72" t="str">
            <v>ROUND LAB SOYBEAN PANTHENOL TONER_250ml</v>
          </cell>
          <cell r="D72" t="str">
            <v>250ml</v>
          </cell>
          <cell r="E72">
            <v>30</v>
          </cell>
          <cell r="F72">
            <v>25000</v>
          </cell>
          <cell r="G72">
            <v>0.35599999999999998</v>
          </cell>
          <cell r="H72">
            <v>8900</v>
          </cell>
          <cell r="I72">
            <v>9400</v>
          </cell>
          <cell r="J72">
            <v>5.3191489361702128E-2</v>
          </cell>
        </row>
        <row r="73">
          <cell r="B73">
            <v>8809962541963</v>
          </cell>
          <cell r="C73" t="str">
            <v>ROUND LAB SOYBEAN PANTHENOL CLEANSER_150ml</v>
          </cell>
          <cell r="D73" t="str">
            <v>150ml</v>
          </cell>
          <cell r="E73">
            <v>30</v>
          </cell>
          <cell r="F73">
            <v>17000</v>
          </cell>
          <cell r="G73">
            <v>0.36499999999999999</v>
          </cell>
          <cell r="H73">
            <v>6205</v>
          </cell>
          <cell r="I73">
            <v>6550</v>
          </cell>
          <cell r="J73">
            <v>5.2671755725190839E-2</v>
          </cell>
        </row>
        <row r="74">
          <cell r="B74">
            <v>8809962541970</v>
          </cell>
          <cell r="C74" t="str">
            <v>ROUND LAB SOYBEAN PANTHENOL CLEANSING OIL_200ml</v>
          </cell>
          <cell r="D74" t="str">
            <v>200ml</v>
          </cell>
          <cell r="E74">
            <v>40</v>
          </cell>
          <cell r="F74">
            <v>25000</v>
          </cell>
          <cell r="G74">
            <v>0.45600000000000002</v>
          </cell>
          <cell r="H74">
            <v>11400</v>
          </cell>
          <cell r="I74">
            <v>11900</v>
          </cell>
          <cell r="J74">
            <v>4.2016806722689079E-2</v>
          </cell>
        </row>
        <row r="75">
          <cell r="B75">
            <v>8809962542137</v>
          </cell>
          <cell r="C75" t="str">
            <v>ROUND LAB PINE CALMING CICA CREAM PLUS_60ml</v>
          </cell>
          <cell r="D75" t="str">
            <v>60ml</v>
          </cell>
          <cell r="E75">
            <v>60</v>
          </cell>
          <cell r="F75">
            <v>34000</v>
          </cell>
          <cell r="G75">
            <v>0.33200000000000002</v>
          </cell>
          <cell r="H75">
            <v>11288</v>
          </cell>
          <cell r="I75">
            <v>11970</v>
          </cell>
          <cell r="J75">
            <v>5.697577276524645E-2</v>
          </cell>
        </row>
        <row r="76">
          <cell r="B76">
            <v>8809962540805</v>
          </cell>
          <cell r="C76" t="str">
            <v>ROUND LAB ROUND LAB BABY MILD SUNSCREEN_60ml</v>
          </cell>
          <cell r="D76" t="str">
            <v>60ml</v>
          </cell>
          <cell r="E76">
            <v>40</v>
          </cell>
          <cell r="F76">
            <v>26000</v>
          </cell>
          <cell r="G76">
            <v>0.36699999999999999</v>
          </cell>
          <cell r="H76">
            <v>9542</v>
          </cell>
          <cell r="I76">
            <v>10070</v>
          </cell>
          <cell r="J76">
            <v>5.2432969215491558E-2</v>
          </cell>
        </row>
        <row r="77">
          <cell r="B77">
            <v>8809962540812</v>
          </cell>
          <cell r="C77" t="str">
            <v>ROUND LAB ROUND LAB BABY MILD SOOTHING GEL_150ml</v>
          </cell>
          <cell r="D77" t="str">
            <v>150ml</v>
          </cell>
          <cell r="E77">
            <v>40</v>
          </cell>
          <cell r="F77">
            <v>18000</v>
          </cell>
          <cell r="G77">
            <v>0.30499999999999999</v>
          </cell>
          <cell r="H77">
            <v>5490</v>
          </cell>
          <cell r="I77">
            <v>5850</v>
          </cell>
          <cell r="J77">
            <v>6.1538461538461542E-2</v>
          </cell>
        </row>
        <row r="78">
          <cell r="B78">
            <v>8809962541857</v>
          </cell>
          <cell r="C78" t="str">
            <v>ROUND LAB ROUND LAB CAMELLIA DEEP COLLAGEN FIRMING AMPOULE_30ml</v>
          </cell>
          <cell r="D78" t="str">
            <v>30ml</v>
          </cell>
          <cell r="E78">
            <v>60</v>
          </cell>
          <cell r="F78">
            <v>35000</v>
          </cell>
          <cell r="G78">
            <v>0.32300000000000001</v>
          </cell>
          <cell r="H78">
            <v>11305</v>
          </cell>
          <cell r="I78">
            <v>12010</v>
          </cell>
          <cell r="J78">
            <v>5.8701082431307242E-2</v>
          </cell>
        </row>
        <row r="79">
          <cell r="B79">
            <v>8809962541840</v>
          </cell>
          <cell r="C79" t="str">
            <v>ROUND LAB ROUND LAB CAMELLIA DEEP COLLAGEN FIRMING CREAM_50ml</v>
          </cell>
          <cell r="D79" t="str">
            <v>50ml</v>
          </cell>
          <cell r="E79">
            <v>80</v>
          </cell>
          <cell r="F79">
            <v>38000</v>
          </cell>
          <cell r="G79">
            <v>0.30399999999999999</v>
          </cell>
          <cell r="H79">
            <v>11552</v>
          </cell>
          <cell r="I79">
            <v>12320</v>
          </cell>
          <cell r="J79">
            <v>6.2337662337662338E-2</v>
          </cell>
        </row>
        <row r="80">
          <cell r="B80">
            <v>8809962542212</v>
          </cell>
          <cell r="C80" t="str">
            <v>ROUND LAB ROUND LAB CAMELLIA DEEP COLLAGEN FIRMING SUN SERUM_50ml</v>
          </cell>
          <cell r="D80" t="str">
            <v>50ml</v>
          </cell>
          <cell r="E80">
            <v>50</v>
          </cell>
          <cell r="F80">
            <v>28000</v>
          </cell>
          <cell r="G80">
            <v>0.35799999999999998</v>
          </cell>
          <cell r="H80">
            <v>10024</v>
          </cell>
          <cell r="I80">
            <v>10590</v>
          </cell>
          <cell r="J80">
            <v>5.3446647780925401E-2</v>
          </cell>
        </row>
        <row r="81">
          <cell r="B81">
            <v>8809962541635</v>
          </cell>
          <cell r="C81" t="str">
            <v>ROUND LAB FOR MEN PINE CALMING CICA TONER_200ml</v>
          </cell>
          <cell r="D81" t="str">
            <v>200ml</v>
          </cell>
          <cell r="E81">
            <v>50</v>
          </cell>
          <cell r="F81">
            <v>25000</v>
          </cell>
          <cell r="G81">
            <v>0.34</v>
          </cell>
          <cell r="H81">
            <v>8500</v>
          </cell>
          <cell r="I81">
            <v>9000</v>
          </cell>
          <cell r="J81">
            <v>5.5555555555555552E-2</v>
          </cell>
        </row>
        <row r="82">
          <cell r="B82">
            <v>8809962541628</v>
          </cell>
          <cell r="C82" t="str">
            <v>ROUND LAB FOR MEN PINE CALMING CICA LOTION_200ml</v>
          </cell>
          <cell r="D82" t="str">
            <v>200ml</v>
          </cell>
          <cell r="E82">
            <v>50</v>
          </cell>
          <cell r="F82">
            <v>25000</v>
          </cell>
          <cell r="G82">
            <v>0.34</v>
          </cell>
          <cell r="H82">
            <v>8500</v>
          </cell>
          <cell r="I82">
            <v>9000</v>
          </cell>
          <cell r="J82">
            <v>5.5555555555555552E-2</v>
          </cell>
        </row>
        <row r="83">
          <cell r="B83">
            <v>8809962541642</v>
          </cell>
          <cell r="C83" t="str">
            <v>ROUND LAB FOR MEN PINE CALMING CICA CREAM_75ml</v>
          </cell>
          <cell r="D83" t="str">
            <v>75ml</v>
          </cell>
          <cell r="E83">
            <v>50</v>
          </cell>
          <cell r="F83">
            <v>27000</v>
          </cell>
          <cell r="G83">
            <v>0.33</v>
          </cell>
          <cell r="H83">
            <v>8910</v>
          </cell>
          <cell r="I83">
            <v>9450</v>
          </cell>
          <cell r="J83">
            <v>5.7142857142857141E-2</v>
          </cell>
        </row>
        <row r="84">
          <cell r="B84">
            <v>8809962542755</v>
          </cell>
          <cell r="C84" t="str">
            <v>ROUND LAB 1025 DOKDO CLEANSING BALM_50ml (NEW)</v>
          </cell>
          <cell r="D84" t="str">
            <v>50ml</v>
          </cell>
          <cell r="E84">
            <v>40</v>
          </cell>
          <cell r="F84">
            <v>25000</v>
          </cell>
          <cell r="G84">
            <v>0.45400000000000001</v>
          </cell>
          <cell r="H84">
            <v>11350</v>
          </cell>
          <cell r="I84">
            <v>11850</v>
          </cell>
          <cell r="J84">
            <v>4.2194092827004218E-2</v>
          </cell>
        </row>
        <row r="85">
          <cell r="B85">
            <v>8809962540270</v>
          </cell>
          <cell r="C85" t="str">
            <v>ROUND LAB 1025 DOKDO TRIAL KIT (Cleanser 30ml + Toner 20ml + 
Ampule 10ml + Cream 20ml)</v>
          </cell>
          <cell r="D85" t="str">
            <v>KIT</v>
          </cell>
          <cell r="E85">
            <v>20</v>
          </cell>
          <cell r="F85">
            <v>25000</v>
          </cell>
          <cell r="G85">
            <v>0.32600000000000001</v>
          </cell>
          <cell r="H85">
            <v>8150</v>
          </cell>
          <cell r="I85">
            <v>8650</v>
          </cell>
          <cell r="J85">
            <v>5.7803468208092484E-2</v>
          </cell>
        </row>
        <row r="86">
          <cell r="B86">
            <v>8809962540713</v>
          </cell>
          <cell r="C86" t="str">
            <v>ROUND LAB BIRCH JUICE HAND CREAM 30ml</v>
          </cell>
          <cell r="D86" t="str">
            <v>30ml</v>
          </cell>
          <cell r="E86">
            <v>80</v>
          </cell>
          <cell r="F86">
            <v>12000</v>
          </cell>
          <cell r="H86">
            <v>2820</v>
          </cell>
          <cell r="I86">
            <v>3250</v>
          </cell>
          <cell r="J86">
            <v>0.13230769230769232</v>
          </cell>
        </row>
        <row r="87">
          <cell r="B87">
            <v>8809962540287</v>
          </cell>
          <cell r="C87" t="str">
            <v>ROUND LAB BIRCH JUICE TRIAL KIT (Cleanser 30ml + Toner 20ml + 
Ampoule 10ml + Cream 20ml)</v>
          </cell>
          <cell r="D87" t="str">
            <v>KIT</v>
          </cell>
          <cell r="E87">
            <v>20</v>
          </cell>
          <cell r="F87">
            <v>25000</v>
          </cell>
          <cell r="G87">
            <v>0.30599999999999999</v>
          </cell>
          <cell r="H87">
            <v>7650</v>
          </cell>
          <cell r="I87">
            <v>8150</v>
          </cell>
          <cell r="J87">
            <v>6.1349693251533742E-2</v>
          </cell>
        </row>
        <row r="88">
          <cell r="B88">
            <v>8809962542397</v>
          </cell>
          <cell r="C88" t="str">
            <v>ROUND LAB BIRCH JUICE MOISTURIZING DOUBLE GEL MASK 23ml(10ea)</v>
          </cell>
          <cell r="D88" t="str">
            <v>23ml*10ea</v>
          </cell>
          <cell r="E88">
            <v>30</v>
          </cell>
          <cell r="F88">
            <v>30000</v>
          </cell>
          <cell r="G88">
            <v>0.32</v>
          </cell>
          <cell r="H88">
            <v>9600</v>
          </cell>
          <cell r="I88">
            <v>10200</v>
          </cell>
          <cell r="J88">
            <v>5.8823529411764705E-2</v>
          </cell>
        </row>
        <row r="89">
          <cell r="B89">
            <v>8809962542489</v>
          </cell>
          <cell r="C89" t="str">
            <v>ROUND LAB BIRCH JUICE MOISTURIZING LIP BALM</v>
          </cell>
          <cell r="D89" t="str">
            <v>20g</v>
          </cell>
          <cell r="E89">
            <v>40</v>
          </cell>
          <cell r="F89">
            <v>19000</v>
          </cell>
          <cell r="G89">
            <v>0.439</v>
          </cell>
          <cell r="H89">
            <v>8341</v>
          </cell>
          <cell r="I89">
            <v>8730</v>
          </cell>
          <cell r="J89">
            <v>4.4558991981672395E-2</v>
          </cell>
        </row>
        <row r="90">
          <cell r="B90">
            <v>8809962542496</v>
          </cell>
          <cell r="C90" t="str">
            <v>ROUND LAB BIRCH JUICE MOISTURIZING LIP BALM SET(+BRUSH)</v>
          </cell>
          <cell r="D90" t="str">
            <v>SET</v>
          </cell>
          <cell r="E90">
            <v>50</v>
          </cell>
          <cell r="F90">
            <v>21000</v>
          </cell>
          <cell r="G90">
            <v>0.45100000000000001</v>
          </cell>
          <cell r="H90">
            <v>9471</v>
          </cell>
          <cell r="I90">
            <v>9900</v>
          </cell>
          <cell r="J90">
            <v>4.3333333333333335E-2</v>
          </cell>
        </row>
        <row r="91">
          <cell r="B91">
            <v>8809962540294</v>
          </cell>
          <cell r="C91" t="str">
            <v>ROUND LAB PINE CALMING CICA TRIAL KIT (Cleanser 30ml + Toner 20ml +
 Ampoule 10ml + Cream 20ml)</v>
          </cell>
          <cell r="D91" t="str">
            <v>KIT</v>
          </cell>
          <cell r="E91">
            <v>20</v>
          </cell>
          <cell r="F91">
            <v>25000</v>
          </cell>
          <cell r="G91">
            <v>0.316</v>
          </cell>
          <cell r="H91">
            <v>7900</v>
          </cell>
          <cell r="I91">
            <v>8400</v>
          </cell>
          <cell r="J91">
            <v>5.9523809523809521E-2</v>
          </cell>
        </row>
        <row r="92">
          <cell r="B92">
            <v>8809962542403</v>
          </cell>
          <cell r="C92" t="str">
            <v>ROUND LAB PINE CALMING CICA SUNSCREEN 40ml</v>
          </cell>
          <cell r="D92" t="str">
            <v>40ml</v>
          </cell>
          <cell r="E92">
            <v>50</v>
          </cell>
          <cell r="F92">
            <v>24000</v>
          </cell>
          <cell r="G92">
            <v>0.38300000000000001</v>
          </cell>
          <cell r="H92">
            <v>9192</v>
          </cell>
          <cell r="I92">
            <v>9680</v>
          </cell>
          <cell r="J92">
            <v>5.0413223140495865E-2</v>
          </cell>
        </row>
        <row r="93">
          <cell r="B93">
            <v>8809962541048</v>
          </cell>
          <cell r="C93" t="str">
            <v>ROUND LAB BABY MILD SUN STICK 21g</v>
          </cell>
          <cell r="D93" t="str">
            <v>21g</v>
          </cell>
          <cell r="E93">
            <v>50</v>
          </cell>
          <cell r="F93">
            <v>26000</v>
          </cell>
          <cell r="G93">
            <v>0.317</v>
          </cell>
          <cell r="H93">
            <v>8242</v>
          </cell>
          <cell r="I93">
            <v>8770</v>
          </cell>
          <cell r="J93">
            <v>6.0205245153933863E-2</v>
          </cell>
        </row>
        <row r="94">
          <cell r="B94">
            <v>8809962541031</v>
          </cell>
          <cell r="C94" t="str">
            <v>ROUND LAB BABY MILD SUN CUSHION 16g</v>
          </cell>
          <cell r="D94" t="str">
            <v>16g</v>
          </cell>
          <cell r="E94">
            <v>100</v>
          </cell>
          <cell r="F94">
            <v>28000</v>
          </cell>
          <cell r="G94">
            <v>0.31</v>
          </cell>
          <cell r="H94">
            <v>8680</v>
          </cell>
          <cell r="I94">
            <v>9240</v>
          </cell>
          <cell r="J94">
            <v>6.0606060606060608E-2</v>
          </cell>
        </row>
        <row r="95">
          <cell r="B95">
            <v>8809962541284</v>
          </cell>
          <cell r="C95" t="str">
            <v>ROUND LAB BABY MILD CREAM 200ml</v>
          </cell>
          <cell r="D95" t="str">
            <v>200ml</v>
          </cell>
          <cell r="E95">
            <v>40</v>
          </cell>
          <cell r="F95">
            <v>32000</v>
          </cell>
          <cell r="G95">
            <v>0.33300000000000002</v>
          </cell>
          <cell r="H95">
            <v>10656</v>
          </cell>
          <cell r="I95">
            <v>11300</v>
          </cell>
          <cell r="J95">
            <v>5.6991150442477878E-2</v>
          </cell>
        </row>
        <row r="96">
          <cell r="B96">
            <v>8809962542861</v>
          </cell>
          <cell r="C96" t="str">
            <v>ROUND LAB CAMELLIA DEEP COLLAGEN JELLY MASK CLEANSER 150ml</v>
          </cell>
          <cell r="D96" t="str">
            <v>150ml</v>
          </cell>
          <cell r="E96">
            <v>50</v>
          </cell>
          <cell r="F96">
            <v>24000</v>
          </cell>
          <cell r="G96">
            <v>0.33700000000000002</v>
          </cell>
          <cell r="H96">
            <v>8088.0000000000009</v>
          </cell>
          <cell r="I96">
            <v>8570</v>
          </cell>
          <cell r="J96">
            <v>5.6242707117852869E-2</v>
          </cell>
        </row>
        <row r="97">
          <cell r="B97">
            <v>8809962540553</v>
          </cell>
          <cell r="C97" t="str">
            <v>ROUND LAB STICK POUCH KIT</v>
          </cell>
          <cell r="D97" t="str">
            <v>KIT</v>
          </cell>
          <cell r="E97">
            <v>100</v>
          </cell>
          <cell r="F97">
            <v>10000</v>
          </cell>
          <cell r="G97">
            <v>0.52200000000000002</v>
          </cell>
          <cell r="H97">
            <v>5220</v>
          </cell>
          <cell r="I97">
            <v>5420</v>
          </cell>
          <cell r="J97">
            <v>3.6900369003690037E-2</v>
          </cell>
        </row>
        <row r="98">
          <cell r="B98">
            <v>8809962542441</v>
          </cell>
          <cell r="C98" t="str">
            <v>ROUND LAB BIRCH JUICE MOISTURIZING EYE BALM 10g</v>
          </cell>
          <cell r="D98" t="str">
            <v>10g</v>
          </cell>
          <cell r="E98">
            <v>80</v>
          </cell>
          <cell r="F98">
            <v>22000</v>
          </cell>
          <cell r="G98">
            <v>0.41199999999999998</v>
          </cell>
          <cell r="H98">
            <v>9064</v>
          </cell>
          <cell r="I98">
            <v>9510</v>
          </cell>
          <cell r="J98">
            <v>4.6898002103049424E-2</v>
          </cell>
          <cell r="K98" t="str">
            <v>NEW</v>
          </cell>
        </row>
        <row r="99">
          <cell r="B99">
            <v>8809962543127</v>
          </cell>
          <cell r="C99" t="str">
            <v>ROUND LAB BIRCH JUICE MOISTURIZING INTENSIVE CREAM 50ml</v>
          </cell>
          <cell r="D99" t="str">
            <v>50ml</v>
          </cell>
          <cell r="E99">
            <v>60</v>
          </cell>
          <cell r="F99">
            <v>40000</v>
          </cell>
          <cell r="G99">
            <v>0.32</v>
          </cell>
          <cell r="H99">
            <v>12800</v>
          </cell>
          <cell r="I99">
            <v>13600</v>
          </cell>
          <cell r="J99">
            <v>5.8823529411764705E-2</v>
          </cell>
          <cell r="K99" t="str">
            <v>NEW</v>
          </cell>
        </row>
        <row r="100">
          <cell r="B100">
            <v>8809962542885</v>
          </cell>
          <cell r="C100" t="str">
            <v>ROUND LAB BIRCH JUICE MOISTURIZING PEELING CLEANSING OIL 200ml</v>
          </cell>
          <cell r="D100" t="str">
            <v>200ml</v>
          </cell>
          <cell r="E100">
            <v>40</v>
          </cell>
          <cell r="F100">
            <v>25000</v>
          </cell>
          <cell r="G100">
            <v>0.47399999999999998</v>
          </cell>
          <cell r="H100">
            <v>11850</v>
          </cell>
          <cell r="I100">
            <v>12350</v>
          </cell>
          <cell r="J100">
            <v>4.048582995951417E-2</v>
          </cell>
          <cell r="K100" t="str">
            <v>NEW</v>
          </cell>
        </row>
        <row r="101">
          <cell r="B101">
            <v>8809962544612</v>
          </cell>
          <cell r="C101" t="str">
            <v>ROUND LAB BIRCH JUICE MOISTURIZING SUN SPRAY 100ml</v>
          </cell>
          <cell r="D101" t="str">
            <v>100ml</v>
          </cell>
          <cell r="E101">
            <v>50</v>
          </cell>
          <cell r="F101">
            <v>22000</v>
          </cell>
          <cell r="G101">
            <v>0.44400000000000001</v>
          </cell>
          <cell r="H101">
            <v>9768</v>
          </cell>
          <cell r="I101">
            <v>10210</v>
          </cell>
          <cell r="J101">
            <v>4.3290891283055827E-2</v>
          </cell>
          <cell r="K101" t="str">
            <v>NEW</v>
          </cell>
        </row>
        <row r="102">
          <cell r="B102">
            <v>8809962543622</v>
          </cell>
          <cell r="C102" t="str">
            <v>ROUND LAB SOYBEAN QLA BARRIER CREAM 80ml</v>
          </cell>
          <cell r="D102" t="str">
            <v>80ml</v>
          </cell>
          <cell r="E102">
            <v>40</v>
          </cell>
          <cell r="F102">
            <v>36000</v>
          </cell>
          <cell r="G102">
            <v>0.34</v>
          </cell>
          <cell r="H102">
            <v>12240</v>
          </cell>
          <cell r="I102">
            <v>12960</v>
          </cell>
          <cell r="J102">
            <v>5.5555555555555552E-2</v>
          </cell>
          <cell r="K102" t="str">
            <v>NEW</v>
          </cell>
        </row>
        <row r="103">
          <cell r="B103">
            <v>8809962542793</v>
          </cell>
          <cell r="C103" t="str">
            <v>ROUND LAB PINE CICA DEEP PORE CLAY MASK CLEANSER_150ml</v>
          </cell>
          <cell r="D103" t="str">
            <v>150ml</v>
          </cell>
          <cell r="E103">
            <v>50</v>
          </cell>
          <cell r="F103">
            <v>24000</v>
          </cell>
          <cell r="G103">
            <v>0.33700000000000002</v>
          </cell>
          <cell r="H103">
            <v>8088.0000000000009</v>
          </cell>
          <cell r="I103">
            <v>8570</v>
          </cell>
          <cell r="J103">
            <v>5.6242707117852869E-2</v>
          </cell>
          <cell r="K103" t="str">
            <v>NEW</v>
          </cell>
        </row>
        <row r="104">
          <cell r="B104">
            <v>8809962543103</v>
          </cell>
          <cell r="C104" t="str">
            <v>ROUND LAB PINE CALMING CICA MILD UP SUNSCREEN 40ml</v>
          </cell>
          <cell r="D104" t="str">
            <v>40ml</v>
          </cell>
          <cell r="E104">
            <v>50</v>
          </cell>
          <cell r="F104">
            <v>24000</v>
          </cell>
          <cell r="G104">
            <v>0.38300000000000001</v>
          </cell>
          <cell r="H104">
            <v>9192</v>
          </cell>
          <cell r="I104">
            <v>9680</v>
          </cell>
          <cell r="J104">
            <v>5.0413223140495865E-2</v>
          </cell>
          <cell r="K104" t="str">
            <v>NEW</v>
          </cell>
        </row>
        <row r="105">
          <cell r="B105">
            <v>8809962543097</v>
          </cell>
          <cell r="C105" t="str">
            <v>ROUND LAB PINE CALMING CICA AIRY SUN STICK 19g</v>
          </cell>
          <cell r="D105" t="str">
            <v>19g</v>
          </cell>
          <cell r="E105">
            <v>50</v>
          </cell>
          <cell r="F105">
            <v>24000</v>
          </cell>
          <cell r="G105">
            <v>0.36199999999999999</v>
          </cell>
          <cell r="H105">
            <v>8688</v>
          </cell>
          <cell r="I105">
            <v>9170</v>
          </cell>
          <cell r="J105">
            <v>5.2562704471101417E-2</v>
          </cell>
          <cell r="K105" t="str">
            <v>NEW</v>
          </cell>
        </row>
        <row r="106">
          <cell r="B106">
            <v>8809962541475</v>
          </cell>
          <cell r="C106" t="str">
            <v>ROUND LAB PINE CALMING CICA SCALP AMPOULE 15ml</v>
          </cell>
          <cell r="D106" t="str">
            <v>15ml</v>
          </cell>
          <cell r="E106">
            <v>80</v>
          </cell>
          <cell r="F106">
            <v>23000</v>
          </cell>
          <cell r="G106">
            <v>0.375</v>
          </cell>
          <cell r="H106">
            <v>8625</v>
          </cell>
          <cell r="I106">
            <v>9090</v>
          </cell>
          <cell r="J106">
            <v>5.1155115511551157E-2</v>
          </cell>
          <cell r="K106" t="str">
            <v>NEW</v>
          </cell>
        </row>
        <row r="107">
          <cell r="B107">
            <v>8809962541345</v>
          </cell>
          <cell r="C107" t="str">
            <v>ROUND LAB PINE CALMING CICA SHAMPOO 400ml</v>
          </cell>
          <cell r="D107" t="str">
            <v>400ml</v>
          </cell>
          <cell r="E107">
            <v>30</v>
          </cell>
          <cell r="F107">
            <v>24000</v>
          </cell>
          <cell r="G107">
            <v>0.36199999999999999</v>
          </cell>
          <cell r="H107">
            <v>8688</v>
          </cell>
          <cell r="I107">
            <v>9170</v>
          </cell>
          <cell r="J107">
            <v>5.2562704471101417E-2</v>
          </cell>
          <cell r="K107" t="str">
            <v>NEW</v>
          </cell>
        </row>
        <row r="108">
          <cell r="B108">
            <v>8809962541352</v>
          </cell>
          <cell r="C108" t="str">
            <v>ROUND LAB PINE CALMING CICA SCALP TONIC 100ml</v>
          </cell>
          <cell r="D108" t="str">
            <v>100ml</v>
          </cell>
          <cell r="E108">
            <v>40</v>
          </cell>
          <cell r="F108">
            <v>21000</v>
          </cell>
          <cell r="G108">
            <v>0.29899999999999999</v>
          </cell>
          <cell r="H108">
            <v>6279</v>
          </cell>
          <cell r="I108">
            <v>6700</v>
          </cell>
          <cell r="J108">
            <v>6.2835820895522393E-2</v>
          </cell>
          <cell r="K108" t="str">
            <v>NEW</v>
          </cell>
        </row>
        <row r="109">
          <cell r="B109">
            <v>8809849803979</v>
          </cell>
          <cell r="C109" t="str">
            <v>ROUND LAB PINE CALMING CICA NOSE PACK (5ea)</v>
          </cell>
          <cell r="D109" t="str">
            <v>5ea</v>
          </cell>
          <cell r="E109">
            <v>40</v>
          </cell>
          <cell r="F109">
            <v>16500</v>
          </cell>
          <cell r="G109">
            <v>0.313</v>
          </cell>
          <cell r="H109">
            <v>5164.5</v>
          </cell>
          <cell r="I109">
            <v>5500</v>
          </cell>
          <cell r="J109">
            <v>6.0999999999999999E-2</v>
          </cell>
          <cell r="K109" t="str">
            <v>NEW</v>
          </cell>
        </row>
        <row r="110">
          <cell r="B110">
            <v>8809962542892</v>
          </cell>
          <cell r="C110" t="str">
            <v>ROUND LAB PINE CICA DEEP PORE CLEANSING OIL 200ml</v>
          </cell>
          <cell r="D110" t="str">
            <v>200ml</v>
          </cell>
          <cell r="E110">
            <v>40</v>
          </cell>
          <cell r="F110">
            <v>27000</v>
          </cell>
          <cell r="G110">
            <v>0.42599999999999999</v>
          </cell>
          <cell r="H110">
            <v>11502</v>
          </cell>
          <cell r="I110">
            <v>12050</v>
          </cell>
          <cell r="J110">
            <v>4.5477178423236515E-2</v>
          </cell>
          <cell r="K110" t="str">
            <v>NEW</v>
          </cell>
        </row>
        <row r="111">
          <cell r="B111">
            <v>8809962544353</v>
          </cell>
          <cell r="C111" t="str">
            <v>ROUND LAB PINE CALMING CICA PRIMER SUNSCREEN 50ml</v>
          </cell>
          <cell r="D111" t="str">
            <v>50ml</v>
          </cell>
          <cell r="E111">
            <v>60</v>
          </cell>
          <cell r="F111">
            <v>28000</v>
          </cell>
          <cell r="G111">
            <v>0.41</v>
          </cell>
          <cell r="H111">
            <v>11480</v>
          </cell>
          <cell r="I111">
            <v>12040</v>
          </cell>
          <cell r="J111">
            <v>4.6511627906976744E-2</v>
          </cell>
          <cell r="K111" t="str">
            <v>NEW</v>
          </cell>
        </row>
        <row r="112">
          <cell r="B112">
            <v>8809962542946</v>
          </cell>
          <cell r="C112" t="str">
            <v>ROUND LAB VITA NIACINAMIDE GLOW CAPSULE CREAM 50ml</v>
          </cell>
          <cell r="D112" t="str">
            <v>50ml</v>
          </cell>
          <cell r="E112">
            <v>80</v>
          </cell>
          <cell r="F112">
            <v>38000</v>
          </cell>
          <cell r="G112">
            <v>0.307</v>
          </cell>
          <cell r="H112">
            <v>11666</v>
          </cell>
          <cell r="I112">
            <v>12430</v>
          </cell>
          <cell r="J112">
            <v>6.1464199517296862E-2</v>
          </cell>
          <cell r="K112" t="str">
            <v>NEW</v>
          </cell>
        </row>
        <row r="113">
          <cell r="B113">
            <v>8809962542366</v>
          </cell>
          <cell r="C113" t="str">
            <v>ROUND LAB CAMELLIA DEEP COLLAGEN V LIFTING GEL MASK 10g(4ea)</v>
          </cell>
          <cell r="D113" t="str">
            <v>4ea</v>
          </cell>
          <cell r="E113">
            <v>30</v>
          </cell>
          <cell r="F113">
            <v>28000</v>
          </cell>
          <cell r="G113">
            <v>0.34499999999999997</v>
          </cell>
          <cell r="H113">
            <v>9660</v>
          </cell>
          <cell r="I113">
            <v>10220</v>
          </cell>
          <cell r="J113">
            <v>5.4794520547945202E-2</v>
          </cell>
          <cell r="K113" t="str">
            <v>NEW</v>
          </cell>
        </row>
        <row r="114">
          <cell r="B114">
            <v>8809962544162</v>
          </cell>
          <cell r="C114" t="str">
            <v>ROUND LAB CAMELLIA DEEP COLLAGEN EYE CREAM 30ml</v>
          </cell>
          <cell r="D114" t="str">
            <v>30ml</v>
          </cell>
          <cell r="E114">
            <v>100</v>
          </cell>
          <cell r="F114">
            <v>28000</v>
          </cell>
          <cell r="G114">
            <v>0.35499999999999998</v>
          </cell>
          <cell r="H114">
            <v>9940</v>
          </cell>
          <cell r="I114">
            <v>10500</v>
          </cell>
          <cell r="J114">
            <v>5.3333333333333337E-2</v>
          </cell>
          <cell r="K114" t="str">
            <v>NEW</v>
          </cell>
        </row>
        <row r="115">
          <cell r="B115">
            <v>8809962543547</v>
          </cell>
          <cell r="C115" t="str">
            <v>ROUND LAB CAMELLIA DEEP COLLAGEN MILKY PDRN TONER 150ml</v>
          </cell>
          <cell r="D115" t="str">
            <v>150ml</v>
          </cell>
          <cell r="E115">
            <v>50</v>
          </cell>
          <cell r="F115">
            <v>28000</v>
          </cell>
          <cell r="G115">
            <v>0.35599999999999998</v>
          </cell>
          <cell r="H115">
            <v>9968</v>
          </cell>
          <cell r="I115">
            <v>10530</v>
          </cell>
          <cell r="J115">
            <v>5.3371320037986704E-2</v>
          </cell>
          <cell r="K115" t="str">
            <v>NEW</v>
          </cell>
        </row>
        <row r="116">
          <cell r="B116">
            <v>8809962543646</v>
          </cell>
          <cell r="C116" t="str">
            <v>ROUND LAB CAMELLIA DEEP COLLAGEN LIFTING GUA SHA CREAM 60ml</v>
          </cell>
          <cell r="D116" t="str">
            <v>60ml</v>
          </cell>
          <cell r="E116">
            <v>40</v>
          </cell>
          <cell r="F116">
            <v>23000</v>
          </cell>
          <cell r="G116">
            <v>0.499</v>
          </cell>
          <cell r="H116">
            <v>11477</v>
          </cell>
          <cell r="I116">
            <v>11940</v>
          </cell>
          <cell r="J116">
            <v>3.877721943048576E-2</v>
          </cell>
          <cell r="K116" t="str">
            <v>NEW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8"/>
  <sheetViews>
    <sheetView showGridLines="0" tabSelected="1" zoomScaleNormal="100" workbookViewId="0">
      <pane ySplit="3" topLeftCell="A4" activePane="bottomLeft" state="frozen"/>
      <selection pane="bottomLeft" activeCell="J108" sqref="J108"/>
    </sheetView>
  </sheetViews>
  <sheetFormatPr defaultColWidth="9" defaultRowHeight="20.25" customHeight="1" x14ac:dyDescent="0.3"/>
  <cols>
    <col min="1" max="1" width="17.875" style="16" bestFit="1" customWidth="1"/>
    <col min="2" max="2" width="66.25" style="13" customWidth="1"/>
    <col min="3" max="3" width="63.75" style="13" customWidth="1"/>
    <col min="4" max="4" width="12.625" style="13" customWidth="1"/>
    <col min="5" max="5" width="13.125" style="25" customWidth="1"/>
    <col min="6" max="6" width="14.375" style="26" customWidth="1"/>
    <col min="7" max="7" width="9.875" style="13" bestFit="1" customWidth="1"/>
    <col min="8" max="8" width="9" style="55"/>
    <col min="9" max="16384" width="9" style="13"/>
  </cols>
  <sheetData>
    <row r="2" spans="1:8" ht="20.25" customHeight="1" thickBot="1" x14ac:dyDescent="0.35">
      <c r="A2" s="15" t="s">
        <v>0</v>
      </c>
      <c r="B2" s="11"/>
      <c r="C2" s="11"/>
      <c r="D2" s="12"/>
      <c r="E2" s="23"/>
      <c r="F2" s="24"/>
      <c r="G2" s="12"/>
    </row>
    <row r="3" spans="1:8" s="16" customFormat="1" ht="33.75" customHeight="1" thickBot="1" x14ac:dyDescent="0.35">
      <c r="A3" s="36" t="s">
        <v>231</v>
      </c>
      <c r="B3" s="37" t="s">
        <v>232</v>
      </c>
      <c r="C3" s="37" t="s">
        <v>233</v>
      </c>
      <c r="D3" s="38" t="s">
        <v>234</v>
      </c>
      <c r="E3" s="39" t="s">
        <v>235</v>
      </c>
      <c r="F3" s="40" t="s">
        <v>236</v>
      </c>
      <c r="G3" s="41" t="s">
        <v>237</v>
      </c>
      <c r="H3" s="55"/>
    </row>
    <row r="4" spans="1:8" ht="20.25" customHeight="1" x14ac:dyDescent="0.3">
      <c r="A4" s="42">
        <v>8809657115387</v>
      </c>
      <c r="B4" s="31" t="s">
        <v>226</v>
      </c>
      <c r="C4" s="32" t="s">
        <v>1</v>
      </c>
      <c r="D4" s="33">
        <v>96</v>
      </c>
      <c r="E4" s="34">
        <v>11800</v>
      </c>
      <c r="F4" s="35">
        <v>5260</v>
      </c>
      <c r="G4" s="43">
        <f>F4/E4</f>
        <v>0.4457627118644068</v>
      </c>
    </row>
    <row r="5" spans="1:8" ht="20.25" customHeight="1" x14ac:dyDescent="0.3">
      <c r="A5" s="44">
        <v>8809657114731</v>
      </c>
      <c r="B5" s="1" t="s">
        <v>2</v>
      </c>
      <c r="C5" s="2" t="s">
        <v>3</v>
      </c>
      <c r="D5" s="3">
        <v>30</v>
      </c>
      <c r="E5" s="27">
        <v>15000</v>
      </c>
      <c r="F5" s="30">
        <v>7200</v>
      </c>
      <c r="G5" s="45">
        <f t="shared" ref="G5:G68" si="0">F5/E5</f>
        <v>0.48</v>
      </c>
    </row>
    <row r="6" spans="1:8" ht="20.25" customHeight="1" x14ac:dyDescent="0.3">
      <c r="A6" s="44">
        <v>8809657114748</v>
      </c>
      <c r="B6" s="20" t="s">
        <v>199</v>
      </c>
      <c r="C6" s="2" t="s">
        <v>4</v>
      </c>
      <c r="D6" s="3">
        <v>30</v>
      </c>
      <c r="E6" s="27">
        <v>30000</v>
      </c>
      <c r="F6" s="30">
        <v>14220</v>
      </c>
      <c r="G6" s="45">
        <f t="shared" si="0"/>
        <v>0.47399999999999998</v>
      </c>
    </row>
    <row r="7" spans="1:8" ht="20.25" customHeight="1" x14ac:dyDescent="0.3">
      <c r="A7" s="46">
        <v>8809657114779</v>
      </c>
      <c r="B7" s="1" t="s">
        <v>5</v>
      </c>
      <c r="C7" s="2" t="s">
        <v>6</v>
      </c>
      <c r="D7" s="3">
        <v>30</v>
      </c>
      <c r="E7" s="27">
        <v>20000</v>
      </c>
      <c r="F7" s="30">
        <v>9620</v>
      </c>
      <c r="G7" s="45">
        <f t="shared" si="0"/>
        <v>0.48099999999999998</v>
      </c>
    </row>
    <row r="8" spans="1:8" ht="20.25" customHeight="1" x14ac:dyDescent="0.3">
      <c r="A8" s="44">
        <v>8809738600245</v>
      </c>
      <c r="B8" s="1" t="s">
        <v>7</v>
      </c>
      <c r="C8" s="2" t="s">
        <v>8</v>
      </c>
      <c r="D8" s="3">
        <v>80</v>
      </c>
      <c r="E8" s="27">
        <v>32000</v>
      </c>
      <c r="F8" s="30">
        <v>12870</v>
      </c>
      <c r="G8" s="45">
        <f t="shared" si="0"/>
        <v>0.40218749999999998</v>
      </c>
    </row>
    <row r="9" spans="1:8" ht="20.25" customHeight="1" x14ac:dyDescent="0.3">
      <c r="A9" s="44">
        <v>8809738608364</v>
      </c>
      <c r="B9" s="4" t="s">
        <v>9</v>
      </c>
      <c r="C9" s="2" t="s">
        <v>10</v>
      </c>
      <c r="D9" s="3">
        <v>30</v>
      </c>
      <c r="E9" s="27">
        <v>13000</v>
      </c>
      <c r="F9" s="30">
        <v>6270</v>
      </c>
      <c r="G9" s="45">
        <f t="shared" si="0"/>
        <v>0.48230769230769233</v>
      </c>
    </row>
    <row r="10" spans="1:8" ht="20.25" customHeight="1" x14ac:dyDescent="0.3">
      <c r="A10" s="44">
        <v>8809738605677</v>
      </c>
      <c r="B10" s="4" t="s">
        <v>11</v>
      </c>
      <c r="C10" s="2" t="s">
        <v>12</v>
      </c>
      <c r="D10" s="3">
        <v>30</v>
      </c>
      <c r="E10" s="27">
        <v>23000</v>
      </c>
      <c r="F10" s="30">
        <v>11230</v>
      </c>
      <c r="G10" s="45">
        <f t="shared" si="0"/>
        <v>0.48826086956521741</v>
      </c>
    </row>
    <row r="11" spans="1:8" ht="20.25" customHeight="1" x14ac:dyDescent="0.3">
      <c r="A11" s="44">
        <v>8809657115639</v>
      </c>
      <c r="B11" s="4" t="s">
        <v>13</v>
      </c>
      <c r="C11" s="2" t="s">
        <v>14</v>
      </c>
      <c r="D11" s="3">
        <v>50</v>
      </c>
      <c r="E11" s="27">
        <v>21000</v>
      </c>
      <c r="F11" s="30">
        <v>10110</v>
      </c>
      <c r="G11" s="45">
        <f t="shared" si="0"/>
        <v>0.48142857142857143</v>
      </c>
    </row>
    <row r="12" spans="1:8" ht="20.25" customHeight="1" x14ac:dyDescent="0.3">
      <c r="A12" s="44">
        <v>8809657115479</v>
      </c>
      <c r="B12" s="4" t="s">
        <v>15</v>
      </c>
      <c r="C12" s="2" t="s">
        <v>16</v>
      </c>
      <c r="D12" s="7">
        <v>100</v>
      </c>
      <c r="E12" s="27">
        <v>28000</v>
      </c>
      <c r="F12" s="30">
        <v>10670</v>
      </c>
      <c r="G12" s="45">
        <f t="shared" si="0"/>
        <v>0.38107142857142856</v>
      </c>
    </row>
    <row r="13" spans="1:8" ht="20.25" customHeight="1" x14ac:dyDescent="0.3">
      <c r="A13" s="44">
        <v>8809738604755</v>
      </c>
      <c r="B13" s="4" t="s">
        <v>17</v>
      </c>
      <c r="C13" s="2" t="s">
        <v>18</v>
      </c>
      <c r="D13" s="7">
        <v>30</v>
      </c>
      <c r="E13" s="27">
        <v>17000</v>
      </c>
      <c r="F13" s="30">
        <v>7740</v>
      </c>
      <c r="G13" s="45">
        <f t="shared" si="0"/>
        <v>0.45529411764705885</v>
      </c>
    </row>
    <row r="14" spans="1:8" ht="20.25" customHeight="1" x14ac:dyDescent="0.3">
      <c r="A14" s="44">
        <v>8809743540710</v>
      </c>
      <c r="B14" s="1" t="s">
        <v>19</v>
      </c>
      <c r="C14" s="2" t="s">
        <v>20</v>
      </c>
      <c r="D14" s="7">
        <v>20</v>
      </c>
      <c r="E14" s="27">
        <v>40000</v>
      </c>
      <c r="F14" s="30">
        <v>12000</v>
      </c>
      <c r="G14" s="45">
        <f t="shared" si="0"/>
        <v>0.3</v>
      </c>
    </row>
    <row r="15" spans="1:8" ht="20.25" customHeight="1" x14ac:dyDescent="0.3">
      <c r="A15" s="44">
        <v>8809738591154</v>
      </c>
      <c r="B15" s="1" t="s">
        <v>21</v>
      </c>
      <c r="C15" s="2" t="s">
        <v>22</v>
      </c>
      <c r="D15" s="7">
        <v>30</v>
      </c>
      <c r="E15" s="27">
        <v>32000</v>
      </c>
      <c r="F15" s="30">
        <v>13760</v>
      </c>
      <c r="G15" s="45">
        <f t="shared" si="0"/>
        <v>0.43</v>
      </c>
    </row>
    <row r="16" spans="1:8" ht="20.25" customHeight="1" x14ac:dyDescent="0.3">
      <c r="A16" s="44">
        <v>8809962542755</v>
      </c>
      <c r="B16" s="20" t="s">
        <v>158</v>
      </c>
      <c r="C16" s="2" t="s">
        <v>23</v>
      </c>
      <c r="D16" s="7">
        <v>40</v>
      </c>
      <c r="E16" s="27">
        <v>25000</v>
      </c>
      <c r="F16" s="30">
        <v>11850</v>
      </c>
      <c r="G16" s="45">
        <f t="shared" si="0"/>
        <v>0.47399999999999998</v>
      </c>
    </row>
    <row r="17" spans="1:7" ht="20.25" customHeight="1" x14ac:dyDescent="0.3">
      <c r="A17" s="44">
        <v>8809743542684</v>
      </c>
      <c r="B17" s="20" t="s">
        <v>159</v>
      </c>
      <c r="C17" s="2" t="s">
        <v>24</v>
      </c>
      <c r="D17" s="7">
        <v>30</v>
      </c>
      <c r="E17" s="27">
        <v>24000</v>
      </c>
      <c r="F17" s="30">
        <v>11720</v>
      </c>
      <c r="G17" s="45">
        <f t="shared" si="0"/>
        <v>0.48833333333333334</v>
      </c>
    </row>
    <row r="18" spans="1:7" ht="20.25" customHeight="1" x14ac:dyDescent="0.3">
      <c r="A18" s="44">
        <v>8809738599044</v>
      </c>
      <c r="B18" s="20" t="s">
        <v>160</v>
      </c>
      <c r="C18" s="2" t="s">
        <v>25</v>
      </c>
      <c r="D18" s="7">
        <v>30</v>
      </c>
      <c r="E18" s="27">
        <v>15000</v>
      </c>
      <c r="F18" s="30">
        <v>7110</v>
      </c>
      <c r="G18" s="45">
        <f t="shared" si="0"/>
        <v>0.47399999999999998</v>
      </c>
    </row>
    <row r="19" spans="1:7" ht="20.25" customHeight="1" x14ac:dyDescent="0.3">
      <c r="A19" s="44">
        <v>8809657129247</v>
      </c>
      <c r="B19" s="1" t="s">
        <v>26</v>
      </c>
      <c r="C19" s="9" t="s">
        <v>27</v>
      </c>
      <c r="D19" s="10">
        <v>40</v>
      </c>
      <c r="E19" s="28">
        <v>24000</v>
      </c>
      <c r="F19" s="30">
        <v>11720</v>
      </c>
      <c r="G19" s="45">
        <f t="shared" si="0"/>
        <v>0.48833333333333334</v>
      </c>
    </row>
    <row r="20" spans="1:7" ht="20.25" customHeight="1" x14ac:dyDescent="0.3">
      <c r="A20" s="44">
        <v>8809657114632</v>
      </c>
      <c r="B20" s="1" t="s">
        <v>28</v>
      </c>
      <c r="C20" s="8" t="s">
        <v>29</v>
      </c>
      <c r="D20" s="7">
        <v>200</v>
      </c>
      <c r="E20" s="27">
        <v>35000</v>
      </c>
      <c r="F20" s="30">
        <v>11200</v>
      </c>
      <c r="G20" s="45">
        <f t="shared" si="0"/>
        <v>0.32</v>
      </c>
    </row>
    <row r="21" spans="1:7" ht="20.25" customHeight="1" x14ac:dyDescent="0.3">
      <c r="A21" s="44">
        <v>8809783321966</v>
      </c>
      <c r="B21" s="1" t="s">
        <v>30</v>
      </c>
      <c r="C21" s="8" t="s">
        <v>31</v>
      </c>
      <c r="D21" s="7">
        <v>50</v>
      </c>
      <c r="E21" s="27">
        <v>15000</v>
      </c>
      <c r="F21" s="30">
        <v>7110</v>
      </c>
      <c r="G21" s="45">
        <f t="shared" si="0"/>
        <v>0.47399999999999998</v>
      </c>
    </row>
    <row r="22" spans="1:7" ht="20.25" customHeight="1" x14ac:dyDescent="0.3">
      <c r="A22" s="44">
        <v>8809782557298</v>
      </c>
      <c r="B22" s="20" t="s">
        <v>161</v>
      </c>
      <c r="C22" s="8" t="s">
        <v>32</v>
      </c>
      <c r="D22" s="7">
        <v>50</v>
      </c>
      <c r="E22" s="27">
        <v>25000</v>
      </c>
      <c r="F22" s="30">
        <v>10250</v>
      </c>
      <c r="G22" s="45">
        <f t="shared" si="0"/>
        <v>0.41</v>
      </c>
    </row>
    <row r="23" spans="1:7" ht="20.25" customHeight="1" x14ac:dyDescent="0.3">
      <c r="A23" s="44">
        <v>8809875901120</v>
      </c>
      <c r="B23" s="20" t="s">
        <v>162</v>
      </c>
      <c r="C23" s="2" t="s">
        <v>33</v>
      </c>
      <c r="D23" s="7">
        <v>30</v>
      </c>
      <c r="E23" s="27">
        <v>18000</v>
      </c>
      <c r="F23" s="30">
        <v>7560</v>
      </c>
      <c r="G23" s="45">
        <f t="shared" si="0"/>
        <v>0.42</v>
      </c>
    </row>
    <row r="24" spans="1:7" ht="20.25" customHeight="1" x14ac:dyDescent="0.3">
      <c r="A24" s="44">
        <v>8809738607343</v>
      </c>
      <c r="B24" s="1" t="s">
        <v>34</v>
      </c>
      <c r="C24" s="2" t="s">
        <v>35</v>
      </c>
      <c r="D24" s="3">
        <v>30</v>
      </c>
      <c r="E24" s="27">
        <v>18000</v>
      </c>
      <c r="F24" s="30">
        <v>6790</v>
      </c>
      <c r="G24" s="45">
        <f t="shared" si="0"/>
        <v>0.37722222222222224</v>
      </c>
    </row>
    <row r="25" spans="1:7" ht="20.25" customHeight="1" x14ac:dyDescent="0.3">
      <c r="A25" s="44">
        <v>8809657114243</v>
      </c>
      <c r="B25" s="20" t="s">
        <v>163</v>
      </c>
      <c r="C25" s="2" t="s">
        <v>36</v>
      </c>
      <c r="D25" s="3">
        <v>30</v>
      </c>
      <c r="E25" s="27">
        <v>35000</v>
      </c>
      <c r="F25" s="30">
        <v>15400</v>
      </c>
      <c r="G25" s="45">
        <f t="shared" si="0"/>
        <v>0.44</v>
      </c>
    </row>
    <row r="26" spans="1:7" ht="20.25" customHeight="1" x14ac:dyDescent="0.3">
      <c r="A26" s="44">
        <v>8809962540270</v>
      </c>
      <c r="B26" s="1" t="s">
        <v>37</v>
      </c>
      <c r="C26" s="2" t="s">
        <v>113</v>
      </c>
      <c r="D26" s="3">
        <v>20</v>
      </c>
      <c r="E26" s="27">
        <v>25000</v>
      </c>
      <c r="F26" s="30">
        <v>8650</v>
      </c>
      <c r="G26" s="45">
        <f t="shared" si="0"/>
        <v>0.34599999999999997</v>
      </c>
    </row>
    <row r="27" spans="1:7" ht="20.25" customHeight="1" x14ac:dyDescent="0.3">
      <c r="A27" s="44">
        <v>8809962541253</v>
      </c>
      <c r="B27" s="20" t="s">
        <v>164</v>
      </c>
      <c r="C27" s="2" t="s">
        <v>38</v>
      </c>
      <c r="D27" s="3">
        <v>60</v>
      </c>
      <c r="E27" s="27">
        <v>5000</v>
      </c>
      <c r="F27" s="30">
        <v>2630</v>
      </c>
      <c r="G27" s="45">
        <f t="shared" si="0"/>
        <v>0.52600000000000002</v>
      </c>
    </row>
    <row r="28" spans="1:7" ht="20.25" customHeight="1" x14ac:dyDescent="0.3">
      <c r="A28" s="44">
        <v>8809738600214</v>
      </c>
      <c r="B28" s="1" t="s">
        <v>39</v>
      </c>
      <c r="C28" s="2" t="s">
        <v>40</v>
      </c>
      <c r="D28" s="3">
        <v>40</v>
      </c>
      <c r="E28" s="27">
        <v>24000</v>
      </c>
      <c r="F28" s="30">
        <v>9560</v>
      </c>
      <c r="G28" s="45">
        <f t="shared" si="0"/>
        <v>0.39833333333333332</v>
      </c>
    </row>
    <row r="29" spans="1:7" ht="20.25" customHeight="1" x14ac:dyDescent="0.3">
      <c r="A29" s="44">
        <v>8809738600221</v>
      </c>
      <c r="B29" s="1" t="s">
        <v>41</v>
      </c>
      <c r="C29" s="2" t="s">
        <v>42</v>
      </c>
      <c r="D29" s="3">
        <v>80</v>
      </c>
      <c r="E29" s="27">
        <v>32000</v>
      </c>
      <c r="F29" s="30">
        <v>12710</v>
      </c>
      <c r="G29" s="45">
        <f t="shared" si="0"/>
        <v>0.39718750000000003</v>
      </c>
    </row>
    <row r="30" spans="1:7" ht="20.25" customHeight="1" x14ac:dyDescent="0.3">
      <c r="A30" s="44">
        <v>8809738600238</v>
      </c>
      <c r="B30" s="1" t="s">
        <v>43</v>
      </c>
      <c r="C30" s="2" t="s">
        <v>44</v>
      </c>
      <c r="D30" s="5">
        <v>30</v>
      </c>
      <c r="E30" s="27">
        <v>15000</v>
      </c>
      <c r="F30" s="30">
        <v>6360</v>
      </c>
      <c r="G30" s="45">
        <f t="shared" si="0"/>
        <v>0.42399999999999999</v>
      </c>
    </row>
    <row r="31" spans="1:7" ht="20.25" customHeight="1" x14ac:dyDescent="0.3">
      <c r="A31" s="44">
        <v>8809738604762</v>
      </c>
      <c r="B31" s="1" t="s">
        <v>45</v>
      </c>
      <c r="C31" s="6" t="s">
        <v>46</v>
      </c>
      <c r="D31" s="5">
        <v>30</v>
      </c>
      <c r="E31" s="27">
        <v>23000</v>
      </c>
      <c r="F31" s="30">
        <v>9300</v>
      </c>
      <c r="G31" s="45">
        <f t="shared" si="0"/>
        <v>0.40434782608695652</v>
      </c>
    </row>
    <row r="32" spans="1:7" ht="20.25" customHeight="1" x14ac:dyDescent="0.3">
      <c r="A32" s="44">
        <v>8809782553009</v>
      </c>
      <c r="B32" s="1" t="s">
        <v>47</v>
      </c>
      <c r="C32" s="6" t="s">
        <v>48</v>
      </c>
      <c r="D32" s="5">
        <v>70</v>
      </c>
      <c r="E32" s="27">
        <v>28000</v>
      </c>
      <c r="F32" s="30">
        <v>11040</v>
      </c>
      <c r="G32" s="45">
        <f t="shared" si="0"/>
        <v>0.39428571428571429</v>
      </c>
    </row>
    <row r="33" spans="1:8" ht="20.25" customHeight="1" x14ac:dyDescent="0.3">
      <c r="A33" s="44">
        <v>8809614958712</v>
      </c>
      <c r="B33" s="1" t="s">
        <v>49</v>
      </c>
      <c r="C33" s="6" t="s">
        <v>50</v>
      </c>
      <c r="D33" s="5">
        <v>40</v>
      </c>
      <c r="E33" s="27">
        <v>25000</v>
      </c>
      <c r="F33" s="30">
        <v>10750</v>
      </c>
      <c r="G33" s="45">
        <f t="shared" si="0"/>
        <v>0.43</v>
      </c>
    </row>
    <row r="34" spans="1:8" ht="20.25" customHeight="1" x14ac:dyDescent="0.3">
      <c r="A34" s="44">
        <v>8809782551814</v>
      </c>
      <c r="B34" s="20" t="s">
        <v>225</v>
      </c>
      <c r="C34" s="6" t="s">
        <v>51</v>
      </c>
      <c r="D34" s="5">
        <v>60</v>
      </c>
      <c r="E34" s="27">
        <v>25000</v>
      </c>
      <c r="F34" s="30">
        <v>10000</v>
      </c>
      <c r="G34" s="45">
        <f t="shared" si="0"/>
        <v>0.4</v>
      </c>
    </row>
    <row r="35" spans="1:8" ht="20.25" customHeight="1" x14ac:dyDescent="0.3">
      <c r="A35" s="44">
        <v>8809624723157</v>
      </c>
      <c r="B35" s="1" t="s">
        <v>52</v>
      </c>
      <c r="C35" s="6" t="s">
        <v>53</v>
      </c>
      <c r="D35" s="5">
        <v>40</v>
      </c>
      <c r="E35" s="27">
        <v>30000</v>
      </c>
      <c r="F35" s="30">
        <v>10200</v>
      </c>
      <c r="G35" s="45">
        <f t="shared" si="0"/>
        <v>0.34</v>
      </c>
    </row>
    <row r="36" spans="1:8" ht="20.25" customHeight="1" x14ac:dyDescent="0.3">
      <c r="A36" s="44">
        <v>8809638307701</v>
      </c>
      <c r="B36" s="20" t="s">
        <v>165</v>
      </c>
      <c r="C36" s="6" t="s">
        <v>54</v>
      </c>
      <c r="D36" s="5">
        <v>40</v>
      </c>
      <c r="E36" s="27">
        <v>12000</v>
      </c>
      <c r="F36" s="30">
        <v>5390</v>
      </c>
      <c r="G36" s="45">
        <f t="shared" si="0"/>
        <v>0.44916666666666666</v>
      </c>
    </row>
    <row r="37" spans="1:8" ht="20.25" customHeight="1" x14ac:dyDescent="0.3">
      <c r="A37" s="44">
        <v>8809864769977</v>
      </c>
      <c r="B37" s="20" t="s">
        <v>166</v>
      </c>
      <c r="C37" s="6" t="s">
        <v>55</v>
      </c>
      <c r="D37" s="5">
        <v>60</v>
      </c>
      <c r="E37" s="27">
        <v>25000</v>
      </c>
      <c r="F37" s="30">
        <v>10000</v>
      </c>
      <c r="G37" s="45">
        <f t="shared" si="0"/>
        <v>0.4</v>
      </c>
    </row>
    <row r="38" spans="1:8" ht="20.25" customHeight="1" x14ac:dyDescent="0.3">
      <c r="A38" s="44">
        <v>8809782558523</v>
      </c>
      <c r="B38" s="20" t="s">
        <v>167</v>
      </c>
      <c r="C38" s="2" t="s">
        <v>56</v>
      </c>
      <c r="D38" s="3">
        <v>60</v>
      </c>
      <c r="E38" s="27">
        <v>25000</v>
      </c>
      <c r="F38" s="30">
        <v>10000</v>
      </c>
      <c r="G38" s="45">
        <f t="shared" si="0"/>
        <v>0.4</v>
      </c>
    </row>
    <row r="39" spans="1:8" ht="20.25" customHeight="1" x14ac:dyDescent="0.3">
      <c r="A39" s="44">
        <v>8809875904459</v>
      </c>
      <c r="B39" s="20" t="s">
        <v>168</v>
      </c>
      <c r="C39" s="2" t="s">
        <v>57</v>
      </c>
      <c r="D39" s="3">
        <v>60</v>
      </c>
      <c r="E39" s="27">
        <v>24000</v>
      </c>
      <c r="F39" s="30">
        <v>9170</v>
      </c>
      <c r="G39" s="45">
        <f t="shared" si="0"/>
        <v>0.38208333333333333</v>
      </c>
    </row>
    <row r="40" spans="1:8" ht="20.25" customHeight="1" x14ac:dyDescent="0.3">
      <c r="A40" s="44">
        <v>8809782556628</v>
      </c>
      <c r="B40" s="20" t="s">
        <v>169</v>
      </c>
      <c r="C40" s="2" t="s">
        <v>58</v>
      </c>
      <c r="D40" s="3">
        <v>100</v>
      </c>
      <c r="E40" s="27">
        <v>24000</v>
      </c>
      <c r="F40" s="30">
        <v>9680</v>
      </c>
      <c r="G40" s="45">
        <f t="shared" si="0"/>
        <v>0.40333333333333332</v>
      </c>
    </row>
    <row r="41" spans="1:8" ht="20.25" customHeight="1" x14ac:dyDescent="0.3">
      <c r="A41" s="44">
        <v>8809864759480</v>
      </c>
      <c r="B41" s="20" t="s">
        <v>170</v>
      </c>
      <c r="C41" s="2" t="s">
        <v>59</v>
      </c>
      <c r="D41" s="3">
        <v>60</v>
      </c>
      <c r="E41" s="27">
        <v>28000</v>
      </c>
      <c r="F41" s="30">
        <v>9890</v>
      </c>
      <c r="G41" s="45">
        <f t="shared" si="0"/>
        <v>0.3532142857142857</v>
      </c>
    </row>
    <row r="42" spans="1:8" ht="20.25" customHeight="1" x14ac:dyDescent="0.3">
      <c r="A42" s="44">
        <v>8809614958057</v>
      </c>
      <c r="B42" s="1" t="s">
        <v>60</v>
      </c>
      <c r="C42" s="2" t="s">
        <v>61</v>
      </c>
      <c r="D42" s="3">
        <v>40</v>
      </c>
      <c r="E42" s="27">
        <v>22000</v>
      </c>
      <c r="F42" s="30">
        <v>9090</v>
      </c>
      <c r="G42" s="45">
        <f t="shared" si="0"/>
        <v>0.41318181818181821</v>
      </c>
    </row>
    <row r="43" spans="1:8" ht="20.25" customHeight="1" x14ac:dyDescent="0.3">
      <c r="A43" s="44">
        <v>8809962540713</v>
      </c>
      <c r="B43" s="20" t="s">
        <v>171</v>
      </c>
      <c r="C43" s="2" t="s">
        <v>62</v>
      </c>
      <c r="D43" s="3">
        <v>80</v>
      </c>
      <c r="E43" s="27">
        <v>12000</v>
      </c>
      <c r="F43" s="30">
        <v>3250</v>
      </c>
      <c r="G43" s="45">
        <f t="shared" si="0"/>
        <v>0.27083333333333331</v>
      </c>
    </row>
    <row r="44" spans="1:8" ht="20.25" customHeight="1" x14ac:dyDescent="0.3">
      <c r="A44" s="44">
        <v>8809962540287</v>
      </c>
      <c r="B44" s="20" t="s">
        <v>172</v>
      </c>
      <c r="C44" s="2" t="s">
        <v>114</v>
      </c>
      <c r="D44" s="7">
        <v>20</v>
      </c>
      <c r="E44" s="27">
        <v>25000</v>
      </c>
      <c r="F44" s="30">
        <v>8150</v>
      </c>
      <c r="G44" s="45">
        <f t="shared" si="0"/>
        <v>0.32600000000000001</v>
      </c>
    </row>
    <row r="45" spans="1:8" ht="20.25" customHeight="1" x14ac:dyDescent="0.3">
      <c r="A45" s="44">
        <v>8809962542397</v>
      </c>
      <c r="B45" s="20" t="s">
        <v>173</v>
      </c>
      <c r="C45" s="2" t="s">
        <v>115</v>
      </c>
      <c r="D45" s="7">
        <v>30</v>
      </c>
      <c r="E45" s="27">
        <v>30000</v>
      </c>
      <c r="F45" s="30">
        <v>10200</v>
      </c>
      <c r="G45" s="45">
        <f t="shared" si="0"/>
        <v>0.34</v>
      </c>
    </row>
    <row r="46" spans="1:8" s="19" customFormat="1" ht="20.25" customHeight="1" x14ac:dyDescent="0.3">
      <c r="A46" s="47">
        <v>8809962542489</v>
      </c>
      <c r="B46" s="21" t="s">
        <v>174</v>
      </c>
      <c r="C46" s="17" t="s">
        <v>116</v>
      </c>
      <c r="D46" s="18">
        <v>40</v>
      </c>
      <c r="E46" s="27">
        <v>19000</v>
      </c>
      <c r="F46" s="30">
        <v>8730</v>
      </c>
      <c r="G46" s="45">
        <f t="shared" si="0"/>
        <v>0.45947368421052631</v>
      </c>
      <c r="H46" s="55"/>
    </row>
    <row r="47" spans="1:8" ht="20.25" customHeight="1" x14ac:dyDescent="0.3">
      <c r="A47" s="44">
        <v>8809962542496</v>
      </c>
      <c r="B47" s="20" t="s">
        <v>175</v>
      </c>
      <c r="C47" s="2" t="s">
        <v>117</v>
      </c>
      <c r="D47" s="7">
        <v>50</v>
      </c>
      <c r="E47" s="27">
        <v>21000</v>
      </c>
      <c r="F47" s="30">
        <v>9900</v>
      </c>
      <c r="G47" s="45">
        <f t="shared" si="0"/>
        <v>0.47142857142857142</v>
      </c>
    </row>
    <row r="48" spans="1:8" ht="20.25" customHeight="1" x14ac:dyDescent="0.3">
      <c r="A48" s="44">
        <v>8809962542441</v>
      </c>
      <c r="B48" s="20" t="s">
        <v>176</v>
      </c>
      <c r="C48" s="6" t="s">
        <v>156</v>
      </c>
      <c r="D48" s="5">
        <v>80</v>
      </c>
      <c r="E48" s="27">
        <v>22000</v>
      </c>
      <c r="F48" s="30">
        <v>9510</v>
      </c>
      <c r="G48" s="45">
        <f t="shared" si="0"/>
        <v>0.43227272727272725</v>
      </c>
      <c r="H48" s="55" t="str">
        <f>VLOOKUP(A48,'[1]26.08'!$B:$K,10,0)</f>
        <v>NEW</v>
      </c>
    </row>
    <row r="49" spans="1:8" ht="20.25" customHeight="1" x14ac:dyDescent="0.3">
      <c r="A49" s="44">
        <v>8809962543127</v>
      </c>
      <c r="B49" s="20" t="s">
        <v>177</v>
      </c>
      <c r="C49" s="6" t="s">
        <v>118</v>
      </c>
      <c r="D49" s="5">
        <v>60</v>
      </c>
      <c r="E49" s="27">
        <v>40000</v>
      </c>
      <c r="F49" s="30">
        <v>13600</v>
      </c>
      <c r="G49" s="45">
        <f t="shared" si="0"/>
        <v>0.34</v>
      </c>
      <c r="H49" s="55" t="str">
        <f>VLOOKUP(A49,'[1]26.08'!$B:$K,10,0)</f>
        <v>NEW</v>
      </c>
    </row>
    <row r="50" spans="1:8" ht="20.25" customHeight="1" x14ac:dyDescent="0.3">
      <c r="A50" s="44">
        <v>8809962542885</v>
      </c>
      <c r="B50" s="20" t="s">
        <v>178</v>
      </c>
      <c r="C50" s="6" t="s">
        <v>157</v>
      </c>
      <c r="D50" s="5">
        <v>40</v>
      </c>
      <c r="E50" s="27">
        <v>25000</v>
      </c>
      <c r="F50" s="30">
        <v>12350</v>
      </c>
      <c r="G50" s="45">
        <f t="shared" si="0"/>
        <v>0.49399999999999999</v>
      </c>
      <c r="H50" s="55" t="str">
        <f>VLOOKUP(A50,'[1]26.08'!$B:$K,10,0)</f>
        <v>NEW</v>
      </c>
    </row>
    <row r="51" spans="1:8" ht="20.25" customHeight="1" x14ac:dyDescent="0.3">
      <c r="A51" s="48">
        <v>8809962544612</v>
      </c>
      <c r="B51" s="20" t="s">
        <v>179</v>
      </c>
      <c r="C51" s="14" t="s">
        <v>119</v>
      </c>
      <c r="D51" s="5">
        <v>50</v>
      </c>
      <c r="E51" s="27">
        <v>22000</v>
      </c>
      <c r="F51" s="30">
        <v>10210</v>
      </c>
      <c r="G51" s="45">
        <f t="shared" si="0"/>
        <v>0.46409090909090911</v>
      </c>
      <c r="H51" s="55" t="str">
        <f>VLOOKUP(A51,'[1]26.08'!$B:$K,10,0)</f>
        <v>NEW</v>
      </c>
    </row>
    <row r="52" spans="1:8" ht="20.25" customHeight="1" x14ac:dyDescent="0.3">
      <c r="A52" s="48">
        <v>8809738605714</v>
      </c>
      <c r="B52" s="22" t="s">
        <v>180</v>
      </c>
      <c r="C52" s="14" t="s">
        <v>63</v>
      </c>
      <c r="D52" s="5">
        <v>40</v>
      </c>
      <c r="E52" s="27">
        <v>24000</v>
      </c>
      <c r="F52" s="30">
        <v>9560</v>
      </c>
      <c r="G52" s="45">
        <f t="shared" si="0"/>
        <v>0.39833333333333332</v>
      </c>
    </row>
    <row r="53" spans="1:8" ht="20.25" customHeight="1" x14ac:dyDescent="0.3">
      <c r="A53" s="48">
        <v>8809738605721</v>
      </c>
      <c r="B53" s="22" t="s">
        <v>181</v>
      </c>
      <c r="C53" s="14" t="s">
        <v>64</v>
      </c>
      <c r="D53" s="5">
        <v>80</v>
      </c>
      <c r="E53" s="27">
        <v>32000</v>
      </c>
      <c r="F53" s="30">
        <v>12710</v>
      </c>
      <c r="G53" s="45">
        <f t="shared" si="0"/>
        <v>0.39718750000000003</v>
      </c>
    </row>
    <row r="54" spans="1:8" ht="20.25" customHeight="1" x14ac:dyDescent="0.3">
      <c r="A54" s="48">
        <v>8809738593080</v>
      </c>
      <c r="B54" s="22" t="s">
        <v>182</v>
      </c>
      <c r="C54" s="14" t="s">
        <v>65</v>
      </c>
      <c r="D54" s="5">
        <v>30</v>
      </c>
      <c r="E54" s="27">
        <v>15000</v>
      </c>
      <c r="F54" s="30">
        <v>6360</v>
      </c>
      <c r="G54" s="45">
        <f t="shared" si="0"/>
        <v>0.42399999999999999</v>
      </c>
    </row>
    <row r="55" spans="1:8" ht="20.25" customHeight="1" x14ac:dyDescent="0.3">
      <c r="A55" s="48">
        <v>8809738593103</v>
      </c>
      <c r="B55" s="22" t="s">
        <v>183</v>
      </c>
      <c r="C55" s="14" t="s">
        <v>66</v>
      </c>
      <c r="D55" s="5">
        <v>70</v>
      </c>
      <c r="E55" s="27">
        <v>28000</v>
      </c>
      <c r="F55" s="30">
        <v>11040</v>
      </c>
      <c r="G55" s="45">
        <f t="shared" si="0"/>
        <v>0.39428571428571429</v>
      </c>
    </row>
    <row r="56" spans="1:8" ht="20.25" customHeight="1" x14ac:dyDescent="0.3">
      <c r="A56" s="48">
        <v>8809743544176</v>
      </c>
      <c r="B56" s="22" t="s">
        <v>184</v>
      </c>
      <c r="C56" s="14" t="s">
        <v>67</v>
      </c>
      <c r="D56" s="5">
        <v>40</v>
      </c>
      <c r="E56" s="27">
        <v>10500</v>
      </c>
      <c r="F56" s="30">
        <v>5250</v>
      </c>
      <c r="G56" s="45">
        <f t="shared" si="0"/>
        <v>0.5</v>
      </c>
    </row>
    <row r="57" spans="1:8" ht="20.25" customHeight="1" x14ac:dyDescent="0.3">
      <c r="A57" s="48">
        <v>8809624723140</v>
      </c>
      <c r="B57" s="22" t="s">
        <v>185</v>
      </c>
      <c r="C57" s="14" t="s">
        <v>68</v>
      </c>
      <c r="D57" s="5">
        <v>40</v>
      </c>
      <c r="E57" s="27">
        <v>30000</v>
      </c>
      <c r="F57" s="30">
        <v>10200</v>
      </c>
      <c r="G57" s="45">
        <f t="shared" si="0"/>
        <v>0.34</v>
      </c>
    </row>
    <row r="58" spans="1:8" ht="20.25" customHeight="1" x14ac:dyDescent="0.3">
      <c r="A58" s="48">
        <v>8809738593240</v>
      </c>
      <c r="B58" s="22" t="s">
        <v>217</v>
      </c>
      <c r="C58" s="14" t="s">
        <v>69</v>
      </c>
      <c r="D58" s="5">
        <v>70</v>
      </c>
      <c r="E58" s="27">
        <v>28000</v>
      </c>
      <c r="F58" s="30">
        <v>11040</v>
      </c>
      <c r="G58" s="45">
        <f t="shared" si="0"/>
        <v>0.39428571428571429</v>
      </c>
    </row>
    <row r="59" spans="1:8" ht="20.25" customHeight="1" x14ac:dyDescent="0.3">
      <c r="A59" s="48">
        <v>8809624723133</v>
      </c>
      <c r="B59" s="14" t="s">
        <v>70</v>
      </c>
      <c r="C59" s="14" t="s">
        <v>71</v>
      </c>
      <c r="D59" s="5">
        <v>40</v>
      </c>
      <c r="E59" s="27">
        <v>30000</v>
      </c>
      <c r="F59" s="30">
        <v>10200</v>
      </c>
      <c r="G59" s="45">
        <f t="shared" si="0"/>
        <v>0.34</v>
      </c>
    </row>
    <row r="60" spans="1:8" ht="20.25" customHeight="1" x14ac:dyDescent="0.3">
      <c r="A60" s="48">
        <v>8809624726370</v>
      </c>
      <c r="B60" s="14" t="s">
        <v>72</v>
      </c>
      <c r="C60" s="14" t="s">
        <v>73</v>
      </c>
      <c r="D60" s="5">
        <v>40</v>
      </c>
      <c r="E60" s="27">
        <v>24000</v>
      </c>
      <c r="F60" s="30">
        <v>9560</v>
      </c>
      <c r="G60" s="45">
        <f t="shared" si="0"/>
        <v>0.39833333333333332</v>
      </c>
    </row>
    <row r="61" spans="1:8" ht="20.25" customHeight="1" x14ac:dyDescent="0.3">
      <c r="A61" s="48">
        <v>8809624726417</v>
      </c>
      <c r="B61" s="14" t="s">
        <v>74</v>
      </c>
      <c r="C61" s="14" t="s">
        <v>75</v>
      </c>
      <c r="D61" s="5">
        <v>80</v>
      </c>
      <c r="E61" s="27">
        <v>32000</v>
      </c>
      <c r="F61" s="30">
        <v>12710</v>
      </c>
      <c r="G61" s="45">
        <f t="shared" si="0"/>
        <v>0.39718750000000003</v>
      </c>
    </row>
    <row r="62" spans="1:8" ht="20.25" customHeight="1" x14ac:dyDescent="0.3">
      <c r="A62" s="48">
        <v>8809783322369</v>
      </c>
      <c r="B62" s="22" t="s">
        <v>186</v>
      </c>
      <c r="C62" s="14" t="s">
        <v>76</v>
      </c>
      <c r="D62" s="5">
        <v>50</v>
      </c>
      <c r="E62" s="27">
        <v>15000</v>
      </c>
      <c r="F62" s="30">
        <v>6360</v>
      </c>
      <c r="G62" s="45">
        <f t="shared" si="0"/>
        <v>0.42399999999999999</v>
      </c>
    </row>
    <row r="63" spans="1:8" ht="20.25" customHeight="1" x14ac:dyDescent="0.3">
      <c r="A63" s="48">
        <v>8809783322130</v>
      </c>
      <c r="B63" s="22" t="s">
        <v>187</v>
      </c>
      <c r="C63" s="14" t="s">
        <v>77</v>
      </c>
      <c r="D63" s="5">
        <v>70</v>
      </c>
      <c r="E63" s="27">
        <v>23000</v>
      </c>
      <c r="F63" s="30">
        <v>9690</v>
      </c>
      <c r="G63" s="45">
        <f t="shared" si="0"/>
        <v>0.42130434782608694</v>
      </c>
    </row>
    <row r="64" spans="1:8" ht="20.25" customHeight="1" x14ac:dyDescent="0.3">
      <c r="A64" s="48">
        <v>8809962541024</v>
      </c>
      <c r="B64" s="14" t="s">
        <v>78</v>
      </c>
      <c r="C64" s="14" t="s">
        <v>79</v>
      </c>
      <c r="D64" s="5">
        <v>30</v>
      </c>
      <c r="E64" s="27">
        <v>25000</v>
      </c>
      <c r="F64" s="30">
        <v>9400</v>
      </c>
      <c r="G64" s="45">
        <f t="shared" si="0"/>
        <v>0.376</v>
      </c>
    </row>
    <row r="65" spans="1:8" ht="20.25" customHeight="1" x14ac:dyDescent="0.3">
      <c r="A65" s="48">
        <v>8809875908075</v>
      </c>
      <c r="B65" s="14" t="s">
        <v>80</v>
      </c>
      <c r="C65" s="14" t="s">
        <v>81</v>
      </c>
      <c r="D65" s="5">
        <v>60</v>
      </c>
      <c r="E65" s="27">
        <v>30000</v>
      </c>
      <c r="F65" s="30">
        <v>10800</v>
      </c>
      <c r="G65" s="45">
        <f t="shared" si="0"/>
        <v>0.36</v>
      </c>
    </row>
    <row r="66" spans="1:8" ht="20.25" customHeight="1" x14ac:dyDescent="0.3">
      <c r="A66" s="48">
        <v>8809875907337</v>
      </c>
      <c r="B66" s="14" t="s">
        <v>82</v>
      </c>
      <c r="C66" s="14" t="s">
        <v>83</v>
      </c>
      <c r="D66" s="5">
        <v>60</v>
      </c>
      <c r="E66" s="27">
        <v>34000</v>
      </c>
      <c r="F66" s="30">
        <v>12580</v>
      </c>
      <c r="G66" s="45">
        <f t="shared" si="0"/>
        <v>0.37</v>
      </c>
    </row>
    <row r="67" spans="1:8" ht="20.25" customHeight="1" x14ac:dyDescent="0.3">
      <c r="A67" s="48">
        <v>8809849803634</v>
      </c>
      <c r="B67" s="14" t="s">
        <v>84</v>
      </c>
      <c r="C67" s="14" t="s">
        <v>85</v>
      </c>
      <c r="D67" s="5">
        <v>40</v>
      </c>
      <c r="E67" s="27">
        <v>30000</v>
      </c>
      <c r="F67" s="30">
        <v>10200</v>
      </c>
      <c r="G67" s="45">
        <f t="shared" si="0"/>
        <v>0.34</v>
      </c>
    </row>
    <row r="68" spans="1:8" ht="20.25" customHeight="1" x14ac:dyDescent="0.3">
      <c r="A68" s="48">
        <v>8809962541963</v>
      </c>
      <c r="B68" s="22" t="s">
        <v>188</v>
      </c>
      <c r="C68" s="14" t="s">
        <v>86</v>
      </c>
      <c r="D68" s="5">
        <v>30</v>
      </c>
      <c r="E68" s="27">
        <v>17000</v>
      </c>
      <c r="F68" s="30">
        <v>6550</v>
      </c>
      <c r="G68" s="45">
        <f t="shared" si="0"/>
        <v>0.38529411764705884</v>
      </c>
    </row>
    <row r="69" spans="1:8" ht="20.25" customHeight="1" x14ac:dyDescent="0.3">
      <c r="A69" s="48">
        <v>8809962541970</v>
      </c>
      <c r="B69" s="22" t="s">
        <v>189</v>
      </c>
      <c r="C69" s="14" t="s">
        <v>87</v>
      </c>
      <c r="D69" s="5">
        <v>40</v>
      </c>
      <c r="E69" s="27">
        <v>25000</v>
      </c>
      <c r="F69" s="30">
        <v>11900</v>
      </c>
      <c r="G69" s="45">
        <f t="shared" ref="G69:G118" si="1">F69/E69</f>
        <v>0.47599999999999998</v>
      </c>
    </row>
    <row r="70" spans="1:8" ht="20.25" customHeight="1" x14ac:dyDescent="0.3">
      <c r="A70" s="48">
        <v>8809962543622</v>
      </c>
      <c r="B70" s="22" t="s">
        <v>201</v>
      </c>
      <c r="C70" s="14" t="s">
        <v>200</v>
      </c>
      <c r="D70" s="5">
        <v>40</v>
      </c>
      <c r="E70" s="27">
        <v>36000</v>
      </c>
      <c r="F70" s="30">
        <v>12960</v>
      </c>
      <c r="G70" s="45">
        <f t="shared" si="1"/>
        <v>0.36</v>
      </c>
      <c r="H70" s="55" t="str">
        <f>VLOOKUP(A70,'[1]26.08'!$B:$K,10,0)</f>
        <v>NEW</v>
      </c>
    </row>
    <row r="71" spans="1:8" ht="20.25" customHeight="1" x14ac:dyDescent="0.3">
      <c r="A71" s="48">
        <v>8809783325674</v>
      </c>
      <c r="B71" s="22" t="s">
        <v>190</v>
      </c>
      <c r="C71" s="14" t="s">
        <v>88</v>
      </c>
      <c r="D71" s="5">
        <v>60</v>
      </c>
      <c r="E71" s="27">
        <v>28000</v>
      </c>
      <c r="F71" s="30">
        <v>11010</v>
      </c>
      <c r="G71" s="45">
        <f t="shared" si="1"/>
        <v>0.39321428571428574</v>
      </c>
    </row>
    <row r="72" spans="1:8" ht="20.25" customHeight="1" x14ac:dyDescent="0.3">
      <c r="A72" s="48">
        <v>8809783325667</v>
      </c>
      <c r="B72" s="22" t="s">
        <v>191</v>
      </c>
      <c r="C72" s="14" t="s">
        <v>89</v>
      </c>
      <c r="D72" s="5">
        <v>60</v>
      </c>
      <c r="E72" s="27">
        <v>24000</v>
      </c>
      <c r="F72" s="30">
        <v>9800</v>
      </c>
      <c r="G72" s="45">
        <f t="shared" si="1"/>
        <v>0.40833333333333333</v>
      </c>
    </row>
    <row r="73" spans="1:8" ht="20.25" customHeight="1" x14ac:dyDescent="0.3">
      <c r="A73" s="48">
        <v>8809750462708</v>
      </c>
      <c r="B73" s="22" t="s">
        <v>192</v>
      </c>
      <c r="C73" s="14" t="s">
        <v>90</v>
      </c>
      <c r="D73" s="5">
        <v>30</v>
      </c>
      <c r="E73" s="27">
        <v>25000</v>
      </c>
      <c r="F73" s="30">
        <v>10350</v>
      </c>
      <c r="G73" s="45">
        <f t="shared" si="1"/>
        <v>0.41399999999999998</v>
      </c>
    </row>
    <row r="74" spans="1:8" ht="20.25" customHeight="1" x14ac:dyDescent="0.3">
      <c r="A74" s="48">
        <v>8809783325728</v>
      </c>
      <c r="B74" s="22" t="s">
        <v>193</v>
      </c>
      <c r="C74" s="14" t="s">
        <v>91</v>
      </c>
      <c r="D74" s="5">
        <v>40</v>
      </c>
      <c r="E74" s="27">
        <v>30000</v>
      </c>
      <c r="F74" s="30">
        <v>10200</v>
      </c>
      <c r="G74" s="45">
        <f t="shared" si="1"/>
        <v>0.34</v>
      </c>
    </row>
    <row r="75" spans="1:8" ht="20.25" customHeight="1" x14ac:dyDescent="0.3">
      <c r="A75" s="48">
        <v>8809783326718</v>
      </c>
      <c r="B75" s="22" t="s">
        <v>194</v>
      </c>
      <c r="C75" s="14" t="s">
        <v>92</v>
      </c>
      <c r="D75" s="5">
        <v>30</v>
      </c>
      <c r="E75" s="27">
        <v>23000</v>
      </c>
      <c r="F75" s="30">
        <v>9480</v>
      </c>
      <c r="G75" s="45">
        <f t="shared" si="1"/>
        <v>0.41217391304347828</v>
      </c>
    </row>
    <row r="76" spans="1:8" ht="20.25" customHeight="1" x14ac:dyDescent="0.3">
      <c r="A76" s="48">
        <v>8809783326725</v>
      </c>
      <c r="B76" s="22" t="s">
        <v>195</v>
      </c>
      <c r="C76" s="14" t="s">
        <v>93</v>
      </c>
      <c r="D76" s="5">
        <v>30</v>
      </c>
      <c r="E76" s="27">
        <v>25000</v>
      </c>
      <c r="F76" s="30">
        <v>10050</v>
      </c>
      <c r="G76" s="45">
        <f t="shared" si="1"/>
        <v>0.40200000000000002</v>
      </c>
    </row>
    <row r="77" spans="1:8" ht="20.25" customHeight="1" x14ac:dyDescent="0.3">
      <c r="A77" s="48">
        <v>8809864754126</v>
      </c>
      <c r="B77" s="22" t="s">
        <v>196</v>
      </c>
      <c r="C77" s="14" t="s">
        <v>94</v>
      </c>
      <c r="D77" s="5">
        <v>30</v>
      </c>
      <c r="E77" s="27">
        <v>17000</v>
      </c>
      <c r="F77" s="30">
        <v>6550</v>
      </c>
      <c r="G77" s="45">
        <f t="shared" si="1"/>
        <v>0.38529411764705884</v>
      </c>
    </row>
    <row r="78" spans="1:8" ht="20.25" customHeight="1" x14ac:dyDescent="0.3">
      <c r="A78" s="48">
        <v>8809962542793</v>
      </c>
      <c r="B78" s="22" t="s">
        <v>202</v>
      </c>
      <c r="C78" s="14" t="s">
        <v>120</v>
      </c>
      <c r="D78" s="5">
        <v>50</v>
      </c>
      <c r="E78" s="27">
        <v>24000</v>
      </c>
      <c r="F78" s="30">
        <v>8570</v>
      </c>
      <c r="G78" s="45">
        <f t="shared" si="1"/>
        <v>0.35708333333333331</v>
      </c>
      <c r="H78" s="55" t="str">
        <f>VLOOKUP(A78,'[1]26.08'!$B:$K,10,0)</f>
        <v>NEW</v>
      </c>
    </row>
    <row r="79" spans="1:8" ht="20.25" customHeight="1" x14ac:dyDescent="0.3">
      <c r="A79" s="48">
        <v>8809849802408</v>
      </c>
      <c r="B79" s="14" t="s">
        <v>95</v>
      </c>
      <c r="C79" s="14" t="s">
        <v>96</v>
      </c>
      <c r="D79" s="5">
        <v>40</v>
      </c>
      <c r="E79" s="27">
        <v>21000</v>
      </c>
      <c r="F79" s="30">
        <v>7730</v>
      </c>
      <c r="G79" s="45">
        <f t="shared" si="1"/>
        <v>0.36809523809523809</v>
      </c>
    </row>
    <row r="80" spans="1:8" ht="20.25" customHeight="1" x14ac:dyDescent="0.3">
      <c r="A80" s="48">
        <v>8809962540294</v>
      </c>
      <c r="B80" s="14" t="s">
        <v>97</v>
      </c>
      <c r="C80" s="14" t="s">
        <v>121</v>
      </c>
      <c r="D80" s="5">
        <v>20</v>
      </c>
      <c r="E80" s="27">
        <v>25000</v>
      </c>
      <c r="F80" s="30">
        <v>8400</v>
      </c>
      <c r="G80" s="45">
        <f t="shared" si="1"/>
        <v>0.33600000000000002</v>
      </c>
    </row>
    <row r="81" spans="1:8" ht="20.25" customHeight="1" x14ac:dyDescent="0.3">
      <c r="A81" s="48">
        <v>8809962542137</v>
      </c>
      <c r="B81" s="22" t="s">
        <v>197</v>
      </c>
      <c r="C81" s="14" t="s">
        <v>98</v>
      </c>
      <c r="D81" s="5">
        <v>60</v>
      </c>
      <c r="E81" s="27">
        <v>34000</v>
      </c>
      <c r="F81" s="30">
        <v>11970</v>
      </c>
      <c r="G81" s="45">
        <f t="shared" si="1"/>
        <v>0.35205882352941176</v>
      </c>
    </row>
    <row r="82" spans="1:8" ht="20.25" customHeight="1" x14ac:dyDescent="0.3">
      <c r="A82" s="48">
        <v>8809962542403</v>
      </c>
      <c r="B82" s="22" t="s">
        <v>198</v>
      </c>
      <c r="C82" s="14" t="s">
        <v>122</v>
      </c>
      <c r="D82" s="5">
        <v>50</v>
      </c>
      <c r="E82" s="27">
        <v>24000</v>
      </c>
      <c r="F82" s="30">
        <v>9680</v>
      </c>
      <c r="G82" s="45">
        <f t="shared" si="1"/>
        <v>0.40333333333333332</v>
      </c>
    </row>
    <row r="83" spans="1:8" ht="20.25" customHeight="1" x14ac:dyDescent="0.3">
      <c r="A83" s="48">
        <v>8809962543103</v>
      </c>
      <c r="B83" s="22" t="s">
        <v>203</v>
      </c>
      <c r="C83" s="14" t="s">
        <v>123</v>
      </c>
      <c r="D83" s="5">
        <v>50</v>
      </c>
      <c r="E83" s="27">
        <v>24000</v>
      </c>
      <c r="F83" s="30">
        <v>9680</v>
      </c>
      <c r="G83" s="45">
        <f t="shared" si="1"/>
        <v>0.40333333333333332</v>
      </c>
      <c r="H83" s="55" t="str">
        <f>VLOOKUP(A83,'[1]26.08'!$B:$K,10,0)</f>
        <v>NEW</v>
      </c>
    </row>
    <row r="84" spans="1:8" ht="20.25" customHeight="1" x14ac:dyDescent="0.3">
      <c r="A84" s="48">
        <v>8809962543097</v>
      </c>
      <c r="B84" s="22" t="s">
        <v>204</v>
      </c>
      <c r="C84" s="14" t="s">
        <v>124</v>
      </c>
      <c r="D84" s="5">
        <v>50</v>
      </c>
      <c r="E84" s="27">
        <v>24000</v>
      </c>
      <c r="F84" s="30">
        <v>9170</v>
      </c>
      <c r="G84" s="45">
        <f t="shared" si="1"/>
        <v>0.38208333333333333</v>
      </c>
      <c r="H84" s="55" t="str">
        <f>VLOOKUP(A84,'[1]26.08'!$B:$K,10,0)</f>
        <v>NEW</v>
      </c>
    </row>
    <row r="85" spans="1:8" ht="20.25" customHeight="1" x14ac:dyDescent="0.3">
      <c r="A85" s="48">
        <v>8809962541475</v>
      </c>
      <c r="B85" s="22" t="s">
        <v>205</v>
      </c>
      <c r="C85" s="14" t="s">
        <v>125</v>
      </c>
      <c r="D85" s="5">
        <v>80</v>
      </c>
      <c r="E85" s="27">
        <v>23000</v>
      </c>
      <c r="F85" s="30">
        <v>9090</v>
      </c>
      <c r="G85" s="45">
        <f t="shared" si="1"/>
        <v>0.39521739130434785</v>
      </c>
      <c r="H85" s="55" t="str">
        <f>VLOOKUP(A85,'[1]26.08'!$B:$K,10,0)</f>
        <v>NEW</v>
      </c>
    </row>
    <row r="86" spans="1:8" ht="20.25" customHeight="1" x14ac:dyDescent="0.3">
      <c r="A86" s="48">
        <v>8809962541345</v>
      </c>
      <c r="B86" s="22" t="s">
        <v>206</v>
      </c>
      <c r="C86" s="14" t="s">
        <v>126</v>
      </c>
      <c r="D86" s="5">
        <v>30</v>
      </c>
      <c r="E86" s="27">
        <v>24000</v>
      </c>
      <c r="F86" s="30">
        <v>9170</v>
      </c>
      <c r="G86" s="45">
        <f t="shared" si="1"/>
        <v>0.38208333333333333</v>
      </c>
      <c r="H86" s="55" t="str">
        <f>VLOOKUP(A86,'[1]26.08'!$B:$K,10,0)</f>
        <v>NEW</v>
      </c>
    </row>
    <row r="87" spans="1:8" ht="20.25" customHeight="1" x14ac:dyDescent="0.3">
      <c r="A87" s="48">
        <v>8809962541352</v>
      </c>
      <c r="B87" s="22" t="s">
        <v>207</v>
      </c>
      <c r="C87" s="14" t="s">
        <v>127</v>
      </c>
      <c r="D87" s="5">
        <v>40</v>
      </c>
      <c r="E87" s="27">
        <v>21000</v>
      </c>
      <c r="F87" s="30">
        <v>6700</v>
      </c>
      <c r="G87" s="45">
        <f t="shared" si="1"/>
        <v>0.31904761904761902</v>
      </c>
      <c r="H87" s="55" t="str">
        <f>VLOOKUP(A87,'[1]26.08'!$B:$K,10,0)</f>
        <v>NEW</v>
      </c>
    </row>
    <row r="88" spans="1:8" ht="20.25" customHeight="1" x14ac:dyDescent="0.3">
      <c r="A88" s="48">
        <v>8809849803979</v>
      </c>
      <c r="B88" s="22" t="s">
        <v>208</v>
      </c>
      <c r="C88" s="14" t="s">
        <v>128</v>
      </c>
      <c r="D88" s="5">
        <v>40</v>
      </c>
      <c r="E88" s="27">
        <v>16500</v>
      </c>
      <c r="F88" s="30">
        <v>5500</v>
      </c>
      <c r="G88" s="45">
        <f t="shared" si="1"/>
        <v>0.33333333333333331</v>
      </c>
      <c r="H88" s="55" t="str">
        <f>VLOOKUP(A88,'[1]26.08'!$B:$K,10,0)</f>
        <v>NEW</v>
      </c>
    </row>
    <row r="89" spans="1:8" ht="20.25" customHeight="1" x14ac:dyDescent="0.3">
      <c r="A89" s="48">
        <v>8809962542892</v>
      </c>
      <c r="B89" s="22" t="s">
        <v>209</v>
      </c>
      <c r="C89" s="14" t="s">
        <v>129</v>
      </c>
      <c r="D89" s="5">
        <v>40</v>
      </c>
      <c r="E89" s="27">
        <v>27000</v>
      </c>
      <c r="F89" s="30">
        <v>12050</v>
      </c>
      <c r="G89" s="45">
        <f t="shared" si="1"/>
        <v>0.4462962962962963</v>
      </c>
      <c r="H89" s="55" t="str">
        <f>VLOOKUP(A89,'[1]26.08'!$B:$K,10,0)</f>
        <v>NEW</v>
      </c>
    </row>
    <row r="90" spans="1:8" ht="20.25" customHeight="1" x14ac:dyDescent="0.3">
      <c r="A90" s="48">
        <v>8809962544353</v>
      </c>
      <c r="B90" s="22" t="s">
        <v>210</v>
      </c>
      <c r="C90" s="14" t="s">
        <v>130</v>
      </c>
      <c r="D90" s="5">
        <v>60</v>
      </c>
      <c r="E90" s="27">
        <v>28000</v>
      </c>
      <c r="F90" s="30">
        <v>12040</v>
      </c>
      <c r="G90" s="45">
        <f t="shared" si="1"/>
        <v>0.43</v>
      </c>
      <c r="H90" s="55" t="str">
        <f>VLOOKUP(A90,'[1]26.08'!$B:$K,10,0)</f>
        <v>NEW</v>
      </c>
    </row>
    <row r="91" spans="1:8" ht="20.25" customHeight="1" x14ac:dyDescent="0.3">
      <c r="A91" s="48">
        <v>8809962540652</v>
      </c>
      <c r="B91" s="14" t="s">
        <v>99</v>
      </c>
      <c r="C91" s="14" t="s">
        <v>131</v>
      </c>
      <c r="D91" s="5">
        <v>60</v>
      </c>
      <c r="E91" s="27">
        <v>28000</v>
      </c>
      <c r="F91" s="30">
        <v>9660</v>
      </c>
      <c r="G91" s="45">
        <f t="shared" si="1"/>
        <v>0.34499999999999997</v>
      </c>
    </row>
    <row r="92" spans="1:8" ht="20.25" customHeight="1" x14ac:dyDescent="0.3">
      <c r="A92" s="48">
        <v>8809962540690</v>
      </c>
      <c r="B92" s="14" t="s">
        <v>100</v>
      </c>
      <c r="C92" s="14" t="s">
        <v>132</v>
      </c>
      <c r="D92" s="5">
        <v>60</v>
      </c>
      <c r="E92" s="27">
        <v>30000</v>
      </c>
      <c r="F92" s="30">
        <v>10350</v>
      </c>
      <c r="G92" s="45">
        <f t="shared" si="1"/>
        <v>0.34499999999999997</v>
      </c>
    </row>
    <row r="93" spans="1:8" ht="20.25" customHeight="1" x14ac:dyDescent="0.3">
      <c r="A93" s="48">
        <v>8809962540775</v>
      </c>
      <c r="B93" s="14" t="s">
        <v>133</v>
      </c>
      <c r="C93" s="14" t="s">
        <v>134</v>
      </c>
      <c r="D93" s="5">
        <v>40</v>
      </c>
      <c r="E93" s="27">
        <v>40000</v>
      </c>
      <c r="F93" s="30">
        <v>11120</v>
      </c>
      <c r="G93" s="45">
        <f t="shared" si="1"/>
        <v>0.27800000000000002</v>
      </c>
    </row>
    <row r="94" spans="1:8" ht="20.25" customHeight="1" x14ac:dyDescent="0.3">
      <c r="A94" s="48">
        <v>8809962542946</v>
      </c>
      <c r="B94" s="22" t="s">
        <v>211</v>
      </c>
      <c r="C94" s="14" t="s">
        <v>135</v>
      </c>
      <c r="D94" s="5">
        <v>80</v>
      </c>
      <c r="E94" s="27">
        <v>38000</v>
      </c>
      <c r="F94" s="30">
        <v>12430</v>
      </c>
      <c r="G94" s="45">
        <f t="shared" si="1"/>
        <v>0.32710526315789473</v>
      </c>
      <c r="H94" s="55" t="str">
        <f>VLOOKUP(A94,'[1]26.08'!$B:$K,10,0)</f>
        <v>NEW</v>
      </c>
    </row>
    <row r="95" spans="1:8" ht="20.25" customHeight="1" x14ac:dyDescent="0.3">
      <c r="A95" s="48">
        <v>8809962540584</v>
      </c>
      <c r="B95" s="14" t="s">
        <v>101</v>
      </c>
      <c r="C95" s="14" t="s">
        <v>136</v>
      </c>
      <c r="D95" s="5">
        <v>30</v>
      </c>
      <c r="E95" s="27">
        <v>25000</v>
      </c>
      <c r="F95" s="30">
        <v>8630</v>
      </c>
      <c r="G95" s="45">
        <f t="shared" si="1"/>
        <v>0.34520000000000001</v>
      </c>
    </row>
    <row r="96" spans="1:8" ht="20.25" customHeight="1" x14ac:dyDescent="0.3">
      <c r="A96" s="48">
        <v>8809962540591</v>
      </c>
      <c r="B96" s="14" t="s">
        <v>102</v>
      </c>
      <c r="C96" s="14" t="s">
        <v>137</v>
      </c>
      <c r="D96" s="5">
        <v>30</v>
      </c>
      <c r="E96" s="27">
        <v>35000</v>
      </c>
      <c r="F96" s="30">
        <v>11450</v>
      </c>
      <c r="G96" s="45">
        <f t="shared" si="1"/>
        <v>0.32714285714285712</v>
      </c>
    </row>
    <row r="97" spans="1:8" ht="20.25" customHeight="1" x14ac:dyDescent="0.3">
      <c r="A97" s="48">
        <v>8809962540539</v>
      </c>
      <c r="B97" s="14" t="s">
        <v>103</v>
      </c>
      <c r="C97" s="14" t="s">
        <v>138</v>
      </c>
      <c r="D97" s="5">
        <v>12</v>
      </c>
      <c r="E97" s="27">
        <v>1500</v>
      </c>
      <c r="F97" s="30">
        <v>1120</v>
      </c>
      <c r="G97" s="45">
        <f t="shared" si="1"/>
        <v>0.7466666666666667</v>
      </c>
    </row>
    <row r="98" spans="1:8" ht="20.25" customHeight="1" x14ac:dyDescent="0.3">
      <c r="A98" s="48">
        <v>8809962540805</v>
      </c>
      <c r="B98" s="14" t="s">
        <v>104</v>
      </c>
      <c r="C98" s="14" t="s">
        <v>139</v>
      </c>
      <c r="D98" s="5">
        <v>40</v>
      </c>
      <c r="E98" s="27">
        <v>26000</v>
      </c>
      <c r="F98" s="30">
        <v>10070</v>
      </c>
      <c r="G98" s="45">
        <f t="shared" si="1"/>
        <v>0.3873076923076923</v>
      </c>
    </row>
    <row r="99" spans="1:8" ht="20.25" customHeight="1" x14ac:dyDescent="0.3">
      <c r="A99" s="48">
        <v>8809962540812</v>
      </c>
      <c r="B99" s="14" t="s">
        <v>105</v>
      </c>
      <c r="C99" s="14" t="s">
        <v>140</v>
      </c>
      <c r="D99" s="5">
        <v>40</v>
      </c>
      <c r="E99" s="27">
        <v>18000</v>
      </c>
      <c r="F99" s="30">
        <v>5850</v>
      </c>
      <c r="G99" s="45">
        <f t="shared" si="1"/>
        <v>0.32500000000000001</v>
      </c>
    </row>
    <row r="100" spans="1:8" ht="20.25" customHeight="1" x14ac:dyDescent="0.3">
      <c r="A100" s="48">
        <v>8809962541048</v>
      </c>
      <c r="B100" s="22" t="s">
        <v>227</v>
      </c>
      <c r="C100" s="14" t="s">
        <v>141</v>
      </c>
      <c r="D100" s="5">
        <v>50</v>
      </c>
      <c r="E100" s="27">
        <v>26000</v>
      </c>
      <c r="F100" s="30">
        <v>8770</v>
      </c>
      <c r="G100" s="45">
        <f t="shared" si="1"/>
        <v>0.33730769230769231</v>
      </c>
    </row>
    <row r="101" spans="1:8" ht="20.25" customHeight="1" x14ac:dyDescent="0.3">
      <c r="A101" s="48">
        <v>8809962541031</v>
      </c>
      <c r="B101" s="22" t="s">
        <v>228</v>
      </c>
      <c r="C101" s="14" t="s">
        <v>142</v>
      </c>
      <c r="D101" s="5">
        <v>100</v>
      </c>
      <c r="E101" s="27">
        <v>28000</v>
      </c>
      <c r="F101" s="30">
        <v>9240</v>
      </c>
      <c r="G101" s="45">
        <f t="shared" si="1"/>
        <v>0.33</v>
      </c>
    </row>
    <row r="102" spans="1:8" ht="20.25" customHeight="1" x14ac:dyDescent="0.3">
      <c r="A102" s="48">
        <v>8809962541284</v>
      </c>
      <c r="B102" s="22" t="s">
        <v>229</v>
      </c>
      <c r="C102" s="14" t="s">
        <v>143</v>
      </c>
      <c r="D102" s="5">
        <v>40</v>
      </c>
      <c r="E102" s="27">
        <v>32000</v>
      </c>
      <c r="F102" s="30">
        <v>11300</v>
      </c>
      <c r="G102" s="45">
        <f t="shared" si="1"/>
        <v>0.35312500000000002</v>
      </c>
    </row>
    <row r="103" spans="1:8" ht="20.25" customHeight="1" x14ac:dyDescent="0.3">
      <c r="A103" s="48">
        <v>8809962541383</v>
      </c>
      <c r="B103" s="22" t="s">
        <v>230</v>
      </c>
      <c r="C103" s="14" t="s">
        <v>144</v>
      </c>
      <c r="D103" s="14">
        <v>30</v>
      </c>
      <c r="E103" s="29">
        <v>24000</v>
      </c>
      <c r="F103" s="30">
        <v>9100</v>
      </c>
      <c r="G103" s="45">
        <f t="shared" si="1"/>
        <v>0.37916666666666665</v>
      </c>
    </row>
    <row r="104" spans="1:8" ht="20.25" customHeight="1" x14ac:dyDescent="0.3">
      <c r="A104" s="48">
        <v>8809962541857</v>
      </c>
      <c r="B104" s="14" t="s">
        <v>145</v>
      </c>
      <c r="C104" s="14" t="s">
        <v>146</v>
      </c>
      <c r="D104" s="14">
        <v>60</v>
      </c>
      <c r="E104" s="29">
        <v>35000</v>
      </c>
      <c r="F104" s="30">
        <v>12010</v>
      </c>
      <c r="G104" s="45">
        <f t="shared" si="1"/>
        <v>0.34314285714285714</v>
      </c>
    </row>
    <row r="105" spans="1:8" ht="20.25" customHeight="1" x14ac:dyDescent="0.3">
      <c r="A105" s="48">
        <v>8809962541840</v>
      </c>
      <c r="B105" s="14" t="s">
        <v>147</v>
      </c>
      <c r="C105" s="14" t="s">
        <v>148</v>
      </c>
      <c r="D105" s="14">
        <v>80</v>
      </c>
      <c r="E105" s="29">
        <v>38000</v>
      </c>
      <c r="F105" s="30">
        <v>12320</v>
      </c>
      <c r="G105" s="45">
        <f t="shared" si="1"/>
        <v>0.32421052631578945</v>
      </c>
    </row>
    <row r="106" spans="1:8" ht="20.25" customHeight="1" x14ac:dyDescent="0.3">
      <c r="A106" s="48">
        <v>8809962542212</v>
      </c>
      <c r="B106" s="14" t="s">
        <v>106</v>
      </c>
      <c r="C106" s="14" t="s">
        <v>149</v>
      </c>
      <c r="D106" s="14">
        <v>50</v>
      </c>
      <c r="E106" s="29">
        <v>28000</v>
      </c>
      <c r="F106" s="30">
        <v>10590</v>
      </c>
      <c r="G106" s="45">
        <f t="shared" si="1"/>
        <v>0.37821428571428573</v>
      </c>
    </row>
    <row r="107" spans="1:8" ht="20.25" customHeight="1" x14ac:dyDescent="0.3">
      <c r="A107" s="48">
        <v>8809962542861</v>
      </c>
      <c r="B107" s="22" t="s">
        <v>212</v>
      </c>
      <c r="C107" s="14" t="s">
        <v>150</v>
      </c>
      <c r="D107" s="14">
        <v>50</v>
      </c>
      <c r="E107" s="29">
        <v>24000</v>
      </c>
      <c r="F107" s="30">
        <v>8570</v>
      </c>
      <c r="G107" s="45">
        <f t="shared" si="1"/>
        <v>0.35708333333333331</v>
      </c>
    </row>
    <row r="108" spans="1:8" ht="20.25" customHeight="1" x14ac:dyDescent="0.3">
      <c r="A108" s="48">
        <v>8809962542366</v>
      </c>
      <c r="B108" s="22" t="s">
        <v>213</v>
      </c>
      <c r="C108" s="14" t="s">
        <v>151</v>
      </c>
      <c r="D108" s="14">
        <v>30</v>
      </c>
      <c r="E108" s="29">
        <v>28000</v>
      </c>
      <c r="F108" s="30">
        <v>10220</v>
      </c>
      <c r="G108" s="45">
        <f t="shared" si="1"/>
        <v>0.36499999999999999</v>
      </c>
      <c r="H108" s="55" t="str">
        <f>VLOOKUP(A108,'[1]26.08'!$B:$K,10,0)</f>
        <v>NEW</v>
      </c>
    </row>
    <row r="109" spans="1:8" ht="20.25" customHeight="1" x14ac:dyDescent="0.3">
      <c r="A109" s="48">
        <v>8809962544162</v>
      </c>
      <c r="B109" s="22" t="s">
        <v>214</v>
      </c>
      <c r="C109" s="14" t="s">
        <v>152</v>
      </c>
      <c r="D109" s="14">
        <v>100</v>
      </c>
      <c r="E109" s="29">
        <v>28000</v>
      </c>
      <c r="F109" s="30">
        <v>10500</v>
      </c>
      <c r="G109" s="45">
        <f t="shared" si="1"/>
        <v>0.375</v>
      </c>
      <c r="H109" s="55" t="str">
        <f>VLOOKUP(A109,'[1]26.08'!$B:$K,10,0)</f>
        <v>NEW</v>
      </c>
    </row>
    <row r="110" spans="1:8" ht="20.25" customHeight="1" x14ac:dyDescent="0.3">
      <c r="A110" s="48">
        <v>8809962543547</v>
      </c>
      <c r="B110" s="22" t="s">
        <v>215</v>
      </c>
      <c r="C110" s="14" t="s">
        <v>153</v>
      </c>
      <c r="D110" s="14">
        <v>50</v>
      </c>
      <c r="E110" s="29">
        <v>28000</v>
      </c>
      <c r="F110" s="30">
        <v>10530</v>
      </c>
      <c r="G110" s="45">
        <f t="shared" si="1"/>
        <v>0.37607142857142856</v>
      </c>
      <c r="H110" s="55" t="str">
        <f>VLOOKUP(A110,'[1]26.08'!$B:$K,10,0)</f>
        <v>NEW</v>
      </c>
    </row>
    <row r="111" spans="1:8" ht="20.25" customHeight="1" x14ac:dyDescent="0.3">
      <c r="A111" s="48">
        <v>8809962543646</v>
      </c>
      <c r="B111" s="22" t="s">
        <v>216</v>
      </c>
      <c r="C111" s="14" t="s">
        <v>154</v>
      </c>
      <c r="D111" s="14">
        <v>40</v>
      </c>
      <c r="E111" s="29">
        <v>23000</v>
      </c>
      <c r="F111" s="30">
        <v>11940</v>
      </c>
      <c r="G111" s="45">
        <f t="shared" si="1"/>
        <v>0.51913043478260867</v>
      </c>
      <c r="H111" s="55" t="str">
        <f>VLOOKUP(A111,'[1]26.08'!$B:$K,10,0)</f>
        <v>NEW</v>
      </c>
    </row>
    <row r="112" spans="1:8" ht="20.25" customHeight="1" x14ac:dyDescent="0.3">
      <c r="A112" s="48">
        <v>8809962541222</v>
      </c>
      <c r="B112" s="22" t="s">
        <v>218</v>
      </c>
      <c r="C112" s="14" t="s">
        <v>107</v>
      </c>
      <c r="D112" s="14">
        <v>50</v>
      </c>
      <c r="E112" s="29">
        <v>24000</v>
      </c>
      <c r="F112" s="30">
        <v>8930</v>
      </c>
      <c r="G112" s="45">
        <f t="shared" si="1"/>
        <v>0.37208333333333332</v>
      </c>
    </row>
    <row r="113" spans="1:7" ht="20.25" customHeight="1" x14ac:dyDescent="0.3">
      <c r="A113" s="48">
        <v>8809962541239</v>
      </c>
      <c r="B113" s="22" t="s">
        <v>219</v>
      </c>
      <c r="C113" s="14" t="s">
        <v>108</v>
      </c>
      <c r="D113" s="14">
        <v>50</v>
      </c>
      <c r="E113" s="29">
        <v>24000</v>
      </c>
      <c r="F113" s="30">
        <v>8930</v>
      </c>
      <c r="G113" s="45">
        <f t="shared" si="1"/>
        <v>0.37208333333333332</v>
      </c>
    </row>
    <row r="114" spans="1:7" ht="20.25" customHeight="1" x14ac:dyDescent="0.3">
      <c r="A114" s="48">
        <v>8809962541246</v>
      </c>
      <c r="B114" s="22" t="s">
        <v>220</v>
      </c>
      <c r="C114" s="14" t="s">
        <v>109</v>
      </c>
      <c r="D114" s="14">
        <v>50</v>
      </c>
      <c r="E114" s="29">
        <v>26000</v>
      </c>
      <c r="F114" s="30">
        <v>9360</v>
      </c>
      <c r="G114" s="45">
        <f t="shared" si="1"/>
        <v>0.36</v>
      </c>
    </row>
    <row r="115" spans="1:7" ht="20.25" customHeight="1" x14ac:dyDescent="0.3">
      <c r="A115" s="48">
        <v>8809962541635</v>
      </c>
      <c r="B115" s="22" t="s">
        <v>221</v>
      </c>
      <c r="C115" s="14" t="s">
        <v>110</v>
      </c>
      <c r="D115" s="14">
        <v>50</v>
      </c>
      <c r="E115" s="29">
        <v>25000</v>
      </c>
      <c r="F115" s="30">
        <v>9000</v>
      </c>
      <c r="G115" s="45">
        <f t="shared" si="1"/>
        <v>0.36</v>
      </c>
    </row>
    <row r="116" spans="1:7" ht="20.25" customHeight="1" x14ac:dyDescent="0.3">
      <c r="A116" s="48">
        <v>8809962541628</v>
      </c>
      <c r="B116" s="22" t="s">
        <v>222</v>
      </c>
      <c r="C116" s="14" t="s">
        <v>111</v>
      </c>
      <c r="D116" s="14">
        <v>50</v>
      </c>
      <c r="E116" s="29">
        <v>25000</v>
      </c>
      <c r="F116" s="30">
        <v>9000</v>
      </c>
      <c r="G116" s="45">
        <f t="shared" si="1"/>
        <v>0.36</v>
      </c>
    </row>
    <row r="117" spans="1:7" ht="20.25" customHeight="1" x14ac:dyDescent="0.3">
      <c r="A117" s="48">
        <v>8809962541642</v>
      </c>
      <c r="B117" s="22" t="s">
        <v>223</v>
      </c>
      <c r="C117" s="14" t="s">
        <v>112</v>
      </c>
      <c r="D117" s="14">
        <v>50</v>
      </c>
      <c r="E117" s="29">
        <v>27000</v>
      </c>
      <c r="F117" s="30">
        <v>9450</v>
      </c>
      <c r="G117" s="45">
        <f t="shared" si="1"/>
        <v>0.35</v>
      </c>
    </row>
    <row r="118" spans="1:7" ht="20.25" customHeight="1" thickBot="1" x14ac:dyDescent="0.35">
      <c r="A118" s="49">
        <v>8809962540553</v>
      </c>
      <c r="B118" s="50" t="s">
        <v>224</v>
      </c>
      <c r="C118" s="51" t="s">
        <v>155</v>
      </c>
      <c r="D118" s="51">
        <v>100</v>
      </c>
      <c r="E118" s="52">
        <v>10000</v>
      </c>
      <c r="F118" s="53">
        <v>5420</v>
      </c>
      <c r="G118" s="54">
        <f t="shared" si="1"/>
        <v>0.54200000000000004</v>
      </c>
    </row>
  </sheetData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H.S Song</cp:lastModifiedBy>
  <dcterms:created xsi:type="dcterms:W3CDTF">2022-07-06T01:49:00Z</dcterms:created>
  <dcterms:modified xsi:type="dcterms:W3CDTF">2026-07-28T02:17:32Z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31CCD3CAF5AE4C1796EC6DDF6299CFB2</vt:lpwstr>
  </property>
  <property fmtid="{D5CDD505-2E9C-101B-9397-08002B2CF9AE}" pid="3" name="KSOProductBuildVer">
    <vt:lpwstr>2052-11.1.0.12763</vt:lpwstr>
  </property>
</Properties>
</file>
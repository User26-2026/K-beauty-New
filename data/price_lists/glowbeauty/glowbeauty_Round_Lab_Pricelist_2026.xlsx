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8_{D888C4CC-B878-4E72-AF8C-E551A670407B}" xr6:coauthVersionLast="47" xr6:coauthVersionMax="47" xr10:uidLastSave="{00000000-0000-0000-0000-000000000000}"/>
  <bookViews>
    <workbookView xWindow="-120" yWindow="-120" windowWidth="29040" windowHeight="15720" xr2:uid="{4A226BA7-0E30-4CB4-93DB-6FA4132782E6}"/>
  </bookViews>
  <sheets>
    <sheet name="Sheet1" sheetId="1" r:id="rId1"/>
  </sheets>
  <definedNames>
    <definedName name="_xlnm._FilterDatabase" localSheetId="0" hidden="1">Sheet1!$A$5:$M$121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4" i="1" l="1"/>
  <c r="F7" i="1"/>
  <c r="M7" i="1" s="1"/>
  <c r="F8" i="1"/>
  <c r="M8" i="1" s="1"/>
  <c r="F9" i="1"/>
  <c r="M9" i="1" s="1"/>
  <c r="F10" i="1"/>
  <c r="M10" i="1" s="1"/>
  <c r="F11" i="1"/>
  <c r="M11" i="1" s="1"/>
  <c r="F12" i="1"/>
  <c r="M12" i="1" s="1"/>
  <c r="F13" i="1"/>
  <c r="M13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I26" i="1" s="1"/>
  <c r="F27" i="1"/>
  <c r="M27" i="1" s="1"/>
  <c r="F28" i="1"/>
  <c r="M28" i="1" s="1"/>
  <c r="F29" i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35" i="1"/>
  <c r="M35" i="1" s="1"/>
  <c r="F36" i="1"/>
  <c r="M36" i="1" s="1"/>
  <c r="F37" i="1"/>
  <c r="M37" i="1" s="1"/>
  <c r="F38" i="1"/>
  <c r="I38" i="1" s="1"/>
  <c r="F39" i="1"/>
  <c r="M39" i="1" s="1"/>
  <c r="F40" i="1"/>
  <c r="M40" i="1" s="1"/>
  <c r="F41" i="1"/>
  <c r="M41" i="1" s="1"/>
  <c r="F42" i="1"/>
  <c r="M42" i="1" s="1"/>
  <c r="F43" i="1"/>
  <c r="M43" i="1" s="1"/>
  <c r="F44" i="1"/>
  <c r="M44" i="1" s="1"/>
  <c r="F45" i="1"/>
  <c r="M45" i="1" s="1"/>
  <c r="F46" i="1"/>
  <c r="M46" i="1" s="1"/>
  <c r="F47" i="1"/>
  <c r="M47" i="1" s="1"/>
  <c r="F48" i="1"/>
  <c r="M48" i="1" s="1"/>
  <c r="F49" i="1"/>
  <c r="M49" i="1" s="1"/>
  <c r="F50" i="1"/>
  <c r="I50" i="1" s="1"/>
  <c r="F51" i="1"/>
  <c r="M51" i="1" s="1"/>
  <c r="F52" i="1"/>
  <c r="M52" i="1" s="1"/>
  <c r="F53" i="1"/>
  <c r="M53" i="1" s="1"/>
  <c r="F54" i="1"/>
  <c r="M54" i="1" s="1"/>
  <c r="F55" i="1"/>
  <c r="M55" i="1" s="1"/>
  <c r="F56" i="1"/>
  <c r="M56" i="1" s="1"/>
  <c r="F57" i="1"/>
  <c r="M57" i="1" s="1"/>
  <c r="F58" i="1"/>
  <c r="M58" i="1" s="1"/>
  <c r="F59" i="1"/>
  <c r="M59" i="1" s="1"/>
  <c r="F60" i="1"/>
  <c r="M60" i="1" s="1"/>
  <c r="F61" i="1"/>
  <c r="M61" i="1" s="1"/>
  <c r="F62" i="1"/>
  <c r="I62" i="1" s="1"/>
  <c r="F63" i="1"/>
  <c r="M63" i="1" s="1"/>
  <c r="F64" i="1"/>
  <c r="M64" i="1" s="1"/>
  <c r="F65" i="1"/>
  <c r="M65" i="1" s="1"/>
  <c r="F66" i="1"/>
  <c r="M66" i="1" s="1"/>
  <c r="F67" i="1"/>
  <c r="M67" i="1" s="1"/>
  <c r="F68" i="1"/>
  <c r="M68" i="1" s="1"/>
  <c r="F69" i="1"/>
  <c r="M69" i="1" s="1"/>
  <c r="F70" i="1"/>
  <c r="M70" i="1" s="1"/>
  <c r="F71" i="1"/>
  <c r="M71" i="1" s="1"/>
  <c r="F72" i="1"/>
  <c r="M72" i="1" s="1"/>
  <c r="F73" i="1"/>
  <c r="M73" i="1" s="1"/>
  <c r="F74" i="1"/>
  <c r="I74" i="1" s="1"/>
  <c r="F75" i="1"/>
  <c r="M75" i="1" s="1"/>
  <c r="F76" i="1"/>
  <c r="M76" i="1" s="1"/>
  <c r="F77" i="1"/>
  <c r="M77" i="1" s="1"/>
  <c r="F78" i="1"/>
  <c r="M78" i="1" s="1"/>
  <c r="F79" i="1"/>
  <c r="M79" i="1" s="1"/>
  <c r="F80" i="1"/>
  <c r="M80" i="1" s="1"/>
  <c r="F81" i="1"/>
  <c r="M81" i="1" s="1"/>
  <c r="F82" i="1"/>
  <c r="M82" i="1" s="1"/>
  <c r="F83" i="1"/>
  <c r="M83" i="1" s="1"/>
  <c r="F84" i="1"/>
  <c r="M84" i="1" s="1"/>
  <c r="F85" i="1"/>
  <c r="M85" i="1" s="1"/>
  <c r="F86" i="1"/>
  <c r="I86" i="1" s="1"/>
  <c r="F87" i="1"/>
  <c r="M87" i="1" s="1"/>
  <c r="F88" i="1"/>
  <c r="M88" i="1" s="1"/>
  <c r="F89" i="1"/>
  <c r="M89" i="1" s="1"/>
  <c r="F90" i="1"/>
  <c r="M90" i="1" s="1"/>
  <c r="F91" i="1"/>
  <c r="M91" i="1" s="1"/>
  <c r="F92" i="1"/>
  <c r="M92" i="1" s="1"/>
  <c r="F93" i="1"/>
  <c r="M93" i="1" s="1"/>
  <c r="F94" i="1"/>
  <c r="M94" i="1" s="1"/>
  <c r="F95" i="1"/>
  <c r="M95" i="1" s="1"/>
  <c r="F96" i="1"/>
  <c r="M96" i="1" s="1"/>
  <c r="F97" i="1"/>
  <c r="M97" i="1" s="1"/>
  <c r="F98" i="1"/>
  <c r="M98" i="1" s="1"/>
  <c r="F99" i="1"/>
  <c r="M99" i="1" s="1"/>
  <c r="F100" i="1"/>
  <c r="M100" i="1" s="1"/>
  <c r="F101" i="1"/>
  <c r="M101" i="1" s="1"/>
  <c r="F102" i="1"/>
  <c r="M102" i="1" s="1"/>
  <c r="F103" i="1"/>
  <c r="M103" i="1" s="1"/>
  <c r="F104" i="1"/>
  <c r="I104" i="1" s="1"/>
  <c r="F105" i="1"/>
  <c r="M105" i="1" s="1"/>
  <c r="F106" i="1"/>
  <c r="M106" i="1" s="1"/>
  <c r="F107" i="1"/>
  <c r="M107" i="1" s="1"/>
  <c r="F108" i="1"/>
  <c r="M108" i="1" s="1"/>
  <c r="F109" i="1"/>
  <c r="M109" i="1" s="1"/>
  <c r="F110" i="1"/>
  <c r="M110" i="1" s="1"/>
  <c r="F111" i="1"/>
  <c r="M111" i="1" s="1"/>
  <c r="F112" i="1"/>
  <c r="M112" i="1" s="1"/>
  <c r="F113" i="1"/>
  <c r="M113" i="1" s="1"/>
  <c r="F114" i="1"/>
  <c r="M114" i="1" s="1"/>
  <c r="F115" i="1"/>
  <c r="M115" i="1" s="1"/>
  <c r="F116" i="1"/>
  <c r="M116" i="1" s="1"/>
  <c r="F117" i="1"/>
  <c r="M117" i="1" s="1"/>
  <c r="F118" i="1"/>
  <c r="M118" i="1" s="1"/>
  <c r="F119" i="1"/>
  <c r="M119" i="1" s="1"/>
  <c r="F120" i="1"/>
  <c r="M120" i="1" s="1"/>
  <c r="F121" i="1"/>
  <c r="M121" i="1" s="1"/>
  <c r="F6" i="1"/>
  <c r="M6" i="1" s="1"/>
  <c r="H117" i="1"/>
  <c r="K117" i="1"/>
  <c r="H118" i="1"/>
  <c r="K118" i="1"/>
  <c r="H119" i="1"/>
  <c r="K119" i="1"/>
  <c r="H120" i="1"/>
  <c r="K120" i="1"/>
  <c r="H121" i="1"/>
  <c r="K121" i="1"/>
  <c r="H101" i="1"/>
  <c r="K101" i="1"/>
  <c r="H102" i="1"/>
  <c r="K102" i="1"/>
  <c r="H103" i="1"/>
  <c r="K103" i="1"/>
  <c r="H104" i="1"/>
  <c r="K104" i="1"/>
  <c r="H105" i="1"/>
  <c r="K105" i="1"/>
  <c r="H106" i="1"/>
  <c r="K106" i="1"/>
  <c r="H107" i="1"/>
  <c r="K107" i="1"/>
  <c r="H108" i="1"/>
  <c r="K108" i="1"/>
  <c r="H109" i="1"/>
  <c r="K109" i="1"/>
  <c r="H110" i="1"/>
  <c r="K110" i="1"/>
  <c r="H111" i="1"/>
  <c r="K111" i="1"/>
  <c r="H112" i="1"/>
  <c r="K112" i="1"/>
  <c r="H113" i="1"/>
  <c r="K113" i="1"/>
  <c r="H114" i="1"/>
  <c r="K114" i="1"/>
  <c r="H115" i="1"/>
  <c r="K115" i="1"/>
  <c r="H116" i="1"/>
  <c r="K11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6" i="1"/>
  <c r="H97" i="1"/>
  <c r="H96" i="1"/>
  <c r="H98" i="1"/>
  <c r="H99" i="1"/>
  <c r="H86" i="1"/>
  <c r="H85" i="1"/>
  <c r="H84" i="1"/>
  <c r="H83" i="1"/>
  <c r="H82" i="1"/>
  <c r="H81" i="1"/>
  <c r="H80" i="1"/>
  <c r="H79" i="1"/>
  <c r="H78" i="1"/>
  <c r="H77" i="1"/>
  <c r="H76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87" i="1"/>
  <c r="H88" i="1"/>
  <c r="H89" i="1"/>
  <c r="H90" i="1"/>
  <c r="H91" i="1"/>
  <c r="H92" i="1"/>
  <c r="H93" i="1"/>
  <c r="H94" i="1"/>
  <c r="H95" i="1"/>
  <c r="H100" i="1"/>
  <c r="H6" i="1"/>
  <c r="I114" i="1" l="1"/>
  <c r="I102" i="1"/>
  <c r="I90" i="1"/>
  <c r="I78" i="1"/>
  <c r="I66" i="1"/>
  <c r="I54" i="1"/>
  <c r="I42" i="1"/>
  <c r="I30" i="1"/>
  <c r="I18" i="1"/>
  <c r="I10" i="1"/>
  <c r="M86" i="1"/>
  <c r="M74" i="1"/>
  <c r="M62" i="1"/>
  <c r="M50" i="1"/>
  <c r="M38" i="1"/>
  <c r="M26" i="1"/>
  <c r="I121" i="1"/>
  <c r="I117" i="1"/>
  <c r="I113" i="1"/>
  <c r="I109" i="1"/>
  <c r="I105" i="1"/>
  <c r="I101" i="1"/>
  <c r="I97" i="1"/>
  <c r="I93" i="1"/>
  <c r="I89" i="1"/>
  <c r="I85" i="1"/>
  <c r="I81" i="1"/>
  <c r="I77" i="1"/>
  <c r="I73" i="1"/>
  <c r="I69" i="1"/>
  <c r="I65" i="1"/>
  <c r="I61" i="1"/>
  <c r="I57" i="1"/>
  <c r="I53" i="1"/>
  <c r="I49" i="1"/>
  <c r="I45" i="1"/>
  <c r="I41" i="1"/>
  <c r="I37" i="1"/>
  <c r="I33" i="1"/>
  <c r="I29" i="1"/>
  <c r="I25" i="1"/>
  <c r="I21" i="1"/>
  <c r="I17" i="1"/>
  <c r="I13" i="1"/>
  <c r="I9" i="1"/>
  <c r="I118" i="1"/>
  <c r="I106" i="1"/>
  <c r="I94" i="1"/>
  <c r="I82" i="1"/>
  <c r="I70" i="1"/>
  <c r="I58" i="1"/>
  <c r="I46" i="1"/>
  <c r="I34" i="1"/>
  <c r="I14" i="1"/>
  <c r="I120" i="1"/>
  <c r="I116" i="1"/>
  <c r="I112" i="1"/>
  <c r="I108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  <c r="I16" i="1"/>
  <c r="I12" i="1"/>
  <c r="I8" i="1"/>
  <c r="I6" i="1"/>
  <c r="I110" i="1"/>
  <c r="I98" i="1"/>
  <c r="I22" i="1"/>
  <c r="I119" i="1"/>
  <c r="I115" i="1"/>
  <c r="I111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I55" i="1"/>
  <c r="I51" i="1"/>
  <c r="I47" i="1"/>
  <c r="I43" i="1"/>
  <c r="I39" i="1"/>
  <c r="I35" i="1"/>
  <c r="I31" i="1"/>
  <c r="I27" i="1"/>
  <c r="I23" i="1"/>
  <c r="I19" i="1"/>
  <c r="I15" i="1"/>
  <c r="I11" i="1"/>
  <c r="I7" i="1"/>
  <c r="K2" i="1"/>
  <c r="G2" i="1"/>
  <c r="L2" i="1" l="1"/>
  <c r="H2" i="1"/>
  <c r="I2" i="1" l="1"/>
  <c r="M2" i="1"/>
</calcChain>
</file>

<file path=xl/sharedStrings.xml><?xml version="1.0" encoding="utf-8"?>
<sst xmlns="http://schemas.openxmlformats.org/spreadsheetml/2006/main" count="136" uniqueCount="135">
  <si>
    <t>MSRP</t>
    <phoneticPr fontId="2" type="noConversion"/>
  </si>
  <si>
    <t>금액</t>
    <phoneticPr fontId="2" type="noConversion"/>
  </si>
  <si>
    <t>확정박스</t>
    <phoneticPr fontId="2" type="noConversion"/>
  </si>
  <si>
    <t>확정수량</t>
    <phoneticPr fontId="2" type="noConversion"/>
  </si>
  <si>
    <t>라운드랩(ROUND LAB)</t>
    <phoneticPr fontId="2" type="noConversion"/>
  </si>
  <si>
    <t>MOA: 3000(만원)  / Lead Time: 2~3 Weeks / 발주요일: 매주 금요일 오후 5시 전까지(3000만원 이하시 취합발주)</t>
    <phoneticPr fontId="2" type="noConversion"/>
  </si>
  <si>
    <t>1025 DOKDO TONER_100ml</t>
  </si>
  <si>
    <t>1025 DOKDO TONER_200ml</t>
  </si>
  <si>
    <t>1025 DOKDO TONER_500ml</t>
  </si>
  <si>
    <t>1025 DOKDO LOTION_200ml</t>
  </si>
  <si>
    <t>1025 DOKDO CREAM_80ml</t>
  </si>
  <si>
    <t xml:space="preserve">1025 DOKDO CLEANSER_150ml  </t>
  </si>
  <si>
    <t>1025 DOKDO CLEANSING OIL_200ml</t>
  </si>
  <si>
    <t>1025 DOKDO SLEEPING PACK_100ml</t>
  </si>
  <si>
    <t>1025 DOKDO AMPULE_45g</t>
  </si>
  <si>
    <t>1025 DOKDO MUD PACK_100ml (Tube Type)</t>
  </si>
  <si>
    <t>1025 DOKDO HYDRATING WATER GEL MASK_30ml (10ea)</t>
  </si>
  <si>
    <t>1025 DOKDO LIGHT CREAM_80ml</t>
  </si>
  <si>
    <t>1025 DOKDO CLEANSING BALM_50ml (NEW)</t>
  </si>
  <si>
    <t>1025 DOKDO CLEANSING MILK_200ml</t>
  </si>
  <si>
    <t>1025 DOKDO BUBBLE FOAM_150ml</t>
  </si>
  <si>
    <t>1025 DOKDO PAD_70pcs</t>
  </si>
  <si>
    <t>1025 DOKDO EYE CREAM_30ml</t>
  </si>
  <si>
    <t>1025 DOKDO PEELING GEL_120ml</t>
  </si>
  <si>
    <t>1025 DOKDO SUNSCREEN_50ml</t>
  </si>
  <si>
    <t>1025 DOKDO CLEANSING GEL_150ml</t>
  </si>
  <si>
    <t>1025 DOKDO CLEANSING WATER_400ml</t>
  </si>
  <si>
    <t>1025 DOKDO TONER LOTION SPECIAL SET (Toner_200ml + Lotion_200ml)</t>
  </si>
  <si>
    <t>1025 DOKDO TRIAL KIT (Cleanser 30ml + Toner 20ml + Ampule 10ml + Cream 20ml)</t>
  </si>
  <si>
    <t>1025 DOKDO CLEANSING TISSUE_30ea</t>
  </si>
  <si>
    <t>BIRCH JUICE MOISTURIZING TONER_300ml</t>
  </si>
  <si>
    <t>BIRCH JUICE MOISTURIZING CREAM_80ml</t>
  </si>
  <si>
    <t>BIRCH JUICE MOISTURIZING CLEANSER_150ml</t>
  </si>
  <si>
    <t>BIRCH JUICE MOISTURIZING WASHOFF PACK_80ml</t>
  </si>
  <si>
    <t>BIRCH JUICE MOISTURIZING SERUM_50ml</t>
  </si>
  <si>
    <t>BIRCH JUICE MOISTURIZING PAD_80pcs</t>
  </si>
  <si>
    <t>BIRCH JUICE MOISTURIZING SUNSCREEN_50ml</t>
  </si>
  <si>
    <t>BIRCH JUICE MOISTURIZING MASK_25ml (10ea)</t>
  </si>
  <si>
    <t>BIRCH JUICE MOISTURIZING SOOTHING GEL_150ml</t>
  </si>
  <si>
    <t>BIRCH JUICE MOISTURIZING TONE UP SUNSCREEN_50ml</t>
  </si>
  <si>
    <t>BIRCH JUICE MILD-UP SUNSCREEN_50ml</t>
  </si>
  <si>
    <t xml:space="preserve">BIRCH JUICE MOISTURIZING SUN STICK_19g </t>
  </si>
  <si>
    <t xml:space="preserve">BIRCH JUICE MOISTURIZING SUN CUSHION_15g </t>
  </si>
  <si>
    <t>BIRCH JUICE AMPOULE_50ml</t>
  </si>
  <si>
    <t>BIRCH JUICE CLEANSING PAD_60ea</t>
  </si>
  <si>
    <t>BIRCH JUICE HAND CREAM 30ml</t>
  </si>
  <si>
    <t>BIRCH JUICE TRIAL KIT (Cleanser 30ml + Toner 20ml + Ampoule 10ml + Cream 20ml)</t>
  </si>
  <si>
    <t>BIRCH JUICE MOISTURIZING DOUBLE GEL MASK 23ml(10ea)</t>
  </si>
  <si>
    <t>BIRCH JUICE MOISTURIZING LIP BALM(+MINI BRUSH)</t>
  </si>
  <si>
    <t>BIRCH JUICE MOISTURIZING LIP BALM SET(+LIP BRUSH)</t>
  </si>
  <si>
    <t>BIRCH JUICE MOISTURIZING EYE BALM 10g</t>
  </si>
  <si>
    <t>BIRCH JUICE MOISTURIZING INTENSIVE CREAM 50ml</t>
  </si>
  <si>
    <t>BIRCH JUICE MOISTURIZING PEELING CLEANSING OIL 200ml</t>
  </si>
  <si>
    <t>BIRCH JUICE MOISTURIZING SUN SPRAY 100ml</t>
  </si>
  <si>
    <t>MUGWORT CALMING TONER_300ml</t>
  </si>
  <si>
    <t>MUGWORT CALMING CREAM_80ml</t>
  </si>
  <si>
    <t>MUGWORT CALMING CLEANSER_150ml</t>
  </si>
  <si>
    <t>MUGWORT CALMING SERUM_50ml</t>
  </si>
  <si>
    <t>MUGWORT CALMING SOOTHING GEL_150ml</t>
  </si>
  <si>
    <t>MUGWORT CALMING MASK_25ml (10ea)</t>
  </si>
  <si>
    <t>SOYBEAN SERUM_50ml</t>
  </si>
  <si>
    <t>SOYBEAN NOURISHING MASK_27ml (10ea)</t>
  </si>
  <si>
    <t>SOYBEAN NOURISHING TONER_300ml</t>
  </si>
  <si>
    <t>SOYBEAN NOURISHING CREAM_80ml</t>
  </si>
  <si>
    <t>SOYBEAN CLEANSER_150ml</t>
  </si>
  <si>
    <t>SOYBEAN CLEANSING OIL_200ml</t>
  </si>
  <si>
    <t>SOYBEAN PANTHENOL TONER_250ml</t>
  </si>
  <si>
    <t>SOYBEAN PANTHENOL AMPOULE_50ml</t>
  </si>
  <si>
    <t>SOYBEAN PANTHENOL CREAM_80ml</t>
  </si>
  <si>
    <t>SOYBEAN PANTHENOL MASK_25ml (10ea)</t>
  </si>
  <si>
    <t>SOYBEAN PANTHENOL CLEANSER_150ml</t>
  </si>
  <si>
    <t>SOYBEAN PANTHENOL CLEANSING OIL_200ml</t>
  </si>
  <si>
    <t>SOYBEAN QLA BARRIER CREAM 80ml</t>
  </si>
  <si>
    <t>PINE CALMING CICA CREAM_50ml</t>
  </si>
  <si>
    <t>PINE CALMING CICA AMPOULE_30ml</t>
  </si>
  <si>
    <t>PINE CALMING CICA PAD_50pcs</t>
  </si>
  <si>
    <t>PINE CALMING CICA MASK_27ml (10ea)</t>
  </si>
  <si>
    <t>PINE CALMING CICA TONER_250ml</t>
  </si>
  <si>
    <t>PINE CALMING CICA LOTION_250ml</t>
  </si>
  <si>
    <t>PINE CALMING CICA CLEANSER_150ml</t>
  </si>
  <si>
    <t>PINE CICA DEEP PORE CLAY MASK CLEANSER_150ml</t>
  </si>
  <si>
    <t>PINE CALMING CICA BODY WASH_400ml</t>
  </si>
  <si>
    <t>PINE CALMING CICA TRIAL KIT (Cleanser 30ml + Toner 20ml + Ampoule 10ml + Cream 20ml)</t>
  </si>
  <si>
    <t>PINE CALMING CICA CREAM PLUS_60ml</t>
  </si>
  <si>
    <t>PINE CALMING CICA SUNSCREEN 40ml</t>
  </si>
  <si>
    <t>PINE CALMING CICA MILD UP SUNSCREEN 40ml</t>
  </si>
  <si>
    <t>PINE CALMING CICA AIRY SUN STICK 19g</t>
  </si>
  <si>
    <t>PINE CALMING CICA SCALP AMPOULE 15ml</t>
  </si>
  <si>
    <t>PINE CALMING CICA SHAMPOO 400ml</t>
  </si>
  <si>
    <t>PINE CALMING CICA SCALP TONIC 100ml</t>
  </si>
  <si>
    <t>PINE CALMING CICA NOSE PACK (5ea)</t>
  </si>
  <si>
    <t>PINE CICA DEEP PORE CLEANSING OIL 200ml</t>
  </si>
  <si>
    <t>[OTC] PINE CALMING CICA ACNE MICRO SPOT PATCH</t>
  </si>
  <si>
    <t>PINE CALMING CICA PRIMER SUNSCREEN 50ml</t>
  </si>
  <si>
    <t>VITA NIACINAMIDE DARK SPOT SERUM 30ml</t>
  </si>
  <si>
    <t>VITA NIACINAMIDE DARK SPOT CREAM 50ml</t>
  </si>
  <si>
    <t>VITA NIACINAMIDE DARK SPOT SERUM MASK 20ml (10ea)</t>
  </si>
  <si>
    <t>VITA NIACINAMIDE GLOW CAPSULE CREAM 50ml</t>
  </si>
  <si>
    <t>BABY MILD TOP TO TOE WASH 300ml</t>
  </si>
  <si>
    <t>BABY MILD LOTION 300ml</t>
  </si>
  <si>
    <t>BABY MILD WET WIPES 20ea</t>
  </si>
  <si>
    <t>BABY MILD SUNSCREEN_60ml</t>
  </si>
  <si>
    <t>BABY MILD SOOTHING GEL_150ml</t>
  </si>
  <si>
    <t>BABY MILD SUN STICK 21g</t>
  </si>
  <si>
    <t>BABY MILD SUN CUSHION 16g</t>
  </si>
  <si>
    <t>BABY MILD CREAM 200ml</t>
  </si>
  <si>
    <t>CAMELLIA DEEP COLLAGEN FIRMING GEL MASK_34g (4ea)</t>
  </si>
  <si>
    <t>CAMELLIA DEEP COLLAGEN FIRMING AMPOULE_30ml</t>
  </si>
  <si>
    <t>CAMELLIA DEEP COLLAGEN FIRMING CREAM_50ml</t>
  </si>
  <si>
    <t>CAMELLIA DEEP COLLAGEN FIRMING SUN SERUM_50ml</t>
  </si>
  <si>
    <t>CAMELLIA DEEP COLLAGEN JELLY MASK CLEANSER 150ml</t>
  </si>
  <si>
    <t>CAMELLIA DEEP COLLAGEN V LIFTING GEL MASK 10g(4ea)</t>
  </si>
  <si>
    <t>CAMELLIA DEEP COLLAGEN EYE CREAM 30ml</t>
  </si>
  <si>
    <t>CAMELLIA DEEP COLLAGEN MILKY PDRN TONER 150ml</t>
  </si>
  <si>
    <t>CAMELLIA DEEP COLLAGEN LIFTING GUA SHA CREAM 60ml</t>
  </si>
  <si>
    <t>FOR MEN BIRCH JUICE MOISTURIZING TONER_200ml</t>
  </si>
  <si>
    <t>FOR MEN BIRCH JUICE MOISTURIZING LOTION_200ml</t>
  </si>
  <si>
    <t>FOR MEN BIRCH JUICE MOISTURIZING CREAM_75ml</t>
  </si>
  <si>
    <t>FOR MEN PINE CALMING CICA TONER_200ml</t>
  </si>
  <si>
    <t>FOR MEN PINE CALMING CICA LOTION_200ml</t>
  </si>
  <si>
    <t>FOR MEN PINE CALMING CICA CREAM_75ml</t>
  </si>
  <si>
    <t>STICK POUCH KIT</t>
  </si>
  <si>
    <t>Barcode</t>
    <phoneticPr fontId="2" type="noConversion"/>
  </si>
  <si>
    <t>Product name</t>
    <phoneticPr fontId="2" type="noConversion"/>
  </si>
  <si>
    <t>1 Box Quantity</t>
    <phoneticPr fontId="2" type="noConversion"/>
  </si>
  <si>
    <t>Supply Price</t>
    <phoneticPr fontId="2" type="noConversion"/>
  </si>
  <si>
    <t>Box</t>
    <phoneticPr fontId="2" type="noConversion"/>
  </si>
  <si>
    <t>Quantity</t>
    <phoneticPr fontId="2" type="noConversion"/>
  </si>
  <si>
    <t>Amount</t>
    <phoneticPr fontId="2" type="noConversion"/>
  </si>
  <si>
    <t>Total Amount</t>
    <phoneticPr fontId="2" type="noConversion"/>
  </si>
  <si>
    <t>Total Quantity</t>
    <phoneticPr fontId="2" type="noConversion"/>
  </si>
  <si>
    <t>Total Box</t>
    <phoneticPr fontId="2" type="noConversion"/>
  </si>
  <si>
    <t>Final Box</t>
    <phoneticPr fontId="2" type="noConversion"/>
  </si>
  <si>
    <t>Final Quantity</t>
    <phoneticPr fontId="2" type="noConversion"/>
  </si>
  <si>
    <t>Final 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</si>
</sst>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0_ "/>
    <numFmt numFmtId="177" formatCode="[$₩-412]#,##0;\-[$₩-412]#,##0"/>
    <numFmt numFmtId="178" formatCode="#,##0_ "/>
    <numFmt numFmtId="179" formatCode="[$₩-412]#,##0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1" fontId="3" fillId="0" borderId="1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178" fontId="3" fillId="5" borderId="0" xfId="0" applyNumberFormat="1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0" fontId="3" fillId="0" borderId="1" xfId="1" applyNumberFormat="1" applyFont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M121"/>
  <sheetViews>
    <sheetView tabSelected="1" zoomScale="85" zoomScaleNormal="85" workbookViewId="0">
      <pane ySplit="5" topLeftCell="A6" activePane="bottomLeft" state="frozen"/>
      <selection pane="bottomLeft" activeCell="M2" sqref="M2:M3"/>
    </sheetView>
  </sheetViews>
  <sheetFormatPr defaultRowHeight="16.5"/>
  <cols>
    <col min="1" max="1" width="18.625" style="19" customWidth="1"/>
    <col min="2" max="2" width="57.375" style="20" customWidth="1"/>
    <col min="3" max="3" width="15.125" style="21" bestFit="1" customWidth="1"/>
    <col min="4" max="4" width="10" style="22" bestFit="1" customWidth="1"/>
    <col min="5" max="5" width="10.375" style="23" customWidth="1"/>
    <col min="6" max="6" width="10.375" style="40" customWidth="1"/>
    <col min="7" max="7" width="13.25" style="24" bestFit="1" customWidth="1"/>
    <col min="8" max="8" width="12.125" style="25" bestFit="1" customWidth="1"/>
    <col min="9" max="9" width="15.25" style="46" bestFit="1" customWidth="1"/>
    <col min="10" max="10" width="4.625" style="23" customWidth="1"/>
    <col min="11" max="11" width="13.25" style="24" bestFit="1" customWidth="1"/>
    <col min="12" max="12" width="13.25" style="23" bestFit="1" customWidth="1"/>
    <col min="13" max="13" width="12.625" style="40" bestFit="1" customWidth="1"/>
    <col min="14" max="16384" width="9" style="23"/>
  </cols>
  <sheetData>
    <row r="1" spans="1:13" customFormat="1" ht="31.5">
      <c r="A1" s="11" t="s">
        <v>4</v>
      </c>
      <c r="B1" s="2"/>
      <c r="C1" s="1"/>
      <c r="D1" s="1"/>
      <c r="E1" s="1"/>
      <c r="F1" s="37"/>
      <c r="G1" s="14" t="s">
        <v>131</v>
      </c>
      <c r="H1" s="14" t="s">
        <v>130</v>
      </c>
      <c r="I1" s="41" t="s">
        <v>129</v>
      </c>
      <c r="K1" s="9" t="s">
        <v>132</v>
      </c>
      <c r="L1" s="9" t="s">
        <v>133</v>
      </c>
      <c r="M1" s="47" t="s">
        <v>134</v>
      </c>
    </row>
    <row r="2" spans="1:13" customFormat="1">
      <c r="A2" s="10" t="s">
        <v>5</v>
      </c>
      <c r="B2" s="2"/>
      <c r="C2" s="1"/>
      <c r="D2" s="1"/>
      <c r="E2" s="1"/>
      <c r="F2" s="37"/>
      <c r="G2" s="36">
        <f>SUM(G6:G1048576)</f>
        <v>0</v>
      </c>
      <c r="H2" s="36">
        <f>SUM(H6:H1048576)</f>
        <v>0</v>
      </c>
      <c r="I2" s="42">
        <f>SUM(I6:I1048576)</f>
        <v>0</v>
      </c>
      <c r="K2" s="35">
        <f>SUM(K6:K1048576)</f>
        <v>0</v>
      </c>
      <c r="L2" s="35">
        <f>SUM(L6:L1048576)</f>
        <v>0</v>
      </c>
      <c r="M2" s="48">
        <f>SUM(M6:M1048576)</f>
        <v>0</v>
      </c>
    </row>
    <row r="3" spans="1:13" customFormat="1">
      <c r="A3" s="13"/>
      <c r="B3" s="2"/>
      <c r="C3" s="1"/>
      <c r="D3" s="1"/>
      <c r="E3" s="1"/>
      <c r="F3" s="37"/>
      <c r="G3" s="36"/>
      <c r="H3" s="36"/>
      <c r="I3" s="42"/>
      <c r="K3" s="35"/>
      <c r="L3" s="35"/>
      <c r="M3" s="48"/>
    </row>
    <row r="4" spans="1:13" customFormat="1">
      <c r="A4" s="1"/>
      <c r="B4" s="2"/>
      <c r="C4" s="1"/>
      <c r="D4" s="1"/>
      <c r="E4" s="1"/>
      <c r="F4" s="37"/>
      <c r="G4" s="15"/>
      <c r="H4" s="15"/>
      <c r="I4" s="43"/>
      <c r="K4" s="8"/>
      <c r="L4" s="8"/>
      <c r="M4" s="49"/>
    </row>
    <row r="5" spans="1:13" customFormat="1">
      <c r="A5" s="3" t="s">
        <v>122</v>
      </c>
      <c r="B5" s="52" t="s">
        <v>123</v>
      </c>
      <c r="C5" s="4" t="s">
        <v>124</v>
      </c>
      <c r="D5" s="5" t="s">
        <v>0</v>
      </c>
      <c r="E5" s="6" t="s">
        <v>125</v>
      </c>
      <c r="F5" s="38" t="s">
        <v>125</v>
      </c>
      <c r="G5" s="16" t="s">
        <v>126</v>
      </c>
      <c r="H5" s="17" t="s">
        <v>127</v>
      </c>
      <c r="I5" s="44" t="s">
        <v>128</v>
      </c>
      <c r="K5" s="7" t="s">
        <v>2</v>
      </c>
      <c r="L5" s="4" t="s">
        <v>3</v>
      </c>
      <c r="M5" s="50" t="s">
        <v>1</v>
      </c>
    </row>
    <row r="6" spans="1:13" ht="80.099999999999994" customHeight="1">
      <c r="A6" s="26">
        <v>8809657115387</v>
      </c>
      <c r="B6" s="33" t="s">
        <v>6</v>
      </c>
      <c r="C6" s="27">
        <v>96</v>
      </c>
      <c r="D6" s="28">
        <v>13000</v>
      </c>
      <c r="E6" s="29">
        <v>5121.82</v>
      </c>
      <c r="F6" s="39">
        <f>E6/1340</f>
        <v>3.8222537313432832</v>
      </c>
      <c r="G6" s="18"/>
      <c r="H6" s="18">
        <f>G6*C6</f>
        <v>0</v>
      </c>
      <c r="I6" s="45">
        <f>F6*H6</f>
        <v>0</v>
      </c>
      <c r="J6"/>
      <c r="K6" s="34">
        <f>L6/C6</f>
        <v>0</v>
      </c>
      <c r="L6" s="12"/>
      <c r="M6" s="51">
        <f>F6*L6</f>
        <v>0</v>
      </c>
    </row>
    <row r="7" spans="1:13" ht="80.099999999999994" customHeight="1">
      <c r="A7" s="26">
        <v>8809657114731</v>
      </c>
      <c r="B7" s="30" t="s">
        <v>7</v>
      </c>
      <c r="C7" s="27">
        <v>30</v>
      </c>
      <c r="D7" s="28">
        <v>15000</v>
      </c>
      <c r="E7" s="29">
        <v>7907.2400000000007</v>
      </c>
      <c r="F7" s="39">
        <f t="shared" ref="F7:F70" si="0">E7/1340</f>
        <v>5.9009253731343287</v>
      </c>
      <c r="G7" s="18"/>
      <c r="H7" s="18">
        <f>G7*C7</f>
        <v>0</v>
      </c>
      <c r="I7" s="45">
        <f t="shared" ref="I7:I70" si="1">F7*H7</f>
        <v>0</v>
      </c>
      <c r="J7"/>
      <c r="K7" s="34">
        <f>L7/C7</f>
        <v>0</v>
      </c>
      <c r="L7" s="12"/>
      <c r="M7" s="51">
        <f t="shared" ref="M7:M70" si="2">F7*L7</f>
        <v>0</v>
      </c>
    </row>
    <row r="8" spans="1:13" ht="80.099999999999994" customHeight="1">
      <c r="A8" s="26">
        <v>8809657114748</v>
      </c>
      <c r="B8" s="30" t="s">
        <v>8</v>
      </c>
      <c r="C8" s="27">
        <v>30</v>
      </c>
      <c r="D8" s="28">
        <v>30000</v>
      </c>
      <c r="E8" s="29">
        <v>15732.86</v>
      </c>
      <c r="F8" s="39">
        <f t="shared" si="0"/>
        <v>11.740940298507462</v>
      </c>
      <c r="G8" s="18"/>
      <c r="H8" s="18">
        <f>G8*C8</f>
        <v>0</v>
      </c>
      <c r="I8" s="45">
        <f t="shared" si="1"/>
        <v>0</v>
      </c>
      <c r="J8"/>
      <c r="K8" s="34">
        <f>L8/C8</f>
        <v>0</v>
      </c>
      <c r="L8" s="12"/>
      <c r="M8" s="51">
        <f t="shared" si="2"/>
        <v>0</v>
      </c>
    </row>
    <row r="9" spans="1:13" ht="80.099999999999994" customHeight="1">
      <c r="A9" s="26">
        <v>8809657114779</v>
      </c>
      <c r="B9" s="30" t="s">
        <v>9</v>
      </c>
      <c r="C9" s="27">
        <v>30</v>
      </c>
      <c r="D9" s="28">
        <v>20000</v>
      </c>
      <c r="E9" s="29">
        <v>10049.380000000001</v>
      </c>
      <c r="F9" s="39">
        <f t="shared" si="0"/>
        <v>7.4995373134328362</v>
      </c>
      <c r="G9" s="18"/>
      <c r="H9" s="18">
        <f>G9*C9</f>
        <v>0</v>
      </c>
      <c r="I9" s="45">
        <f t="shared" si="1"/>
        <v>0</v>
      </c>
      <c r="J9"/>
      <c r="K9" s="34">
        <f>L9/C9</f>
        <v>0</v>
      </c>
      <c r="L9" s="12"/>
      <c r="M9" s="51">
        <f t="shared" si="2"/>
        <v>0</v>
      </c>
    </row>
    <row r="10" spans="1:13" ht="80.099999999999994" customHeight="1">
      <c r="A10" s="26">
        <v>8809738600245</v>
      </c>
      <c r="B10" s="30" t="s">
        <v>10</v>
      </c>
      <c r="C10" s="27">
        <v>80</v>
      </c>
      <c r="D10" s="28">
        <v>32000</v>
      </c>
      <c r="E10" s="29">
        <v>13597.76</v>
      </c>
      <c r="F10" s="39">
        <f t="shared" si="0"/>
        <v>10.147582089552239</v>
      </c>
      <c r="G10" s="18"/>
      <c r="H10" s="18">
        <f>G10*C10</f>
        <v>0</v>
      </c>
      <c r="I10" s="45">
        <f t="shared" si="1"/>
        <v>0</v>
      </c>
      <c r="J10"/>
      <c r="K10" s="34">
        <f>L10/C10</f>
        <v>0</v>
      </c>
      <c r="L10" s="12"/>
      <c r="M10" s="51">
        <f t="shared" si="2"/>
        <v>0</v>
      </c>
    </row>
    <row r="11" spans="1:13" ht="80.099999999999994" customHeight="1">
      <c r="A11" s="26">
        <v>8809738608364</v>
      </c>
      <c r="B11" s="30" t="s">
        <v>11</v>
      </c>
      <c r="C11" s="27">
        <v>30</v>
      </c>
      <c r="D11" s="28">
        <v>13000</v>
      </c>
      <c r="E11" s="29">
        <v>6579.3200000000006</v>
      </c>
      <c r="F11" s="39">
        <f t="shared" si="0"/>
        <v>4.9099402985074629</v>
      </c>
      <c r="G11" s="18"/>
      <c r="H11" s="18">
        <f>G11*C11</f>
        <v>0</v>
      </c>
      <c r="I11" s="45">
        <f t="shared" si="1"/>
        <v>0</v>
      </c>
      <c r="J11"/>
      <c r="K11" s="34">
        <f>L11/C11</f>
        <v>0</v>
      </c>
      <c r="L11" s="12"/>
      <c r="M11" s="51">
        <f t="shared" si="2"/>
        <v>0</v>
      </c>
    </row>
    <row r="12" spans="1:13" ht="80.099999999999994" customHeight="1">
      <c r="A12" s="26">
        <v>8809738605677</v>
      </c>
      <c r="B12" s="30" t="s">
        <v>12</v>
      </c>
      <c r="C12" s="27">
        <v>30</v>
      </c>
      <c r="D12" s="28">
        <v>23000</v>
      </c>
      <c r="E12" s="29">
        <v>12076.24</v>
      </c>
      <c r="F12" s="39">
        <f t="shared" si="0"/>
        <v>9.0121194029850749</v>
      </c>
      <c r="G12" s="18"/>
      <c r="H12" s="18">
        <f>G12*C12</f>
        <v>0</v>
      </c>
      <c r="I12" s="45">
        <f t="shared" si="1"/>
        <v>0</v>
      </c>
      <c r="J12"/>
      <c r="K12" s="34">
        <f>L12/C12</f>
        <v>0</v>
      </c>
      <c r="L12" s="12"/>
      <c r="M12" s="51">
        <f t="shared" si="2"/>
        <v>0</v>
      </c>
    </row>
    <row r="13" spans="1:13" ht="80.099999999999994" customHeight="1">
      <c r="A13" s="26">
        <v>8809657115639</v>
      </c>
      <c r="B13" s="30" t="s">
        <v>13</v>
      </c>
      <c r="C13" s="27">
        <v>50</v>
      </c>
      <c r="D13" s="28">
        <v>21000</v>
      </c>
      <c r="E13" s="29">
        <v>10596.74</v>
      </c>
      <c r="F13" s="39">
        <f t="shared" si="0"/>
        <v>7.9080149253731342</v>
      </c>
      <c r="G13" s="18"/>
      <c r="H13" s="18">
        <f>G13*C13</f>
        <v>0</v>
      </c>
      <c r="I13" s="45">
        <f t="shared" si="1"/>
        <v>0</v>
      </c>
      <c r="J13"/>
      <c r="K13" s="34">
        <f>L13/C13</f>
        <v>0</v>
      </c>
      <c r="L13" s="12"/>
      <c r="M13" s="51">
        <f t="shared" si="2"/>
        <v>0</v>
      </c>
    </row>
    <row r="14" spans="1:13" ht="80.099999999999994" customHeight="1">
      <c r="A14" s="26">
        <v>8809657115479</v>
      </c>
      <c r="B14" s="30" t="s">
        <v>14</v>
      </c>
      <c r="C14" s="27">
        <v>100</v>
      </c>
      <c r="D14" s="28">
        <v>28000</v>
      </c>
      <c r="E14" s="29">
        <v>11198.439999999999</v>
      </c>
      <c r="F14" s="39">
        <f t="shared" si="0"/>
        <v>8.3570447761194018</v>
      </c>
      <c r="G14" s="18"/>
      <c r="H14" s="18">
        <f>G14*C14</f>
        <v>0</v>
      </c>
      <c r="I14" s="45">
        <f t="shared" si="1"/>
        <v>0</v>
      </c>
      <c r="J14"/>
      <c r="K14" s="34">
        <f>L14/C14</f>
        <v>0</v>
      </c>
      <c r="L14" s="12"/>
      <c r="M14" s="51">
        <f t="shared" si="2"/>
        <v>0</v>
      </c>
    </row>
    <row r="15" spans="1:13" ht="80.099999999999994" customHeight="1">
      <c r="A15" s="26">
        <v>8809738604755</v>
      </c>
      <c r="B15" s="31" t="s">
        <v>15</v>
      </c>
      <c r="C15" s="27">
        <v>30</v>
      </c>
      <c r="D15" s="28">
        <v>17000</v>
      </c>
      <c r="E15" s="29">
        <v>8022.5200000000023</v>
      </c>
      <c r="F15" s="39">
        <f t="shared" si="0"/>
        <v>5.9869552238805985</v>
      </c>
      <c r="G15" s="18"/>
      <c r="H15" s="18">
        <f>G15*C15</f>
        <v>0</v>
      </c>
      <c r="I15" s="45">
        <f t="shared" si="1"/>
        <v>0</v>
      </c>
      <c r="J15"/>
      <c r="K15" s="34">
        <f>L15/C15</f>
        <v>0</v>
      </c>
      <c r="L15" s="12"/>
      <c r="M15" s="51">
        <f t="shared" si="2"/>
        <v>0</v>
      </c>
    </row>
    <row r="16" spans="1:13" ht="80.099999999999994" customHeight="1">
      <c r="A16" s="26">
        <v>8809743540710</v>
      </c>
      <c r="B16" s="30" t="s">
        <v>16</v>
      </c>
      <c r="C16" s="27">
        <v>20</v>
      </c>
      <c r="D16" s="28">
        <v>40000</v>
      </c>
      <c r="E16" s="29">
        <v>11831.820000000002</v>
      </c>
      <c r="F16" s="39">
        <f t="shared" si="0"/>
        <v>8.8297164179104488</v>
      </c>
      <c r="G16" s="18"/>
      <c r="H16" s="18">
        <f>G16*C16</f>
        <v>0</v>
      </c>
      <c r="I16" s="45">
        <f t="shared" si="1"/>
        <v>0</v>
      </c>
      <c r="J16"/>
      <c r="K16" s="34">
        <f>L16/C16</f>
        <v>0</v>
      </c>
      <c r="L16" s="12"/>
      <c r="M16" s="51">
        <f t="shared" si="2"/>
        <v>0</v>
      </c>
    </row>
    <row r="17" spans="1:13" ht="80.099999999999994" customHeight="1">
      <c r="A17" s="26">
        <v>8809738591154</v>
      </c>
      <c r="B17" s="30" t="s">
        <v>17</v>
      </c>
      <c r="C17" s="27">
        <v>30</v>
      </c>
      <c r="D17" s="28">
        <v>32000</v>
      </c>
      <c r="E17" s="29">
        <v>14693.8</v>
      </c>
      <c r="F17" s="39">
        <f t="shared" si="0"/>
        <v>10.965522388059702</v>
      </c>
      <c r="G17" s="18"/>
      <c r="H17" s="18">
        <f>G17*C17</f>
        <v>0</v>
      </c>
      <c r="I17" s="45">
        <f t="shared" si="1"/>
        <v>0</v>
      </c>
      <c r="J17"/>
      <c r="K17" s="34">
        <f>L17/C17</f>
        <v>0</v>
      </c>
      <c r="L17" s="12"/>
      <c r="M17" s="51">
        <f t="shared" si="2"/>
        <v>0</v>
      </c>
    </row>
    <row r="18" spans="1:13" ht="80.099999999999994" customHeight="1">
      <c r="A18" s="26">
        <v>8809962542755</v>
      </c>
      <c r="B18" s="30" t="s">
        <v>18</v>
      </c>
      <c r="C18" s="27">
        <v>40</v>
      </c>
      <c r="D18" s="28"/>
      <c r="E18" s="29">
        <v>13244</v>
      </c>
      <c r="F18" s="39">
        <f t="shared" si="0"/>
        <v>9.8835820895522382</v>
      </c>
      <c r="G18" s="18"/>
      <c r="H18" s="18">
        <f>G18*C18</f>
        <v>0</v>
      </c>
      <c r="I18" s="45">
        <f t="shared" si="1"/>
        <v>0</v>
      </c>
      <c r="J18"/>
      <c r="K18" s="34">
        <f>L18/C18</f>
        <v>0</v>
      </c>
      <c r="L18" s="12"/>
      <c r="M18" s="51">
        <f t="shared" si="2"/>
        <v>0</v>
      </c>
    </row>
    <row r="19" spans="1:13" ht="80.099999999999994" customHeight="1">
      <c r="A19" s="26">
        <v>8809743542684</v>
      </c>
      <c r="B19" s="30" t="s">
        <v>19</v>
      </c>
      <c r="C19" s="27">
        <v>30</v>
      </c>
      <c r="D19" s="28">
        <v>24000</v>
      </c>
      <c r="E19" s="29">
        <v>12635.26</v>
      </c>
      <c r="F19" s="39">
        <f t="shared" si="0"/>
        <v>9.4292985074626863</v>
      </c>
      <c r="G19" s="18"/>
      <c r="H19" s="18">
        <f>G19*C19</f>
        <v>0</v>
      </c>
      <c r="I19" s="45">
        <f t="shared" si="1"/>
        <v>0</v>
      </c>
      <c r="J19"/>
      <c r="K19" s="34">
        <f>L19/C19</f>
        <v>0</v>
      </c>
      <c r="L19" s="12"/>
      <c r="M19" s="51">
        <f t="shared" si="2"/>
        <v>0</v>
      </c>
    </row>
    <row r="20" spans="1:13" ht="80.099999999999994" customHeight="1">
      <c r="A20" s="26">
        <v>8809738599044</v>
      </c>
      <c r="B20" s="30" t="s">
        <v>20</v>
      </c>
      <c r="C20" s="27">
        <v>30</v>
      </c>
      <c r="D20" s="28">
        <v>15000</v>
      </c>
      <c r="E20" s="29">
        <v>7569.1</v>
      </c>
      <c r="F20" s="39">
        <f t="shared" si="0"/>
        <v>5.6485820895522387</v>
      </c>
      <c r="G20" s="18"/>
      <c r="H20" s="18">
        <f>G20*C20</f>
        <v>0</v>
      </c>
      <c r="I20" s="45">
        <f t="shared" si="1"/>
        <v>0</v>
      </c>
      <c r="J20"/>
      <c r="K20" s="34">
        <f>L20/C20</f>
        <v>0</v>
      </c>
      <c r="L20" s="12"/>
      <c r="M20" s="51">
        <f t="shared" si="2"/>
        <v>0</v>
      </c>
    </row>
    <row r="21" spans="1:13" ht="80.099999999999994" customHeight="1">
      <c r="A21" s="26">
        <v>8809657129247</v>
      </c>
      <c r="B21" s="30" t="s">
        <v>21</v>
      </c>
      <c r="C21" s="27">
        <v>40</v>
      </c>
      <c r="D21" s="28">
        <v>24000</v>
      </c>
      <c r="E21" s="29">
        <v>12635.26</v>
      </c>
      <c r="F21" s="39">
        <f t="shared" si="0"/>
        <v>9.4292985074626863</v>
      </c>
      <c r="G21" s="18"/>
      <c r="H21" s="18">
        <f>G21*C21</f>
        <v>0</v>
      </c>
      <c r="I21" s="45">
        <f t="shared" si="1"/>
        <v>0</v>
      </c>
      <c r="J21"/>
      <c r="K21" s="34">
        <f>L21/C21</f>
        <v>0</v>
      </c>
      <c r="L21" s="12"/>
      <c r="M21" s="51">
        <f t="shared" si="2"/>
        <v>0</v>
      </c>
    </row>
    <row r="22" spans="1:13" ht="80.099999999999994" customHeight="1">
      <c r="A22" s="26">
        <v>8809657114632</v>
      </c>
      <c r="B22" s="30" t="s">
        <v>22</v>
      </c>
      <c r="C22" s="27">
        <v>200</v>
      </c>
      <c r="D22" s="28">
        <v>35000</v>
      </c>
      <c r="E22" s="29">
        <v>11531.960000000003</v>
      </c>
      <c r="F22" s="39">
        <f t="shared" si="0"/>
        <v>8.6059402985074644</v>
      </c>
      <c r="G22" s="18"/>
      <c r="H22" s="18">
        <f>G22*C22</f>
        <v>0</v>
      </c>
      <c r="I22" s="45">
        <f t="shared" si="1"/>
        <v>0</v>
      </c>
      <c r="J22"/>
      <c r="K22" s="34">
        <f>L22/C22</f>
        <v>0</v>
      </c>
      <c r="L22" s="12"/>
      <c r="M22" s="51">
        <f t="shared" si="2"/>
        <v>0</v>
      </c>
    </row>
    <row r="23" spans="1:13" ht="80.099999999999994" customHeight="1">
      <c r="A23" s="26">
        <v>8809783321966</v>
      </c>
      <c r="B23" s="32" t="s">
        <v>23</v>
      </c>
      <c r="C23" s="27">
        <v>50</v>
      </c>
      <c r="D23" s="28">
        <v>15000</v>
      </c>
      <c r="E23" s="29">
        <v>7569.1</v>
      </c>
      <c r="F23" s="39">
        <f t="shared" si="0"/>
        <v>5.6485820895522387</v>
      </c>
      <c r="G23" s="18"/>
      <c r="H23" s="18">
        <f>G23*C23</f>
        <v>0</v>
      </c>
      <c r="I23" s="45">
        <f t="shared" si="1"/>
        <v>0</v>
      </c>
      <c r="J23"/>
      <c r="K23" s="34">
        <f>L23/C23</f>
        <v>0</v>
      </c>
      <c r="L23" s="12"/>
      <c r="M23" s="51">
        <f t="shared" si="2"/>
        <v>0</v>
      </c>
    </row>
    <row r="24" spans="1:13" ht="80.099999999999994" customHeight="1">
      <c r="A24" s="26">
        <v>8809782557298</v>
      </c>
      <c r="B24" s="32" t="s">
        <v>24</v>
      </c>
      <c r="C24" s="27">
        <v>50</v>
      </c>
      <c r="D24" s="28">
        <v>25000</v>
      </c>
      <c r="E24" s="29">
        <v>10710.7</v>
      </c>
      <c r="F24" s="39">
        <f t="shared" si="0"/>
        <v>7.9930597014925375</v>
      </c>
      <c r="G24" s="18"/>
      <c r="H24" s="18">
        <f>G24*C24</f>
        <v>0</v>
      </c>
      <c r="I24" s="45">
        <f t="shared" si="1"/>
        <v>0</v>
      </c>
      <c r="J24"/>
      <c r="K24" s="34">
        <f>L24/C24</f>
        <v>0</v>
      </c>
      <c r="L24" s="12"/>
      <c r="M24" s="51">
        <f t="shared" si="2"/>
        <v>0</v>
      </c>
    </row>
    <row r="25" spans="1:13" ht="80.099999999999994" customHeight="1">
      <c r="A25" s="26">
        <v>8809875901120</v>
      </c>
      <c r="B25" s="32" t="s">
        <v>25</v>
      </c>
      <c r="C25" s="27">
        <v>30</v>
      </c>
      <c r="D25" s="28">
        <v>18000</v>
      </c>
      <c r="E25" s="29">
        <v>8056.840000000002</v>
      </c>
      <c r="F25" s="39">
        <f t="shared" si="0"/>
        <v>6.0125671641791056</v>
      </c>
      <c r="G25" s="18"/>
      <c r="H25" s="18">
        <f>G25*C25</f>
        <v>0</v>
      </c>
      <c r="I25" s="45">
        <f t="shared" si="1"/>
        <v>0</v>
      </c>
      <c r="J25"/>
      <c r="K25" s="34">
        <f>L25/C25</f>
        <v>0</v>
      </c>
      <c r="L25" s="12"/>
      <c r="M25" s="51">
        <f t="shared" si="2"/>
        <v>0</v>
      </c>
    </row>
    <row r="26" spans="1:13" ht="80.099999999999994" customHeight="1">
      <c r="A26" s="26">
        <v>8809738607343</v>
      </c>
      <c r="B26" s="32" t="s">
        <v>26</v>
      </c>
      <c r="C26" s="27">
        <v>30</v>
      </c>
      <c r="D26" s="28">
        <v>18000</v>
      </c>
      <c r="E26" s="29">
        <v>7450.52</v>
      </c>
      <c r="F26" s="39">
        <f t="shared" si="0"/>
        <v>5.5600895522388063</v>
      </c>
      <c r="G26" s="18"/>
      <c r="H26" s="18">
        <f>G26*C26</f>
        <v>0</v>
      </c>
      <c r="I26" s="45">
        <f t="shared" si="1"/>
        <v>0</v>
      </c>
      <c r="J26"/>
      <c r="K26" s="34">
        <f>L26/C26</f>
        <v>0</v>
      </c>
      <c r="L26" s="12"/>
      <c r="M26" s="51">
        <f t="shared" si="2"/>
        <v>0</v>
      </c>
    </row>
    <row r="27" spans="1:13" ht="80.099999999999994" customHeight="1">
      <c r="A27" s="26">
        <v>8809657114243</v>
      </c>
      <c r="B27" s="32" t="s">
        <v>27</v>
      </c>
      <c r="C27" s="27">
        <v>30</v>
      </c>
      <c r="D27" s="28">
        <v>35000</v>
      </c>
      <c r="E27" s="29">
        <v>15671.26</v>
      </c>
      <c r="F27" s="39">
        <f t="shared" si="0"/>
        <v>11.694970149253731</v>
      </c>
      <c r="G27" s="18"/>
      <c r="H27" s="18">
        <f>G27*C27</f>
        <v>0</v>
      </c>
      <c r="I27" s="45">
        <f t="shared" si="1"/>
        <v>0</v>
      </c>
      <c r="J27"/>
      <c r="K27" s="34">
        <f>L27/C27</f>
        <v>0</v>
      </c>
      <c r="L27" s="12"/>
      <c r="M27" s="51">
        <f t="shared" si="2"/>
        <v>0</v>
      </c>
    </row>
    <row r="28" spans="1:13" ht="80.099999999999994" customHeight="1">
      <c r="A28" s="26">
        <v>8809962540270</v>
      </c>
      <c r="B28" s="32" t="s">
        <v>28</v>
      </c>
      <c r="C28" s="27">
        <v>20</v>
      </c>
      <c r="D28" s="28"/>
      <c r="E28" s="29">
        <v>8613</v>
      </c>
      <c r="F28" s="39">
        <f t="shared" si="0"/>
        <v>6.4276119402985072</v>
      </c>
      <c r="G28" s="18"/>
      <c r="H28" s="18">
        <f>G28*C28</f>
        <v>0</v>
      </c>
      <c r="I28" s="45">
        <f t="shared" si="1"/>
        <v>0</v>
      </c>
      <c r="J28"/>
      <c r="K28" s="34">
        <f>L28/C28</f>
        <v>0</v>
      </c>
      <c r="L28" s="12"/>
      <c r="M28" s="51">
        <f t="shared" si="2"/>
        <v>0</v>
      </c>
    </row>
    <row r="29" spans="1:13" ht="80.099999999999994" customHeight="1">
      <c r="A29" s="26">
        <v>8809962541253</v>
      </c>
      <c r="B29" s="30" t="s">
        <v>29</v>
      </c>
      <c r="C29" s="27">
        <v>60</v>
      </c>
      <c r="D29" s="28">
        <v>5000</v>
      </c>
      <c r="E29" s="29">
        <v>2853.4</v>
      </c>
      <c r="F29" s="39">
        <f t="shared" si="0"/>
        <v>2.129402985074627</v>
      </c>
      <c r="G29" s="18"/>
      <c r="H29" s="18">
        <f>G29*C29</f>
        <v>0</v>
      </c>
      <c r="I29" s="45">
        <f t="shared" si="1"/>
        <v>0</v>
      </c>
      <c r="J29"/>
      <c r="K29" s="34">
        <f>L29/C29</f>
        <v>0</v>
      </c>
      <c r="L29" s="12"/>
      <c r="M29" s="51">
        <f t="shared" si="2"/>
        <v>0</v>
      </c>
    </row>
    <row r="30" spans="1:13" ht="80.099999999999994" customHeight="1">
      <c r="A30" s="26">
        <v>8809738600214</v>
      </c>
      <c r="B30" s="30" t="s">
        <v>30</v>
      </c>
      <c r="C30" s="27">
        <v>40</v>
      </c>
      <c r="D30" s="28">
        <v>24000</v>
      </c>
      <c r="E30" s="29">
        <v>10035.080000000002</v>
      </c>
      <c r="F30" s="39">
        <f t="shared" si="0"/>
        <v>7.4888656716417925</v>
      </c>
      <c r="G30" s="18"/>
      <c r="H30" s="18">
        <f>G30*C30</f>
        <v>0</v>
      </c>
      <c r="I30" s="45">
        <f t="shared" si="1"/>
        <v>0</v>
      </c>
      <c r="J30"/>
      <c r="K30" s="34">
        <f>L30/C30</f>
        <v>0</v>
      </c>
      <c r="L30" s="12"/>
      <c r="M30" s="51">
        <f t="shared" si="2"/>
        <v>0</v>
      </c>
    </row>
    <row r="31" spans="1:13" ht="80.099999999999994" customHeight="1">
      <c r="A31" s="26">
        <v>8809738600221</v>
      </c>
      <c r="B31" s="30" t="s">
        <v>31</v>
      </c>
      <c r="C31" s="27">
        <v>80</v>
      </c>
      <c r="D31" s="28">
        <v>32000</v>
      </c>
      <c r="E31" s="29">
        <v>13469.500000000002</v>
      </c>
      <c r="F31" s="39">
        <f t="shared" si="0"/>
        <v>10.051865671641792</v>
      </c>
      <c r="G31" s="18"/>
      <c r="H31" s="18">
        <f>G31*C31</f>
        <v>0</v>
      </c>
      <c r="I31" s="45">
        <f t="shared" si="1"/>
        <v>0</v>
      </c>
      <c r="J31"/>
      <c r="K31" s="34">
        <f>L31/C31</f>
        <v>0</v>
      </c>
      <c r="L31" s="12"/>
      <c r="M31" s="51">
        <f t="shared" si="2"/>
        <v>0</v>
      </c>
    </row>
    <row r="32" spans="1:13" ht="80.099999999999994" customHeight="1">
      <c r="A32" s="26">
        <v>8809738600238</v>
      </c>
      <c r="B32" s="30" t="s">
        <v>32</v>
      </c>
      <c r="C32" s="27">
        <v>30</v>
      </c>
      <c r="D32" s="28">
        <v>15000</v>
      </c>
      <c r="E32" s="29">
        <v>6717.920000000001</v>
      </c>
      <c r="F32" s="39">
        <f t="shared" si="0"/>
        <v>5.0133731343283587</v>
      </c>
      <c r="G32" s="18"/>
      <c r="H32" s="18">
        <f>G32*C32</f>
        <v>0</v>
      </c>
      <c r="I32" s="45">
        <f t="shared" si="1"/>
        <v>0</v>
      </c>
      <c r="J32"/>
      <c r="K32" s="34">
        <f>L32/C32</f>
        <v>0</v>
      </c>
      <c r="L32" s="12"/>
      <c r="M32" s="51">
        <f t="shared" si="2"/>
        <v>0</v>
      </c>
    </row>
    <row r="33" spans="1:13" ht="80.099999999999994" customHeight="1">
      <c r="A33" s="26">
        <v>8809738604762</v>
      </c>
      <c r="B33" s="30" t="s">
        <v>33</v>
      </c>
      <c r="C33" s="27">
        <v>30</v>
      </c>
      <c r="D33" s="28">
        <v>23000</v>
      </c>
      <c r="E33" s="29">
        <v>9720.92</v>
      </c>
      <c r="F33" s="39">
        <f t="shared" si="0"/>
        <v>7.2544179104477609</v>
      </c>
      <c r="G33" s="18"/>
      <c r="H33" s="18">
        <f>G33*C33</f>
        <v>0</v>
      </c>
      <c r="I33" s="45">
        <f t="shared" si="1"/>
        <v>0</v>
      </c>
      <c r="J33"/>
      <c r="K33" s="34">
        <f>L33/C33</f>
        <v>0</v>
      </c>
      <c r="L33" s="12"/>
      <c r="M33" s="51">
        <f t="shared" si="2"/>
        <v>0</v>
      </c>
    </row>
    <row r="34" spans="1:13" ht="80.099999999999994" customHeight="1">
      <c r="A34" s="26">
        <v>8809782553009</v>
      </c>
      <c r="B34" s="30" t="s">
        <v>34</v>
      </c>
      <c r="C34" s="27">
        <v>70</v>
      </c>
      <c r="D34" s="28">
        <v>28000</v>
      </c>
      <c r="E34" s="29">
        <v>11466.620000000003</v>
      </c>
      <c r="F34" s="39">
        <f t="shared" si="0"/>
        <v>8.5571791044776138</v>
      </c>
      <c r="G34" s="18"/>
      <c r="H34" s="18">
        <f>G34*C34</f>
        <v>0</v>
      </c>
      <c r="I34" s="45">
        <f t="shared" si="1"/>
        <v>0</v>
      </c>
      <c r="J34"/>
      <c r="K34" s="34">
        <f>L34/C34</f>
        <v>0</v>
      </c>
      <c r="L34" s="12"/>
      <c r="M34" s="51">
        <f t="shared" si="2"/>
        <v>0</v>
      </c>
    </row>
    <row r="35" spans="1:13" ht="80.099999999999994" customHeight="1">
      <c r="A35" s="26">
        <v>8809614958712</v>
      </c>
      <c r="B35" s="30" t="s">
        <v>35</v>
      </c>
      <c r="C35" s="27">
        <v>40</v>
      </c>
      <c r="D35" s="28">
        <v>25000</v>
      </c>
      <c r="E35" s="29">
        <v>11433.62</v>
      </c>
      <c r="F35" s="39">
        <f t="shared" si="0"/>
        <v>8.5325522388059714</v>
      </c>
      <c r="G35" s="18"/>
      <c r="H35" s="18">
        <f>G35*C35</f>
        <v>0</v>
      </c>
      <c r="I35" s="45">
        <f t="shared" si="1"/>
        <v>0</v>
      </c>
      <c r="J35"/>
      <c r="K35" s="34">
        <f>L35/C35</f>
        <v>0</v>
      </c>
      <c r="L35" s="12"/>
      <c r="M35" s="51">
        <f t="shared" si="2"/>
        <v>0</v>
      </c>
    </row>
    <row r="36" spans="1:13" ht="80.099999999999994" customHeight="1">
      <c r="A36" s="26">
        <v>8809782551814</v>
      </c>
      <c r="B36" s="30" t="s">
        <v>36</v>
      </c>
      <c r="C36" s="27">
        <v>60</v>
      </c>
      <c r="D36" s="28">
        <v>25000</v>
      </c>
      <c r="E36" s="29">
        <v>10279.280000000001</v>
      </c>
      <c r="F36" s="39">
        <f t="shared" si="0"/>
        <v>7.6711044776119408</v>
      </c>
      <c r="G36" s="18"/>
      <c r="H36" s="18">
        <f>G36*C36</f>
        <v>0</v>
      </c>
      <c r="I36" s="45">
        <f t="shared" si="1"/>
        <v>0</v>
      </c>
      <c r="J36"/>
      <c r="K36" s="34">
        <f>L36/C36</f>
        <v>0</v>
      </c>
      <c r="L36" s="12"/>
      <c r="M36" s="51">
        <f t="shared" si="2"/>
        <v>0</v>
      </c>
    </row>
    <row r="37" spans="1:13" ht="80.099999999999994" customHeight="1">
      <c r="A37" s="26">
        <v>8809624723157</v>
      </c>
      <c r="B37" s="30" t="s">
        <v>37</v>
      </c>
      <c r="C37" s="27">
        <v>40</v>
      </c>
      <c r="D37" s="28">
        <v>30000</v>
      </c>
      <c r="E37" s="29">
        <v>10031.120000000001</v>
      </c>
      <c r="F37" s="39">
        <f t="shared" si="0"/>
        <v>7.4859104477611949</v>
      </c>
      <c r="G37" s="18"/>
      <c r="H37" s="18">
        <f>G37*C37</f>
        <v>0</v>
      </c>
      <c r="I37" s="45">
        <f t="shared" si="1"/>
        <v>0</v>
      </c>
      <c r="J37"/>
      <c r="K37" s="34">
        <f>L37/C37</f>
        <v>0</v>
      </c>
      <c r="L37" s="12"/>
      <c r="M37" s="51">
        <f t="shared" si="2"/>
        <v>0</v>
      </c>
    </row>
    <row r="38" spans="1:13" ht="80.099999999999994" customHeight="1">
      <c r="A38" s="26">
        <v>8809638307701</v>
      </c>
      <c r="B38" s="30" t="s">
        <v>38</v>
      </c>
      <c r="C38" s="27">
        <v>40</v>
      </c>
      <c r="D38" s="28">
        <v>12000</v>
      </c>
      <c r="E38" s="29">
        <v>5588.88</v>
      </c>
      <c r="F38" s="39">
        <f t="shared" si="0"/>
        <v>4.1708059701492539</v>
      </c>
      <c r="G38" s="18"/>
      <c r="H38" s="18">
        <f>G38*C38</f>
        <v>0</v>
      </c>
      <c r="I38" s="45">
        <f t="shared" si="1"/>
        <v>0</v>
      </c>
      <c r="J38"/>
      <c r="K38" s="34">
        <f>L38/C38</f>
        <v>0</v>
      </c>
      <c r="L38" s="12"/>
      <c r="M38" s="51">
        <f t="shared" si="2"/>
        <v>0</v>
      </c>
    </row>
    <row r="39" spans="1:13" ht="80.099999999999994" customHeight="1">
      <c r="A39" s="26">
        <v>8809864769977</v>
      </c>
      <c r="B39" s="30" t="s">
        <v>39</v>
      </c>
      <c r="C39" s="27">
        <v>60</v>
      </c>
      <c r="D39" s="28">
        <v>25000</v>
      </c>
      <c r="E39" s="29">
        <v>10279.280000000001</v>
      </c>
      <c r="F39" s="39">
        <f t="shared" si="0"/>
        <v>7.6711044776119408</v>
      </c>
      <c r="G39" s="18"/>
      <c r="H39" s="18">
        <f>G39*C39</f>
        <v>0</v>
      </c>
      <c r="I39" s="45">
        <f t="shared" si="1"/>
        <v>0</v>
      </c>
      <c r="J39"/>
      <c r="K39" s="34">
        <f>L39/C39</f>
        <v>0</v>
      </c>
      <c r="L39" s="12"/>
      <c r="M39" s="51">
        <f t="shared" si="2"/>
        <v>0</v>
      </c>
    </row>
    <row r="40" spans="1:13" ht="80.099999999999994" customHeight="1">
      <c r="A40" s="26">
        <v>8809782558523</v>
      </c>
      <c r="B40" s="30" t="s">
        <v>40</v>
      </c>
      <c r="C40" s="27">
        <v>60</v>
      </c>
      <c r="D40" s="28">
        <v>25000</v>
      </c>
      <c r="E40" s="29">
        <v>10279.280000000001</v>
      </c>
      <c r="F40" s="39">
        <f t="shared" si="0"/>
        <v>7.6711044776119408</v>
      </c>
      <c r="G40" s="18"/>
      <c r="H40" s="18">
        <f>G40*C40</f>
        <v>0</v>
      </c>
      <c r="I40" s="45">
        <f t="shared" si="1"/>
        <v>0</v>
      </c>
      <c r="J40"/>
      <c r="K40" s="34">
        <f>L40/C40</f>
        <v>0</v>
      </c>
      <c r="L40" s="12"/>
      <c r="M40" s="51">
        <f t="shared" si="2"/>
        <v>0</v>
      </c>
    </row>
    <row r="41" spans="1:13" ht="80.099999999999994" customHeight="1">
      <c r="A41" s="26">
        <v>8809875904459</v>
      </c>
      <c r="B41" s="30" t="s">
        <v>41</v>
      </c>
      <c r="C41" s="27">
        <v>60</v>
      </c>
      <c r="D41" s="28">
        <v>24000</v>
      </c>
      <c r="E41" s="29">
        <v>9358.7999999999993</v>
      </c>
      <c r="F41" s="39">
        <f t="shared" si="0"/>
        <v>6.9841791044776116</v>
      </c>
      <c r="G41" s="18"/>
      <c r="H41" s="18">
        <f>G41*C41</f>
        <v>0</v>
      </c>
      <c r="I41" s="45">
        <f t="shared" si="1"/>
        <v>0</v>
      </c>
      <c r="J41"/>
      <c r="K41" s="34">
        <f>L41/C41</f>
        <v>0</v>
      </c>
      <c r="L41" s="12"/>
      <c r="M41" s="51">
        <f t="shared" si="2"/>
        <v>0</v>
      </c>
    </row>
    <row r="42" spans="1:13" ht="80.099999999999994" customHeight="1">
      <c r="A42" s="26">
        <v>8809782556628</v>
      </c>
      <c r="B42" s="30" t="s">
        <v>42</v>
      </c>
      <c r="C42" s="27">
        <v>100</v>
      </c>
      <c r="D42" s="28">
        <v>24000</v>
      </c>
      <c r="E42" s="29">
        <v>9965.1200000000008</v>
      </c>
      <c r="F42" s="39">
        <f t="shared" si="0"/>
        <v>7.4366567164179109</v>
      </c>
      <c r="G42" s="18"/>
      <c r="H42" s="18">
        <f>G42*C42</f>
        <v>0</v>
      </c>
      <c r="I42" s="45">
        <f t="shared" si="1"/>
        <v>0</v>
      </c>
      <c r="J42"/>
      <c r="K42" s="34">
        <f>L42/C42</f>
        <v>0</v>
      </c>
      <c r="L42" s="12"/>
      <c r="M42" s="51">
        <f t="shared" si="2"/>
        <v>0</v>
      </c>
    </row>
    <row r="43" spans="1:13" ht="80.099999999999994" customHeight="1">
      <c r="A43" s="26">
        <v>8809864759480</v>
      </c>
      <c r="B43" s="30" t="s">
        <v>43</v>
      </c>
      <c r="C43" s="27">
        <v>60</v>
      </c>
      <c r="D43" s="28">
        <v>28000</v>
      </c>
      <c r="E43" s="29">
        <v>10230.66</v>
      </c>
      <c r="F43" s="39">
        <f t="shared" si="0"/>
        <v>7.6348208955223882</v>
      </c>
      <c r="G43" s="18"/>
      <c r="H43" s="18">
        <f>G43*C43</f>
        <v>0</v>
      </c>
      <c r="I43" s="45">
        <f t="shared" si="1"/>
        <v>0</v>
      </c>
      <c r="J43"/>
      <c r="K43" s="34">
        <f>L43/C43</f>
        <v>0</v>
      </c>
      <c r="L43" s="12"/>
      <c r="M43" s="51">
        <f t="shared" si="2"/>
        <v>0</v>
      </c>
    </row>
    <row r="44" spans="1:13" ht="80.099999999999994" customHeight="1">
      <c r="A44" s="26">
        <v>8809614958057</v>
      </c>
      <c r="B44" s="31" t="s">
        <v>44</v>
      </c>
      <c r="C44" s="27">
        <v>40</v>
      </c>
      <c r="D44" s="28">
        <v>22000</v>
      </c>
      <c r="E44" s="29">
        <v>10118.02</v>
      </c>
      <c r="F44" s="39">
        <f t="shared" si="0"/>
        <v>7.5507611940298514</v>
      </c>
      <c r="G44" s="18"/>
      <c r="H44" s="18">
        <f>G44*C44</f>
        <v>0</v>
      </c>
      <c r="I44" s="45">
        <f t="shared" si="1"/>
        <v>0</v>
      </c>
      <c r="J44"/>
      <c r="K44" s="34">
        <f>L44/C44</f>
        <v>0</v>
      </c>
      <c r="L44" s="12"/>
      <c r="M44" s="51">
        <f t="shared" si="2"/>
        <v>0</v>
      </c>
    </row>
    <row r="45" spans="1:13" ht="80.099999999999994" customHeight="1">
      <c r="A45" s="26">
        <v>8809962540713</v>
      </c>
      <c r="B45" s="31" t="s">
        <v>45</v>
      </c>
      <c r="C45" s="27">
        <v>80</v>
      </c>
      <c r="D45" s="28"/>
      <c r="E45" s="29">
        <v>2662</v>
      </c>
      <c r="F45" s="39">
        <f t="shared" si="0"/>
        <v>1.9865671641791045</v>
      </c>
      <c r="G45" s="18"/>
      <c r="H45" s="18">
        <f>G45*C45</f>
        <v>0</v>
      </c>
      <c r="I45" s="45">
        <f t="shared" si="1"/>
        <v>0</v>
      </c>
      <c r="J45"/>
      <c r="K45" s="34">
        <f>L45/C45</f>
        <v>0</v>
      </c>
      <c r="L45" s="12"/>
      <c r="M45" s="51">
        <f t="shared" si="2"/>
        <v>0</v>
      </c>
    </row>
    <row r="46" spans="1:13" ht="80.099999999999994" customHeight="1">
      <c r="A46" s="26">
        <v>8809962540287</v>
      </c>
      <c r="B46" s="31" t="s">
        <v>46</v>
      </c>
      <c r="C46" s="27">
        <v>20</v>
      </c>
      <c r="D46" s="28"/>
      <c r="E46" s="29">
        <v>8613</v>
      </c>
      <c r="F46" s="39">
        <f t="shared" si="0"/>
        <v>6.4276119402985072</v>
      </c>
      <c r="G46" s="18"/>
      <c r="H46" s="18">
        <f>G46*C46</f>
        <v>0</v>
      </c>
      <c r="I46" s="45">
        <f t="shared" si="1"/>
        <v>0</v>
      </c>
      <c r="J46"/>
      <c r="K46" s="34">
        <f>L46/C46</f>
        <v>0</v>
      </c>
      <c r="L46" s="12"/>
      <c r="M46" s="51">
        <f t="shared" si="2"/>
        <v>0</v>
      </c>
    </row>
    <row r="47" spans="1:13" ht="80.099999999999994" customHeight="1">
      <c r="A47" s="26">
        <v>8809962542397</v>
      </c>
      <c r="B47" s="30" t="s">
        <v>47</v>
      </c>
      <c r="C47" s="27">
        <v>30</v>
      </c>
      <c r="D47" s="28"/>
      <c r="E47" s="29">
        <v>10098</v>
      </c>
      <c r="F47" s="39">
        <f t="shared" si="0"/>
        <v>7.535820895522388</v>
      </c>
      <c r="G47" s="18"/>
      <c r="H47" s="18">
        <f>G47*C47</f>
        <v>0</v>
      </c>
      <c r="I47" s="45">
        <f t="shared" si="1"/>
        <v>0</v>
      </c>
      <c r="J47"/>
      <c r="K47" s="34">
        <f>L47/C47</f>
        <v>0</v>
      </c>
      <c r="L47" s="12"/>
      <c r="M47" s="51">
        <f t="shared" si="2"/>
        <v>0</v>
      </c>
    </row>
    <row r="48" spans="1:13" ht="80.099999999999994" customHeight="1">
      <c r="A48" s="26">
        <v>8809962542489</v>
      </c>
      <c r="B48" s="30" t="s">
        <v>48</v>
      </c>
      <c r="C48" s="27">
        <v>40</v>
      </c>
      <c r="D48" s="28"/>
      <c r="E48" s="29">
        <v>9460</v>
      </c>
      <c r="F48" s="39">
        <f t="shared" si="0"/>
        <v>7.0597014925373136</v>
      </c>
      <c r="G48" s="18"/>
      <c r="H48" s="18">
        <f>G48*C48</f>
        <v>0</v>
      </c>
      <c r="I48" s="45">
        <f t="shared" si="1"/>
        <v>0</v>
      </c>
      <c r="J48"/>
      <c r="K48" s="34">
        <f>L48/C48</f>
        <v>0</v>
      </c>
      <c r="L48" s="12"/>
      <c r="M48" s="51">
        <f t="shared" si="2"/>
        <v>0</v>
      </c>
    </row>
    <row r="49" spans="1:13" ht="80.099999999999994" customHeight="1">
      <c r="A49" s="26">
        <v>8809962542496</v>
      </c>
      <c r="B49" s="30" t="s">
        <v>49</v>
      </c>
      <c r="C49" s="27">
        <v>50</v>
      </c>
      <c r="D49" s="28"/>
      <c r="E49" s="29">
        <v>10725</v>
      </c>
      <c r="F49" s="39">
        <f t="shared" si="0"/>
        <v>8.0037313432835813</v>
      </c>
      <c r="G49" s="18"/>
      <c r="H49" s="18">
        <f>G49*C49</f>
        <v>0</v>
      </c>
      <c r="I49" s="45">
        <f t="shared" si="1"/>
        <v>0</v>
      </c>
      <c r="J49"/>
      <c r="K49" s="34">
        <f>L49/C49</f>
        <v>0</v>
      </c>
      <c r="L49" s="12"/>
      <c r="M49" s="51">
        <f t="shared" si="2"/>
        <v>0</v>
      </c>
    </row>
    <row r="50" spans="1:13" ht="80.099999999999994" customHeight="1">
      <c r="A50" s="26">
        <v>8809962542441</v>
      </c>
      <c r="B50" s="30" t="s">
        <v>50</v>
      </c>
      <c r="C50" s="27">
        <v>80</v>
      </c>
      <c r="D50" s="28"/>
      <c r="E50" s="29">
        <v>9856</v>
      </c>
      <c r="F50" s="39">
        <f t="shared" si="0"/>
        <v>7.3552238805970145</v>
      </c>
      <c r="G50" s="18"/>
      <c r="H50" s="18">
        <f>G50*C50</f>
        <v>0</v>
      </c>
      <c r="I50" s="45">
        <f t="shared" si="1"/>
        <v>0</v>
      </c>
      <c r="J50"/>
      <c r="K50" s="34">
        <f>L50/C50</f>
        <v>0</v>
      </c>
      <c r="L50" s="12"/>
      <c r="M50" s="51">
        <f t="shared" si="2"/>
        <v>0</v>
      </c>
    </row>
    <row r="51" spans="1:13" ht="80.099999999999994" customHeight="1">
      <c r="A51" s="26">
        <v>8809962543127</v>
      </c>
      <c r="B51" s="30" t="s">
        <v>51</v>
      </c>
      <c r="C51" s="27">
        <v>60</v>
      </c>
      <c r="D51" s="28"/>
      <c r="E51" s="29">
        <v>13244</v>
      </c>
      <c r="F51" s="39">
        <f t="shared" si="0"/>
        <v>9.8835820895522382</v>
      </c>
      <c r="G51" s="18"/>
      <c r="H51" s="18">
        <f>G51*C51</f>
        <v>0</v>
      </c>
      <c r="I51" s="45">
        <f t="shared" si="1"/>
        <v>0</v>
      </c>
      <c r="J51"/>
      <c r="K51" s="34">
        <f>L51/C51</f>
        <v>0</v>
      </c>
      <c r="L51" s="12"/>
      <c r="M51" s="51">
        <f t="shared" si="2"/>
        <v>0</v>
      </c>
    </row>
    <row r="52" spans="1:13" ht="80.099999999999994" customHeight="1">
      <c r="A52" s="26">
        <v>8809962542885</v>
      </c>
      <c r="B52" s="30" t="s">
        <v>52</v>
      </c>
      <c r="C52" s="27">
        <v>40</v>
      </c>
      <c r="D52" s="28"/>
      <c r="E52" s="29">
        <v>13123</v>
      </c>
      <c r="F52" s="39">
        <f t="shared" si="0"/>
        <v>9.7932835820895523</v>
      </c>
      <c r="G52" s="18"/>
      <c r="H52" s="18">
        <f>G52*C52</f>
        <v>0</v>
      </c>
      <c r="I52" s="45">
        <f t="shared" si="1"/>
        <v>0</v>
      </c>
      <c r="J52"/>
      <c r="K52" s="34">
        <f>L52/C52</f>
        <v>0</v>
      </c>
      <c r="L52" s="12"/>
      <c r="M52" s="51">
        <f t="shared" si="2"/>
        <v>0</v>
      </c>
    </row>
    <row r="53" spans="1:13" ht="80.099999999999994" customHeight="1">
      <c r="A53" s="26">
        <v>8809962544612</v>
      </c>
      <c r="B53" s="30" t="s">
        <v>53</v>
      </c>
      <c r="C53" s="27">
        <v>50</v>
      </c>
      <c r="D53" s="28"/>
      <c r="E53" s="29">
        <v>10725</v>
      </c>
      <c r="F53" s="39">
        <f t="shared" si="0"/>
        <v>8.0037313432835813</v>
      </c>
      <c r="G53" s="18"/>
      <c r="H53" s="18">
        <f>G53*C53</f>
        <v>0</v>
      </c>
      <c r="I53" s="45">
        <f t="shared" si="1"/>
        <v>0</v>
      </c>
      <c r="J53"/>
      <c r="K53" s="34">
        <f>L53/C53</f>
        <v>0</v>
      </c>
      <c r="L53" s="12"/>
      <c r="M53" s="51">
        <f t="shared" si="2"/>
        <v>0</v>
      </c>
    </row>
    <row r="54" spans="1:13" ht="80.099999999999994" customHeight="1">
      <c r="A54" s="26">
        <v>8809738605714</v>
      </c>
      <c r="B54" s="30" t="s">
        <v>54</v>
      </c>
      <c r="C54" s="27">
        <v>40</v>
      </c>
      <c r="D54" s="28">
        <v>24000</v>
      </c>
      <c r="E54" s="29">
        <v>10035.080000000002</v>
      </c>
      <c r="F54" s="39">
        <f t="shared" si="0"/>
        <v>7.4888656716417925</v>
      </c>
      <c r="G54" s="18"/>
      <c r="H54" s="18">
        <f>G54*C54</f>
        <v>0</v>
      </c>
      <c r="I54" s="45">
        <f t="shared" si="1"/>
        <v>0</v>
      </c>
      <c r="J54"/>
      <c r="K54" s="34">
        <f>L54/C54</f>
        <v>0</v>
      </c>
      <c r="L54" s="12"/>
      <c r="M54" s="51">
        <f t="shared" si="2"/>
        <v>0</v>
      </c>
    </row>
    <row r="55" spans="1:13" ht="80.099999999999994" customHeight="1">
      <c r="A55" s="26">
        <v>8809738605721</v>
      </c>
      <c r="B55" s="31" t="s">
        <v>55</v>
      </c>
      <c r="C55" s="27">
        <v>80</v>
      </c>
      <c r="D55" s="28">
        <v>32000</v>
      </c>
      <c r="E55" s="29">
        <v>13469.500000000002</v>
      </c>
      <c r="F55" s="39">
        <f t="shared" si="0"/>
        <v>10.051865671641792</v>
      </c>
      <c r="G55" s="18"/>
      <c r="H55" s="18">
        <f>G55*C55</f>
        <v>0</v>
      </c>
      <c r="I55" s="45">
        <f t="shared" si="1"/>
        <v>0</v>
      </c>
      <c r="J55"/>
      <c r="K55" s="34">
        <f>L55/C55</f>
        <v>0</v>
      </c>
      <c r="L55" s="12"/>
      <c r="M55" s="51">
        <f t="shared" si="2"/>
        <v>0</v>
      </c>
    </row>
    <row r="56" spans="1:13" ht="80.099999999999994" customHeight="1">
      <c r="A56" s="26">
        <v>8809738593080</v>
      </c>
      <c r="B56" s="30" t="s">
        <v>56</v>
      </c>
      <c r="C56" s="27">
        <v>30</v>
      </c>
      <c r="D56" s="28">
        <v>15000</v>
      </c>
      <c r="E56" s="29">
        <v>6717.920000000001</v>
      </c>
      <c r="F56" s="39">
        <f t="shared" si="0"/>
        <v>5.0133731343283587</v>
      </c>
      <c r="G56" s="18"/>
      <c r="H56" s="18">
        <f>G56*C56</f>
        <v>0</v>
      </c>
      <c r="I56" s="45">
        <f t="shared" si="1"/>
        <v>0</v>
      </c>
      <c r="J56"/>
      <c r="K56" s="34">
        <f>L56/C56</f>
        <v>0</v>
      </c>
      <c r="L56" s="12"/>
      <c r="M56" s="51">
        <f t="shared" si="2"/>
        <v>0</v>
      </c>
    </row>
    <row r="57" spans="1:13" ht="80.099999999999994" customHeight="1">
      <c r="A57" s="26">
        <v>8809738593103</v>
      </c>
      <c r="B57" s="30" t="s">
        <v>57</v>
      </c>
      <c r="C57" s="27">
        <v>70</v>
      </c>
      <c r="D57" s="28">
        <v>28000</v>
      </c>
      <c r="E57" s="29">
        <v>11466.620000000003</v>
      </c>
      <c r="F57" s="39">
        <f t="shared" si="0"/>
        <v>8.5571791044776138</v>
      </c>
      <c r="G57" s="18"/>
      <c r="H57" s="18">
        <f>G57*C57</f>
        <v>0</v>
      </c>
      <c r="I57" s="45">
        <f t="shared" si="1"/>
        <v>0</v>
      </c>
      <c r="J57"/>
      <c r="K57" s="34">
        <f>L57/C57</f>
        <v>0</v>
      </c>
      <c r="L57" s="12"/>
      <c r="M57" s="51">
        <f t="shared" si="2"/>
        <v>0</v>
      </c>
    </row>
    <row r="58" spans="1:13" ht="80.099999999999994" customHeight="1">
      <c r="A58" s="26">
        <v>8809743544176</v>
      </c>
      <c r="B58" s="30" t="s">
        <v>58</v>
      </c>
      <c r="C58" s="27">
        <v>40</v>
      </c>
      <c r="D58" s="28"/>
      <c r="E58" s="29">
        <v>5676</v>
      </c>
      <c r="F58" s="39">
        <f t="shared" si="0"/>
        <v>4.2358208955223882</v>
      </c>
      <c r="G58" s="18"/>
      <c r="H58" s="18">
        <f>G58*C58</f>
        <v>0</v>
      </c>
      <c r="I58" s="45">
        <f t="shared" si="1"/>
        <v>0</v>
      </c>
      <c r="J58"/>
      <c r="K58" s="34">
        <f>L58/C58</f>
        <v>0</v>
      </c>
      <c r="L58" s="12"/>
      <c r="M58" s="51">
        <f t="shared" si="2"/>
        <v>0</v>
      </c>
    </row>
    <row r="59" spans="1:13" ht="80.099999999999994" customHeight="1">
      <c r="A59" s="26">
        <v>8809624723140</v>
      </c>
      <c r="B59" s="30" t="s">
        <v>59</v>
      </c>
      <c r="C59" s="27">
        <v>40</v>
      </c>
      <c r="D59" s="28">
        <v>30000</v>
      </c>
      <c r="E59" s="29">
        <v>10031.120000000001</v>
      </c>
      <c r="F59" s="39">
        <f t="shared" si="0"/>
        <v>7.4859104477611949</v>
      </c>
      <c r="G59" s="18"/>
      <c r="H59" s="18">
        <f>G59*C59</f>
        <v>0</v>
      </c>
      <c r="I59" s="45">
        <f t="shared" si="1"/>
        <v>0</v>
      </c>
      <c r="J59"/>
      <c r="K59" s="34">
        <f>L59/C59</f>
        <v>0</v>
      </c>
      <c r="L59" s="12"/>
      <c r="M59" s="51">
        <f t="shared" si="2"/>
        <v>0</v>
      </c>
    </row>
    <row r="60" spans="1:13" ht="80.099999999999994" customHeight="1">
      <c r="A60" s="26">
        <v>8809738593240</v>
      </c>
      <c r="B60" s="30" t="s">
        <v>60</v>
      </c>
      <c r="C60" s="27">
        <v>70</v>
      </c>
      <c r="D60" s="28">
        <v>28000</v>
      </c>
      <c r="E60" s="29">
        <v>11466.620000000003</v>
      </c>
      <c r="F60" s="39">
        <f t="shared" si="0"/>
        <v>8.5571791044776138</v>
      </c>
      <c r="G60" s="18"/>
      <c r="H60" s="18">
        <f>G60*C60</f>
        <v>0</v>
      </c>
      <c r="I60" s="45">
        <f t="shared" si="1"/>
        <v>0</v>
      </c>
      <c r="J60"/>
      <c r="K60" s="34">
        <f>L60/C60</f>
        <v>0</v>
      </c>
      <c r="L60" s="12"/>
      <c r="M60" s="51">
        <f t="shared" si="2"/>
        <v>0</v>
      </c>
    </row>
    <row r="61" spans="1:13" ht="80.099999999999994" customHeight="1">
      <c r="A61" s="26">
        <v>8809624723133</v>
      </c>
      <c r="B61" s="30" t="s">
        <v>61</v>
      </c>
      <c r="C61" s="27">
        <v>40</v>
      </c>
      <c r="D61" s="28">
        <v>30000</v>
      </c>
      <c r="E61" s="29">
        <v>10031.120000000001</v>
      </c>
      <c r="F61" s="39">
        <f t="shared" si="0"/>
        <v>7.4859104477611949</v>
      </c>
      <c r="G61" s="18"/>
      <c r="H61" s="18">
        <f>G61*C61</f>
        <v>0</v>
      </c>
      <c r="I61" s="45">
        <f t="shared" si="1"/>
        <v>0</v>
      </c>
      <c r="J61"/>
      <c r="K61" s="34">
        <f>L61/C61</f>
        <v>0</v>
      </c>
      <c r="L61" s="12"/>
      <c r="M61" s="51">
        <f t="shared" si="2"/>
        <v>0</v>
      </c>
    </row>
    <row r="62" spans="1:13" ht="80.099999999999994" customHeight="1">
      <c r="A62" s="26">
        <v>8809624726370</v>
      </c>
      <c r="B62" s="30" t="s">
        <v>62</v>
      </c>
      <c r="C62" s="27">
        <v>40</v>
      </c>
      <c r="D62" s="28">
        <v>24000</v>
      </c>
      <c r="E62" s="29">
        <v>10035.080000000002</v>
      </c>
      <c r="F62" s="39">
        <f t="shared" si="0"/>
        <v>7.4888656716417925</v>
      </c>
      <c r="G62" s="18"/>
      <c r="H62" s="18">
        <f>G62*C62</f>
        <v>0</v>
      </c>
      <c r="I62" s="45">
        <f t="shared" si="1"/>
        <v>0</v>
      </c>
      <c r="J62"/>
      <c r="K62" s="34">
        <f>L62/C62</f>
        <v>0</v>
      </c>
      <c r="L62" s="12"/>
      <c r="M62" s="51">
        <f t="shared" si="2"/>
        <v>0</v>
      </c>
    </row>
    <row r="63" spans="1:13" ht="80.099999999999994" customHeight="1">
      <c r="A63" s="26">
        <v>8809624726417</v>
      </c>
      <c r="B63" s="32" t="s">
        <v>63</v>
      </c>
      <c r="C63" s="27">
        <v>80</v>
      </c>
      <c r="D63" s="28">
        <v>22000</v>
      </c>
      <c r="E63" s="29">
        <v>13359.5</v>
      </c>
      <c r="F63" s="39">
        <f t="shared" si="0"/>
        <v>9.9697761194029848</v>
      </c>
      <c r="G63" s="18"/>
      <c r="H63" s="18">
        <f>G63*C63</f>
        <v>0</v>
      </c>
      <c r="I63" s="45">
        <f t="shared" si="1"/>
        <v>0</v>
      </c>
      <c r="J63"/>
      <c r="K63" s="34">
        <f>L63/C63</f>
        <v>0</v>
      </c>
      <c r="L63" s="12"/>
      <c r="M63" s="51">
        <f t="shared" si="2"/>
        <v>0</v>
      </c>
    </row>
    <row r="64" spans="1:13" ht="80.099999999999994" customHeight="1">
      <c r="A64" s="26">
        <v>8809783322369</v>
      </c>
      <c r="B64" s="32" t="s">
        <v>64</v>
      </c>
      <c r="C64" s="27">
        <v>50</v>
      </c>
      <c r="D64" s="28">
        <v>15000</v>
      </c>
      <c r="E64" s="29">
        <v>6717.920000000001</v>
      </c>
      <c r="F64" s="39">
        <f t="shared" si="0"/>
        <v>5.0133731343283587</v>
      </c>
      <c r="G64" s="18"/>
      <c r="H64" s="18">
        <f>G64*C64</f>
        <v>0</v>
      </c>
      <c r="I64" s="45">
        <f t="shared" si="1"/>
        <v>0</v>
      </c>
      <c r="J64"/>
      <c r="K64" s="34">
        <f>L64/C64</f>
        <v>0</v>
      </c>
      <c r="L64" s="12"/>
      <c r="M64" s="51">
        <f t="shared" si="2"/>
        <v>0</v>
      </c>
    </row>
    <row r="65" spans="1:13" ht="80.099999999999994" customHeight="1">
      <c r="A65" s="26">
        <v>8809783322130</v>
      </c>
      <c r="B65" s="32" t="s">
        <v>65</v>
      </c>
      <c r="C65" s="27">
        <v>70</v>
      </c>
      <c r="D65" s="28">
        <v>23000</v>
      </c>
      <c r="E65" s="29">
        <v>10198.980000000001</v>
      </c>
      <c r="F65" s="39">
        <f t="shared" si="0"/>
        <v>7.6111791044776131</v>
      </c>
      <c r="G65" s="18"/>
      <c r="H65" s="18">
        <f>G65*C65</f>
        <v>0</v>
      </c>
      <c r="I65" s="45">
        <f t="shared" si="1"/>
        <v>0</v>
      </c>
      <c r="J65"/>
      <c r="K65" s="34">
        <f>L65/C65</f>
        <v>0</v>
      </c>
      <c r="L65" s="12"/>
      <c r="M65" s="51">
        <f t="shared" si="2"/>
        <v>0</v>
      </c>
    </row>
    <row r="66" spans="1:13" ht="80.099999999999994" customHeight="1">
      <c r="A66" s="26">
        <v>8809962541024</v>
      </c>
      <c r="B66" s="32" t="s">
        <v>66</v>
      </c>
      <c r="C66" s="27">
        <v>30</v>
      </c>
      <c r="D66" s="28"/>
      <c r="E66" s="29">
        <v>9724</v>
      </c>
      <c r="F66" s="39">
        <f t="shared" si="0"/>
        <v>7.2567164179104475</v>
      </c>
      <c r="G66" s="18"/>
      <c r="H66" s="18">
        <f>G66*C66</f>
        <v>0</v>
      </c>
      <c r="I66" s="45">
        <f t="shared" si="1"/>
        <v>0</v>
      </c>
      <c r="J66"/>
      <c r="K66" s="34">
        <f>L66/C66</f>
        <v>0</v>
      </c>
      <c r="L66" s="12"/>
      <c r="M66" s="51">
        <f t="shared" si="2"/>
        <v>0</v>
      </c>
    </row>
    <row r="67" spans="1:13" ht="80.099999999999994" customHeight="1">
      <c r="A67" s="26">
        <v>8809875908075</v>
      </c>
      <c r="B67" s="32" t="s">
        <v>67</v>
      </c>
      <c r="C67" s="27">
        <v>60</v>
      </c>
      <c r="D67" s="28">
        <v>30000</v>
      </c>
      <c r="E67" s="29">
        <v>11243.76</v>
      </c>
      <c r="F67" s="39">
        <f t="shared" si="0"/>
        <v>8.3908656716417909</v>
      </c>
      <c r="G67" s="18"/>
      <c r="H67" s="18">
        <f>G67*C67</f>
        <v>0</v>
      </c>
      <c r="I67" s="45">
        <f t="shared" si="1"/>
        <v>0</v>
      </c>
      <c r="J67"/>
      <c r="K67" s="34">
        <f>L67/C67</f>
        <v>0</v>
      </c>
      <c r="L67" s="12"/>
      <c r="M67" s="51">
        <f t="shared" si="2"/>
        <v>0</v>
      </c>
    </row>
    <row r="68" spans="1:13" ht="80.099999999999994" customHeight="1">
      <c r="A68" s="26">
        <v>8809875907337</v>
      </c>
      <c r="B68" s="32" t="s">
        <v>68</v>
      </c>
      <c r="C68" s="27">
        <v>60</v>
      </c>
      <c r="D68" s="28">
        <v>34000</v>
      </c>
      <c r="E68" s="29">
        <v>13596.440000000004</v>
      </c>
      <c r="F68" s="39">
        <f t="shared" si="0"/>
        <v>10.146597014925376</v>
      </c>
      <c r="G68" s="18"/>
      <c r="H68" s="18">
        <f>G68*C68</f>
        <v>0</v>
      </c>
      <c r="I68" s="45">
        <f t="shared" si="1"/>
        <v>0</v>
      </c>
      <c r="J68"/>
      <c r="K68" s="34">
        <f>L68/C68</f>
        <v>0</v>
      </c>
      <c r="L68" s="12"/>
      <c r="M68" s="51">
        <f t="shared" si="2"/>
        <v>0</v>
      </c>
    </row>
    <row r="69" spans="1:13" ht="80.099999999999994" customHeight="1">
      <c r="A69" s="26">
        <v>8809849803634</v>
      </c>
      <c r="B69" s="30" t="s">
        <v>69</v>
      </c>
      <c r="C69" s="27">
        <v>40</v>
      </c>
      <c r="D69" s="28">
        <v>30000</v>
      </c>
      <c r="E69" s="29">
        <v>10031.120000000001</v>
      </c>
      <c r="F69" s="39">
        <f t="shared" si="0"/>
        <v>7.4859104477611949</v>
      </c>
      <c r="G69" s="18"/>
      <c r="H69" s="18">
        <f>G69*C69</f>
        <v>0</v>
      </c>
      <c r="I69" s="45">
        <f t="shared" si="1"/>
        <v>0</v>
      </c>
      <c r="J69"/>
      <c r="K69" s="34">
        <f>L69/C69</f>
        <v>0</v>
      </c>
      <c r="L69" s="12"/>
      <c r="M69" s="51">
        <f t="shared" si="2"/>
        <v>0</v>
      </c>
    </row>
    <row r="70" spans="1:13" ht="80.099999999999994" customHeight="1">
      <c r="A70" s="26">
        <v>8809962541963</v>
      </c>
      <c r="B70" s="30" t="s">
        <v>70</v>
      </c>
      <c r="C70" s="27">
        <v>30</v>
      </c>
      <c r="D70" s="28">
        <v>17000</v>
      </c>
      <c r="E70" s="29">
        <v>6739.920000000001</v>
      </c>
      <c r="F70" s="39">
        <f t="shared" si="0"/>
        <v>5.02979104477612</v>
      </c>
      <c r="G70" s="18"/>
      <c r="H70" s="18">
        <f>G70*C70</f>
        <v>0</v>
      </c>
      <c r="I70" s="45">
        <f t="shared" si="1"/>
        <v>0</v>
      </c>
      <c r="J70"/>
      <c r="K70" s="34">
        <f>L70/C70</f>
        <v>0</v>
      </c>
      <c r="L70" s="12"/>
      <c r="M70" s="51">
        <f t="shared" si="2"/>
        <v>0</v>
      </c>
    </row>
    <row r="71" spans="1:13" ht="80.099999999999994" customHeight="1">
      <c r="A71" s="26">
        <v>8809962541970</v>
      </c>
      <c r="B71" s="30" t="s">
        <v>71</v>
      </c>
      <c r="C71" s="27">
        <v>40</v>
      </c>
      <c r="D71" s="28">
        <v>25000</v>
      </c>
      <c r="E71" s="29">
        <v>12891.12</v>
      </c>
      <c r="F71" s="39">
        <f t="shared" ref="F71:F121" si="3">E71/1340</f>
        <v>9.6202388059701498</v>
      </c>
      <c r="G71" s="18"/>
      <c r="H71" s="18">
        <f>G71*C71</f>
        <v>0</v>
      </c>
      <c r="I71" s="45">
        <f t="shared" ref="I71:I121" si="4">F71*H71</f>
        <v>0</v>
      </c>
      <c r="J71"/>
      <c r="K71" s="34">
        <f>L71/C71</f>
        <v>0</v>
      </c>
      <c r="L71" s="12"/>
      <c r="M71" s="51">
        <f t="shared" ref="M71:M121" si="5">F71*L71</f>
        <v>0</v>
      </c>
    </row>
    <row r="72" spans="1:13" ht="80.099999999999994" customHeight="1">
      <c r="A72" s="26">
        <v>8809962543622</v>
      </c>
      <c r="B72" s="30" t="s">
        <v>72</v>
      </c>
      <c r="C72" s="27">
        <v>40</v>
      </c>
      <c r="D72" s="28"/>
      <c r="E72" s="29">
        <v>13882</v>
      </c>
      <c r="F72" s="39">
        <f t="shared" si="3"/>
        <v>10.359701492537313</v>
      </c>
      <c r="G72" s="18"/>
      <c r="H72" s="18">
        <f>G72*C72</f>
        <v>0</v>
      </c>
      <c r="I72" s="45">
        <f t="shared" si="4"/>
        <v>0</v>
      </c>
      <c r="J72"/>
      <c r="K72" s="34">
        <f>L72/C72</f>
        <v>0</v>
      </c>
      <c r="L72" s="12"/>
      <c r="M72" s="51">
        <f t="shared" si="5"/>
        <v>0</v>
      </c>
    </row>
    <row r="73" spans="1:13" ht="80.099999999999994" customHeight="1">
      <c r="A73" s="26">
        <v>8809783325674</v>
      </c>
      <c r="B73" s="30" t="s">
        <v>73</v>
      </c>
      <c r="C73" s="27">
        <v>60</v>
      </c>
      <c r="D73" s="28">
        <v>28000</v>
      </c>
      <c r="E73" s="29">
        <v>11350.02</v>
      </c>
      <c r="F73" s="39">
        <f t="shared" si="3"/>
        <v>8.4701641791044775</v>
      </c>
      <c r="G73" s="18"/>
      <c r="H73" s="18">
        <f>G73*C73</f>
        <v>0</v>
      </c>
      <c r="I73" s="45">
        <f t="shared" si="4"/>
        <v>0</v>
      </c>
      <c r="J73"/>
      <c r="K73" s="34">
        <f>L73/C73</f>
        <v>0</v>
      </c>
      <c r="L73" s="12"/>
      <c r="M73" s="51">
        <f t="shared" si="5"/>
        <v>0</v>
      </c>
    </row>
    <row r="74" spans="1:13" ht="80.099999999999994" customHeight="1">
      <c r="A74" s="26">
        <v>8809783325667</v>
      </c>
      <c r="B74" s="30" t="s">
        <v>74</v>
      </c>
      <c r="C74" s="27">
        <v>60</v>
      </c>
      <c r="D74" s="28">
        <v>24000</v>
      </c>
      <c r="E74" s="29">
        <v>10384.880000000001</v>
      </c>
      <c r="F74" s="39">
        <f t="shared" si="3"/>
        <v>7.7499104477611951</v>
      </c>
      <c r="G74" s="18"/>
      <c r="H74" s="18">
        <f>G74*C74</f>
        <v>0</v>
      </c>
      <c r="I74" s="45">
        <f t="shared" si="4"/>
        <v>0</v>
      </c>
      <c r="J74"/>
      <c r="K74" s="34">
        <f>L74/C74</f>
        <v>0</v>
      </c>
      <c r="L74" s="12"/>
      <c r="M74" s="51">
        <f t="shared" si="5"/>
        <v>0</v>
      </c>
    </row>
    <row r="75" spans="1:13" ht="80.099999999999994" customHeight="1">
      <c r="A75" s="26">
        <v>8809750462708</v>
      </c>
      <c r="B75" s="30" t="s">
        <v>75</v>
      </c>
      <c r="C75" s="27">
        <v>30</v>
      </c>
      <c r="D75" s="28">
        <v>25000</v>
      </c>
      <c r="E75" s="29">
        <v>10524.14</v>
      </c>
      <c r="F75" s="39">
        <f t="shared" si="3"/>
        <v>7.8538358208955223</v>
      </c>
      <c r="G75" s="18"/>
      <c r="H75" s="18">
        <f>G75*C75</f>
        <v>0</v>
      </c>
      <c r="I75" s="45">
        <f t="shared" si="4"/>
        <v>0</v>
      </c>
      <c r="J75"/>
      <c r="K75" s="34">
        <f>L75/C75</f>
        <v>0</v>
      </c>
      <c r="L75" s="12"/>
      <c r="M75" s="51">
        <f t="shared" si="5"/>
        <v>0</v>
      </c>
    </row>
    <row r="76" spans="1:13" ht="80.099999999999994" customHeight="1">
      <c r="A76" s="26">
        <v>8809783325728</v>
      </c>
      <c r="B76" s="30" t="s">
        <v>76</v>
      </c>
      <c r="C76" s="27">
        <v>40</v>
      </c>
      <c r="D76" s="28">
        <v>30000</v>
      </c>
      <c r="E76" s="29">
        <v>10031.120000000001</v>
      </c>
      <c r="F76" s="39">
        <f t="shared" si="3"/>
        <v>7.4859104477611949</v>
      </c>
      <c r="G76" s="18"/>
      <c r="H76" s="18">
        <f>G76*C76</f>
        <v>0</v>
      </c>
      <c r="I76" s="45">
        <f t="shared" si="4"/>
        <v>0</v>
      </c>
      <c r="J76"/>
      <c r="K76" s="34">
        <f>L76/C76</f>
        <v>0</v>
      </c>
      <c r="L76" s="12"/>
      <c r="M76" s="51">
        <f t="shared" si="5"/>
        <v>0</v>
      </c>
    </row>
    <row r="77" spans="1:13" ht="80.099999999999994" customHeight="1">
      <c r="A77" s="26">
        <v>8809783326718</v>
      </c>
      <c r="B77" s="30" t="s">
        <v>77</v>
      </c>
      <c r="C77" s="27">
        <v>30</v>
      </c>
      <c r="D77" s="28">
        <v>23000</v>
      </c>
      <c r="E77" s="29">
        <v>9592.66</v>
      </c>
      <c r="F77" s="39">
        <f t="shared" si="3"/>
        <v>7.1587014925373129</v>
      </c>
      <c r="G77" s="18"/>
      <c r="H77" s="18">
        <f>G77*C77</f>
        <v>0</v>
      </c>
      <c r="I77" s="45">
        <f t="shared" si="4"/>
        <v>0</v>
      </c>
      <c r="J77"/>
      <c r="K77" s="34">
        <f>L77/C77</f>
        <v>0</v>
      </c>
      <c r="L77" s="12"/>
      <c r="M77" s="51">
        <f t="shared" si="5"/>
        <v>0</v>
      </c>
    </row>
    <row r="78" spans="1:13" ht="80.099999999999994" customHeight="1">
      <c r="A78" s="26">
        <v>8809783326725</v>
      </c>
      <c r="B78" s="30" t="s">
        <v>78</v>
      </c>
      <c r="C78" s="27">
        <v>30</v>
      </c>
      <c r="D78" s="28">
        <v>25000</v>
      </c>
      <c r="E78" s="29">
        <v>10104.380000000001</v>
      </c>
      <c r="F78" s="39">
        <f t="shared" si="3"/>
        <v>7.54058208955224</v>
      </c>
      <c r="G78" s="18"/>
      <c r="H78" s="18">
        <f>G78*C78</f>
        <v>0</v>
      </c>
      <c r="I78" s="45">
        <f t="shared" si="4"/>
        <v>0</v>
      </c>
      <c r="J78"/>
      <c r="K78" s="34">
        <f>L78/C78</f>
        <v>0</v>
      </c>
      <c r="L78" s="12"/>
      <c r="M78" s="51">
        <f t="shared" si="5"/>
        <v>0</v>
      </c>
    </row>
    <row r="79" spans="1:13" ht="80.099999999999994" customHeight="1">
      <c r="A79" s="26">
        <v>8809864754126</v>
      </c>
      <c r="B79" s="30" t="s">
        <v>79</v>
      </c>
      <c r="C79" s="27">
        <v>30</v>
      </c>
      <c r="D79" s="28">
        <v>17000</v>
      </c>
      <c r="E79" s="29">
        <v>6739.920000000001</v>
      </c>
      <c r="F79" s="39">
        <f t="shared" si="3"/>
        <v>5.02979104477612</v>
      </c>
      <c r="G79" s="18"/>
      <c r="H79" s="18">
        <f>G79*C79</f>
        <v>0</v>
      </c>
      <c r="I79" s="45">
        <f t="shared" si="4"/>
        <v>0</v>
      </c>
      <c r="J79"/>
      <c r="K79" s="34">
        <f>L79/C79</f>
        <v>0</v>
      </c>
      <c r="L79" s="12"/>
      <c r="M79" s="51">
        <f t="shared" si="5"/>
        <v>0</v>
      </c>
    </row>
    <row r="80" spans="1:13" ht="80.099999999999994" customHeight="1">
      <c r="A80" s="26">
        <v>8809962542793</v>
      </c>
      <c r="B80" s="30" t="s">
        <v>80</v>
      </c>
      <c r="C80" s="27">
        <v>50</v>
      </c>
      <c r="D80" s="28"/>
      <c r="E80" s="29">
        <v>8712</v>
      </c>
      <c r="F80" s="39">
        <f t="shared" si="3"/>
        <v>6.5014925373134327</v>
      </c>
      <c r="G80" s="18"/>
      <c r="H80" s="18">
        <f>G80*C80</f>
        <v>0</v>
      </c>
      <c r="I80" s="45">
        <f t="shared" si="4"/>
        <v>0</v>
      </c>
      <c r="J80"/>
      <c r="K80" s="34">
        <f>L80/C80</f>
        <v>0</v>
      </c>
      <c r="L80" s="12"/>
      <c r="M80" s="51">
        <f t="shared" si="5"/>
        <v>0</v>
      </c>
    </row>
    <row r="81" spans="1:13" ht="80.099999999999994" customHeight="1">
      <c r="A81" s="26">
        <v>8809849802408</v>
      </c>
      <c r="B81" s="30" t="s">
        <v>81</v>
      </c>
      <c r="C81" s="27">
        <v>40</v>
      </c>
      <c r="D81" s="28">
        <v>21000</v>
      </c>
      <c r="E81" s="29">
        <v>8241.4200000000019</v>
      </c>
      <c r="F81" s="39">
        <f t="shared" si="3"/>
        <v>6.150313432835822</v>
      </c>
      <c r="G81" s="18"/>
      <c r="H81" s="18">
        <f>G81*C81</f>
        <v>0</v>
      </c>
      <c r="I81" s="45">
        <f t="shared" si="4"/>
        <v>0</v>
      </c>
      <c r="J81"/>
      <c r="K81" s="34">
        <f>L81/C81</f>
        <v>0</v>
      </c>
      <c r="L81" s="12"/>
      <c r="M81" s="51">
        <f t="shared" si="5"/>
        <v>0</v>
      </c>
    </row>
    <row r="82" spans="1:13" ht="80.099999999999994" customHeight="1">
      <c r="A82" s="26">
        <v>8809962540294</v>
      </c>
      <c r="B82" s="30" t="s">
        <v>82</v>
      </c>
      <c r="C82" s="27">
        <v>20</v>
      </c>
      <c r="D82" s="28"/>
      <c r="E82" s="29">
        <v>8613</v>
      </c>
      <c r="F82" s="39">
        <f t="shared" si="3"/>
        <v>6.4276119402985072</v>
      </c>
      <c r="G82" s="18"/>
      <c r="H82" s="18">
        <f>G82*C82</f>
        <v>0</v>
      </c>
      <c r="I82" s="45">
        <f t="shared" si="4"/>
        <v>0</v>
      </c>
      <c r="J82"/>
      <c r="K82" s="34">
        <f>L82/C82</f>
        <v>0</v>
      </c>
      <c r="L82" s="12"/>
      <c r="M82" s="51">
        <f t="shared" si="5"/>
        <v>0</v>
      </c>
    </row>
    <row r="83" spans="1:13" ht="80.099999999999994" customHeight="1">
      <c r="A83" s="26">
        <v>8809962542137</v>
      </c>
      <c r="B83" s="30" t="s">
        <v>83</v>
      </c>
      <c r="C83" s="27">
        <v>60</v>
      </c>
      <c r="D83" s="28">
        <v>34000</v>
      </c>
      <c r="E83" s="29">
        <v>12383.8</v>
      </c>
      <c r="F83" s="39">
        <f t="shared" si="3"/>
        <v>9.2416417910447759</v>
      </c>
      <c r="G83" s="18"/>
      <c r="H83" s="18">
        <f>G83*C83</f>
        <v>0</v>
      </c>
      <c r="I83" s="45">
        <f t="shared" si="4"/>
        <v>0</v>
      </c>
      <c r="J83"/>
      <c r="K83" s="34">
        <f>L83/C83</f>
        <v>0</v>
      </c>
      <c r="L83" s="12"/>
      <c r="M83" s="51">
        <f t="shared" si="5"/>
        <v>0</v>
      </c>
    </row>
    <row r="84" spans="1:13" ht="80.099999999999994" customHeight="1">
      <c r="A84" s="26">
        <v>8809962542403</v>
      </c>
      <c r="B84" s="31" t="s">
        <v>84</v>
      </c>
      <c r="C84" s="27">
        <v>50</v>
      </c>
      <c r="D84" s="28"/>
      <c r="E84" s="29">
        <v>10098</v>
      </c>
      <c r="F84" s="39">
        <f t="shared" si="3"/>
        <v>7.535820895522388</v>
      </c>
      <c r="G84" s="18"/>
      <c r="H84" s="18">
        <f>G84*C84</f>
        <v>0</v>
      </c>
      <c r="I84" s="45">
        <f t="shared" si="4"/>
        <v>0</v>
      </c>
      <c r="J84"/>
      <c r="K84" s="34">
        <f>L84/C84</f>
        <v>0</v>
      </c>
      <c r="L84" s="12"/>
      <c r="M84" s="51">
        <f t="shared" si="5"/>
        <v>0</v>
      </c>
    </row>
    <row r="85" spans="1:13" ht="80.099999999999994" customHeight="1">
      <c r="A85" s="26">
        <v>8809962543103</v>
      </c>
      <c r="B85" s="31" t="s">
        <v>85</v>
      </c>
      <c r="C85" s="27">
        <v>50</v>
      </c>
      <c r="D85" s="28"/>
      <c r="E85" s="29">
        <v>10098</v>
      </c>
      <c r="F85" s="39">
        <f t="shared" si="3"/>
        <v>7.535820895522388</v>
      </c>
      <c r="G85" s="18"/>
      <c r="H85" s="18">
        <f>G85*C85</f>
        <v>0</v>
      </c>
      <c r="I85" s="45">
        <f t="shared" si="4"/>
        <v>0</v>
      </c>
      <c r="J85"/>
      <c r="K85" s="34">
        <f>L85/C85</f>
        <v>0</v>
      </c>
      <c r="L85" s="12"/>
      <c r="M85" s="51">
        <f t="shared" si="5"/>
        <v>0</v>
      </c>
    </row>
    <row r="86" spans="1:13" ht="80.099999999999994" customHeight="1">
      <c r="A86" s="26">
        <v>8809962543097</v>
      </c>
      <c r="B86" s="31" t="s">
        <v>86</v>
      </c>
      <c r="C86" s="27">
        <v>50</v>
      </c>
      <c r="D86" s="28"/>
      <c r="E86" s="29">
        <v>9460</v>
      </c>
      <c r="F86" s="39">
        <f t="shared" si="3"/>
        <v>7.0597014925373136</v>
      </c>
      <c r="G86" s="18"/>
      <c r="H86" s="18">
        <f>G86*C86</f>
        <v>0</v>
      </c>
      <c r="I86" s="45">
        <f t="shared" si="4"/>
        <v>0</v>
      </c>
      <c r="J86"/>
      <c r="K86" s="34">
        <f>L86/C86</f>
        <v>0</v>
      </c>
      <c r="L86" s="12"/>
      <c r="M86" s="51">
        <f t="shared" si="5"/>
        <v>0</v>
      </c>
    </row>
    <row r="87" spans="1:13" ht="80.099999999999994" customHeight="1">
      <c r="A87" s="26">
        <v>8809962541475</v>
      </c>
      <c r="B87" s="30" t="s">
        <v>87</v>
      </c>
      <c r="C87" s="27">
        <v>80</v>
      </c>
      <c r="D87" s="28"/>
      <c r="E87" s="29">
        <v>9460</v>
      </c>
      <c r="F87" s="39">
        <f t="shared" si="3"/>
        <v>7.0597014925373136</v>
      </c>
      <c r="G87" s="18"/>
      <c r="H87" s="18">
        <f>G87*C87</f>
        <v>0</v>
      </c>
      <c r="I87" s="45">
        <f t="shared" si="4"/>
        <v>0</v>
      </c>
      <c r="J87"/>
      <c r="K87" s="34">
        <f>L87/C87</f>
        <v>0</v>
      </c>
      <c r="L87" s="12"/>
      <c r="M87" s="51">
        <f t="shared" si="5"/>
        <v>0</v>
      </c>
    </row>
    <row r="88" spans="1:13" ht="80.099999999999994" customHeight="1">
      <c r="A88" s="26">
        <v>8809962541345</v>
      </c>
      <c r="B88" s="30" t="s">
        <v>88</v>
      </c>
      <c r="C88" s="27">
        <v>30</v>
      </c>
      <c r="D88" s="28"/>
      <c r="E88" s="29">
        <v>9460</v>
      </c>
      <c r="F88" s="39">
        <f t="shared" si="3"/>
        <v>7.0597014925373136</v>
      </c>
      <c r="G88" s="18"/>
      <c r="H88" s="18">
        <f>G88*C88</f>
        <v>0</v>
      </c>
      <c r="I88" s="45">
        <f t="shared" si="4"/>
        <v>0</v>
      </c>
      <c r="J88"/>
      <c r="K88" s="34">
        <f>L88/C88</f>
        <v>0</v>
      </c>
      <c r="L88" s="12"/>
      <c r="M88" s="51">
        <f t="shared" si="5"/>
        <v>0</v>
      </c>
    </row>
    <row r="89" spans="1:13" ht="80.099999999999994" customHeight="1">
      <c r="A89" s="26">
        <v>8809962541352</v>
      </c>
      <c r="B89" s="30" t="s">
        <v>89</v>
      </c>
      <c r="C89" s="27">
        <v>40</v>
      </c>
      <c r="D89" s="28"/>
      <c r="E89" s="29">
        <v>6699</v>
      </c>
      <c r="F89" s="39">
        <f t="shared" si="3"/>
        <v>4.9992537313432832</v>
      </c>
      <c r="G89" s="18"/>
      <c r="H89" s="18">
        <f>G89*C89</f>
        <v>0</v>
      </c>
      <c r="I89" s="45">
        <f t="shared" si="4"/>
        <v>0</v>
      </c>
      <c r="J89"/>
      <c r="K89" s="34">
        <f>L89/C89</f>
        <v>0</v>
      </c>
      <c r="L89" s="12"/>
      <c r="M89" s="51">
        <f t="shared" si="5"/>
        <v>0</v>
      </c>
    </row>
    <row r="90" spans="1:13" ht="80.099999999999994" customHeight="1">
      <c r="A90" s="26">
        <v>8809849803979</v>
      </c>
      <c r="B90" s="30" t="s">
        <v>90</v>
      </c>
      <c r="C90" s="27">
        <v>40</v>
      </c>
      <c r="D90" s="28"/>
      <c r="E90" s="29">
        <v>5434</v>
      </c>
      <c r="F90" s="39">
        <f t="shared" si="3"/>
        <v>4.0552238805970147</v>
      </c>
      <c r="G90" s="18"/>
      <c r="H90" s="18">
        <f>G90*C90</f>
        <v>0</v>
      </c>
      <c r="I90" s="45">
        <f t="shared" si="4"/>
        <v>0</v>
      </c>
      <c r="J90"/>
      <c r="K90" s="34">
        <f>L90/C90</f>
        <v>0</v>
      </c>
      <c r="L90" s="12"/>
      <c r="M90" s="51">
        <f t="shared" si="5"/>
        <v>0</v>
      </c>
    </row>
    <row r="91" spans="1:13" ht="80.099999999999994" customHeight="1">
      <c r="A91" s="26">
        <v>8809962542892</v>
      </c>
      <c r="B91" s="30" t="s">
        <v>91</v>
      </c>
      <c r="C91" s="27">
        <v>40</v>
      </c>
      <c r="D91" s="28"/>
      <c r="E91" s="29">
        <v>13123</v>
      </c>
      <c r="F91" s="39">
        <f t="shared" si="3"/>
        <v>9.7932835820895523</v>
      </c>
      <c r="G91" s="18"/>
      <c r="H91" s="18">
        <f>G91*C91</f>
        <v>0</v>
      </c>
      <c r="I91" s="45">
        <f t="shared" si="4"/>
        <v>0</v>
      </c>
      <c r="J91"/>
      <c r="K91" s="34">
        <f>L91/C91</f>
        <v>0</v>
      </c>
      <c r="L91" s="12"/>
      <c r="M91" s="51">
        <f t="shared" si="5"/>
        <v>0</v>
      </c>
    </row>
    <row r="92" spans="1:13" ht="80.099999999999994" customHeight="1">
      <c r="A92" s="26">
        <v>8809962543356</v>
      </c>
      <c r="B92" s="30" t="s">
        <v>92</v>
      </c>
      <c r="C92" s="27">
        <v>100</v>
      </c>
      <c r="D92" s="28"/>
      <c r="E92" s="29">
        <v>7073</v>
      </c>
      <c r="F92" s="39">
        <f t="shared" si="3"/>
        <v>5.2783582089552237</v>
      </c>
      <c r="G92" s="18"/>
      <c r="H92" s="18">
        <f>G92*C92</f>
        <v>0</v>
      </c>
      <c r="I92" s="45">
        <f t="shared" si="4"/>
        <v>0</v>
      </c>
      <c r="J92"/>
      <c r="K92" s="34">
        <f>L92/C92</f>
        <v>0</v>
      </c>
      <c r="L92" s="12"/>
      <c r="M92" s="51">
        <f t="shared" si="5"/>
        <v>0</v>
      </c>
    </row>
    <row r="93" spans="1:13" ht="80.099999999999994" customHeight="1">
      <c r="A93" s="26">
        <v>8809962544353</v>
      </c>
      <c r="B93" s="30" t="s">
        <v>93</v>
      </c>
      <c r="C93" s="27">
        <v>60</v>
      </c>
      <c r="D93" s="28"/>
      <c r="E93" s="29">
        <v>12375</v>
      </c>
      <c r="F93" s="39">
        <f t="shared" si="3"/>
        <v>9.2350746268656714</v>
      </c>
      <c r="G93" s="18"/>
      <c r="H93" s="18">
        <f>G93*C93</f>
        <v>0</v>
      </c>
      <c r="I93" s="45">
        <f t="shared" si="4"/>
        <v>0</v>
      </c>
      <c r="J93"/>
      <c r="K93" s="34">
        <f>L93/C93</f>
        <v>0</v>
      </c>
      <c r="L93" s="12"/>
      <c r="M93" s="51">
        <f t="shared" si="5"/>
        <v>0</v>
      </c>
    </row>
    <row r="94" spans="1:13" ht="80.099999999999994" customHeight="1">
      <c r="A94" s="26">
        <v>8809962540652</v>
      </c>
      <c r="B94" s="30" t="s">
        <v>94</v>
      </c>
      <c r="C94" s="27">
        <v>60</v>
      </c>
      <c r="D94" s="28">
        <v>28000</v>
      </c>
      <c r="E94" s="29">
        <v>9892.52</v>
      </c>
      <c r="F94" s="39">
        <f t="shared" si="3"/>
        <v>7.3824776119402991</v>
      </c>
      <c r="G94" s="18"/>
      <c r="H94" s="18">
        <f>G94*C94</f>
        <v>0</v>
      </c>
      <c r="I94" s="45">
        <f t="shared" si="4"/>
        <v>0</v>
      </c>
      <c r="J94"/>
      <c r="K94" s="34">
        <f>L94/C94</f>
        <v>0</v>
      </c>
      <c r="L94" s="12"/>
      <c r="M94" s="51">
        <f t="shared" si="5"/>
        <v>0</v>
      </c>
    </row>
    <row r="95" spans="1:13" ht="80.099999999999994" customHeight="1">
      <c r="A95" s="26">
        <v>8809962540690</v>
      </c>
      <c r="B95" s="31" t="s">
        <v>95</v>
      </c>
      <c r="C95" s="27">
        <v>60</v>
      </c>
      <c r="D95" s="28">
        <v>30000</v>
      </c>
      <c r="E95" s="29">
        <v>10590.8</v>
      </c>
      <c r="F95" s="39">
        <f t="shared" si="3"/>
        <v>7.9035820895522386</v>
      </c>
      <c r="G95" s="18"/>
      <c r="H95" s="18">
        <f>G95*C95</f>
        <v>0</v>
      </c>
      <c r="I95" s="45">
        <f t="shared" si="4"/>
        <v>0</v>
      </c>
      <c r="J95"/>
      <c r="K95" s="34">
        <f>L95/C95</f>
        <v>0</v>
      </c>
      <c r="L95" s="12"/>
      <c r="M95" s="51">
        <f t="shared" si="5"/>
        <v>0</v>
      </c>
    </row>
    <row r="96" spans="1:13" ht="80.099999999999994" customHeight="1">
      <c r="A96" s="26">
        <v>8809962540775</v>
      </c>
      <c r="B96" s="31" t="s">
        <v>96</v>
      </c>
      <c r="C96" s="27">
        <v>40</v>
      </c>
      <c r="D96" s="28">
        <v>40000</v>
      </c>
      <c r="E96" s="29">
        <v>10234.4</v>
      </c>
      <c r="F96" s="39">
        <f t="shared" si="3"/>
        <v>7.6376119402985072</v>
      </c>
      <c r="G96" s="18"/>
      <c r="H96" s="18">
        <f>G96*C96</f>
        <v>0</v>
      </c>
      <c r="I96" s="45">
        <f t="shared" si="4"/>
        <v>0</v>
      </c>
      <c r="J96"/>
      <c r="K96" s="34">
        <f>L96/C96</f>
        <v>0</v>
      </c>
      <c r="L96" s="12"/>
      <c r="M96" s="51">
        <f t="shared" si="5"/>
        <v>0</v>
      </c>
    </row>
    <row r="97" spans="1:13" ht="80.099999999999994" customHeight="1">
      <c r="A97" s="26">
        <v>8809962542946</v>
      </c>
      <c r="B97" s="31" t="s">
        <v>97</v>
      </c>
      <c r="C97" s="27">
        <v>80</v>
      </c>
      <c r="D97" s="28"/>
      <c r="E97" s="29">
        <v>11990</v>
      </c>
      <c r="F97" s="39">
        <f t="shared" si="3"/>
        <v>8.9477611940298516</v>
      </c>
      <c r="G97" s="18"/>
      <c r="H97" s="18">
        <f>G97*C97</f>
        <v>0</v>
      </c>
      <c r="I97" s="45">
        <f t="shared" si="4"/>
        <v>0</v>
      </c>
      <c r="J97"/>
      <c r="K97" s="34">
        <f>L97/C97</f>
        <v>0</v>
      </c>
      <c r="L97" s="12"/>
      <c r="M97" s="51">
        <f t="shared" si="5"/>
        <v>0</v>
      </c>
    </row>
    <row r="98" spans="1:13" ht="80.099999999999994" customHeight="1">
      <c r="A98" s="26">
        <v>8809962540584</v>
      </c>
      <c r="B98" s="31" t="s">
        <v>98</v>
      </c>
      <c r="C98" s="27">
        <v>30</v>
      </c>
      <c r="D98" s="28">
        <v>25000</v>
      </c>
      <c r="E98" s="29">
        <v>8833.4400000000023</v>
      </c>
      <c r="F98" s="39">
        <f t="shared" si="3"/>
        <v>6.5921194029850767</v>
      </c>
      <c r="G98" s="18"/>
      <c r="H98" s="18">
        <f>G98*C98</f>
        <v>0</v>
      </c>
      <c r="I98" s="45">
        <f t="shared" si="4"/>
        <v>0</v>
      </c>
      <c r="J98"/>
      <c r="K98" s="34">
        <f>L98/C98</f>
        <v>0</v>
      </c>
      <c r="L98" s="12"/>
      <c r="M98" s="51">
        <f t="shared" si="5"/>
        <v>0</v>
      </c>
    </row>
    <row r="99" spans="1:13" ht="80.099999999999994" customHeight="1">
      <c r="A99" s="26">
        <v>8809962540591</v>
      </c>
      <c r="B99" s="31" t="s">
        <v>99</v>
      </c>
      <c r="C99" s="27">
        <v>30</v>
      </c>
      <c r="D99" s="28">
        <v>35000</v>
      </c>
      <c r="E99" s="29">
        <v>11695.2</v>
      </c>
      <c r="F99" s="39">
        <f t="shared" si="3"/>
        <v>8.727761194029851</v>
      </c>
      <c r="G99" s="18"/>
      <c r="H99" s="18">
        <f>G99*C99</f>
        <v>0</v>
      </c>
      <c r="I99" s="45">
        <f t="shared" si="4"/>
        <v>0</v>
      </c>
      <c r="J99"/>
      <c r="K99" s="34">
        <f>L99/C99</f>
        <v>0</v>
      </c>
      <c r="L99" s="12"/>
      <c r="M99" s="51">
        <f t="shared" si="5"/>
        <v>0</v>
      </c>
    </row>
    <row r="100" spans="1:13" ht="80.099999999999994" customHeight="1">
      <c r="A100" s="26">
        <v>8809962540539</v>
      </c>
      <c r="B100" s="31" t="s">
        <v>100</v>
      </c>
      <c r="C100" s="27">
        <v>12</v>
      </c>
      <c r="D100" s="28">
        <v>18000</v>
      </c>
      <c r="E100" s="29">
        <v>1480.6</v>
      </c>
      <c r="F100" s="39">
        <f t="shared" si="3"/>
        <v>1.1049253731343283</v>
      </c>
      <c r="G100" s="18"/>
      <c r="H100" s="18">
        <f>G100*C100</f>
        <v>0</v>
      </c>
      <c r="I100" s="45">
        <f t="shared" si="4"/>
        <v>0</v>
      </c>
      <c r="J100"/>
      <c r="K100" s="34">
        <f>L100/C100</f>
        <v>0</v>
      </c>
      <c r="L100" s="12"/>
      <c r="M100" s="51">
        <f t="shared" si="5"/>
        <v>0</v>
      </c>
    </row>
    <row r="101" spans="1:13" ht="80.099999999999994" customHeight="1">
      <c r="A101" s="26">
        <v>8809962540805</v>
      </c>
      <c r="B101" s="31" t="s">
        <v>101</v>
      </c>
      <c r="C101" s="27">
        <v>40</v>
      </c>
      <c r="D101" s="28"/>
      <c r="E101" s="29">
        <v>10626</v>
      </c>
      <c r="F101" s="39">
        <f t="shared" si="3"/>
        <v>7.9298507462686567</v>
      </c>
      <c r="G101" s="18"/>
      <c r="H101" s="18">
        <f>G101*C101</f>
        <v>0</v>
      </c>
      <c r="I101" s="45">
        <f t="shared" si="4"/>
        <v>0</v>
      </c>
      <c r="J101"/>
      <c r="K101" s="34">
        <f>L101/C101</f>
        <v>0</v>
      </c>
      <c r="L101" s="12"/>
      <c r="M101" s="51">
        <f t="shared" si="5"/>
        <v>0</v>
      </c>
    </row>
    <row r="102" spans="1:13" ht="80.099999999999994" customHeight="1">
      <c r="A102" s="26">
        <v>8809962540812</v>
      </c>
      <c r="B102" s="31" t="s">
        <v>102</v>
      </c>
      <c r="C102" s="27">
        <v>40</v>
      </c>
      <c r="D102" s="28"/>
      <c r="E102" s="29">
        <v>5951</v>
      </c>
      <c r="F102" s="39">
        <f t="shared" si="3"/>
        <v>4.4410447761194032</v>
      </c>
      <c r="G102" s="18"/>
      <c r="H102" s="18">
        <f>G102*C102</f>
        <v>0</v>
      </c>
      <c r="I102" s="45">
        <f t="shared" si="4"/>
        <v>0</v>
      </c>
      <c r="J102"/>
      <c r="K102" s="34">
        <f>L102/C102</f>
        <v>0</v>
      </c>
      <c r="L102" s="12"/>
      <c r="M102" s="51">
        <f t="shared" si="5"/>
        <v>0</v>
      </c>
    </row>
    <row r="103" spans="1:13" ht="80.099999999999994" customHeight="1">
      <c r="A103" s="26">
        <v>8809962541048</v>
      </c>
      <c r="B103" s="31" t="s">
        <v>103</v>
      </c>
      <c r="C103" s="27">
        <v>50</v>
      </c>
      <c r="D103" s="28"/>
      <c r="E103" s="29">
        <v>8833</v>
      </c>
      <c r="F103" s="39">
        <f t="shared" si="3"/>
        <v>6.5917910447761194</v>
      </c>
      <c r="G103" s="18"/>
      <c r="H103" s="18">
        <f>G103*C103</f>
        <v>0</v>
      </c>
      <c r="I103" s="45">
        <f t="shared" si="4"/>
        <v>0</v>
      </c>
      <c r="J103"/>
      <c r="K103" s="34">
        <f>L103/C103</f>
        <v>0</v>
      </c>
      <c r="L103" s="12"/>
      <c r="M103" s="51">
        <f t="shared" si="5"/>
        <v>0</v>
      </c>
    </row>
    <row r="104" spans="1:13" ht="80.099999999999994" customHeight="1">
      <c r="A104" s="26">
        <v>8809962541031</v>
      </c>
      <c r="B104" s="31" t="s">
        <v>104</v>
      </c>
      <c r="C104" s="27">
        <v>100</v>
      </c>
      <c r="D104" s="28"/>
      <c r="E104" s="29">
        <v>9086</v>
      </c>
      <c r="F104" s="39">
        <f t="shared" si="3"/>
        <v>6.7805970149253731</v>
      </c>
      <c r="G104" s="18"/>
      <c r="H104" s="18">
        <f>G104*C104</f>
        <v>0</v>
      </c>
      <c r="I104" s="45">
        <f t="shared" si="4"/>
        <v>0</v>
      </c>
      <c r="J104"/>
      <c r="K104" s="34">
        <f>L104/C104</f>
        <v>0</v>
      </c>
      <c r="L104" s="12"/>
      <c r="M104" s="51">
        <f t="shared" si="5"/>
        <v>0</v>
      </c>
    </row>
    <row r="105" spans="1:13" ht="80.099999999999994" customHeight="1">
      <c r="A105" s="26">
        <v>8809962541284</v>
      </c>
      <c r="B105" s="31" t="s">
        <v>105</v>
      </c>
      <c r="C105" s="27">
        <v>40</v>
      </c>
      <c r="D105" s="28"/>
      <c r="E105" s="29">
        <v>11231</v>
      </c>
      <c r="F105" s="39">
        <f t="shared" si="3"/>
        <v>8.3813432835820887</v>
      </c>
      <c r="G105" s="18"/>
      <c r="H105" s="18">
        <f>G105*C105</f>
        <v>0</v>
      </c>
      <c r="I105" s="45">
        <f t="shared" si="4"/>
        <v>0</v>
      </c>
      <c r="J105"/>
      <c r="K105" s="34">
        <f>L105/C105</f>
        <v>0</v>
      </c>
      <c r="L105" s="12"/>
      <c r="M105" s="51">
        <f t="shared" si="5"/>
        <v>0</v>
      </c>
    </row>
    <row r="106" spans="1:13" ht="80.099999999999994" customHeight="1">
      <c r="A106" s="26">
        <v>8809962541383</v>
      </c>
      <c r="B106" s="31" t="s">
        <v>106</v>
      </c>
      <c r="C106" s="27">
        <v>30</v>
      </c>
      <c r="D106" s="28">
        <v>24000</v>
      </c>
      <c r="E106" s="29">
        <v>9533.7000000000007</v>
      </c>
      <c r="F106" s="39">
        <f t="shared" si="3"/>
        <v>7.1147014925373142</v>
      </c>
      <c r="G106" s="18"/>
      <c r="H106" s="18">
        <f>G106*C106</f>
        <v>0</v>
      </c>
      <c r="I106" s="45">
        <f t="shared" si="4"/>
        <v>0</v>
      </c>
      <c r="J106"/>
      <c r="K106" s="34">
        <f>L106/C106</f>
        <v>0</v>
      </c>
      <c r="L106" s="12"/>
      <c r="M106" s="51">
        <f t="shared" si="5"/>
        <v>0</v>
      </c>
    </row>
    <row r="107" spans="1:13" ht="80.099999999999994" customHeight="1">
      <c r="A107" s="26">
        <v>8809962541857</v>
      </c>
      <c r="B107" s="31" t="s">
        <v>107</v>
      </c>
      <c r="C107" s="27">
        <v>60</v>
      </c>
      <c r="D107" s="28">
        <v>35000</v>
      </c>
      <c r="E107" s="29">
        <v>12511.4</v>
      </c>
      <c r="F107" s="39">
        <f t="shared" si="3"/>
        <v>9.3368656716417906</v>
      </c>
      <c r="G107" s="18"/>
      <c r="H107" s="18">
        <f>G107*C107</f>
        <v>0</v>
      </c>
      <c r="I107" s="45">
        <f t="shared" si="4"/>
        <v>0</v>
      </c>
      <c r="J107"/>
      <c r="K107" s="34">
        <f>L107/C107</f>
        <v>0</v>
      </c>
      <c r="L107" s="12"/>
      <c r="M107" s="51">
        <f t="shared" si="5"/>
        <v>0</v>
      </c>
    </row>
    <row r="108" spans="1:13" ht="80.099999999999994" customHeight="1">
      <c r="A108" s="26">
        <v>8809962541840</v>
      </c>
      <c r="B108" s="31" t="s">
        <v>108</v>
      </c>
      <c r="C108" s="27">
        <v>80</v>
      </c>
      <c r="D108" s="28">
        <v>38000</v>
      </c>
      <c r="E108" s="29">
        <v>13500.52</v>
      </c>
      <c r="F108" s="39">
        <f t="shared" si="3"/>
        <v>10.075014925373134</v>
      </c>
      <c r="G108" s="18"/>
      <c r="H108" s="18">
        <f>G108*C108</f>
        <v>0</v>
      </c>
      <c r="I108" s="45">
        <f t="shared" si="4"/>
        <v>0</v>
      </c>
      <c r="J108"/>
      <c r="K108" s="34">
        <f>L108/C108</f>
        <v>0</v>
      </c>
      <c r="L108" s="12"/>
      <c r="M108" s="51">
        <f t="shared" si="5"/>
        <v>0</v>
      </c>
    </row>
    <row r="109" spans="1:13" ht="80.099999999999994" customHeight="1">
      <c r="A109" s="26">
        <v>8809962542212</v>
      </c>
      <c r="B109" s="31" t="s">
        <v>109</v>
      </c>
      <c r="C109" s="27">
        <v>50</v>
      </c>
      <c r="D109" s="28">
        <v>28000</v>
      </c>
      <c r="E109" s="29">
        <v>11419.980000000001</v>
      </c>
      <c r="F109" s="39">
        <f t="shared" si="3"/>
        <v>8.52237313432836</v>
      </c>
      <c r="G109" s="18"/>
      <c r="H109" s="18">
        <f>G109*C109</f>
        <v>0</v>
      </c>
      <c r="I109" s="45">
        <f t="shared" si="4"/>
        <v>0</v>
      </c>
      <c r="J109"/>
      <c r="K109" s="34">
        <f>L109/C109</f>
        <v>0</v>
      </c>
      <c r="L109" s="12"/>
      <c r="M109" s="51">
        <f t="shared" si="5"/>
        <v>0</v>
      </c>
    </row>
    <row r="110" spans="1:13" ht="80.099999999999994" customHeight="1">
      <c r="A110" s="26">
        <v>8809962542861</v>
      </c>
      <c r="B110" s="31" t="s">
        <v>110</v>
      </c>
      <c r="C110" s="27">
        <v>50</v>
      </c>
      <c r="D110" s="28"/>
      <c r="E110" s="29">
        <v>8712</v>
      </c>
      <c r="F110" s="39">
        <f t="shared" si="3"/>
        <v>6.5014925373134327</v>
      </c>
      <c r="G110" s="18"/>
      <c r="H110" s="18">
        <f>G110*C110</f>
        <v>0</v>
      </c>
      <c r="I110" s="45">
        <f t="shared" si="4"/>
        <v>0</v>
      </c>
      <c r="J110"/>
      <c r="K110" s="34">
        <f>L110/C110</f>
        <v>0</v>
      </c>
      <c r="L110" s="12"/>
      <c r="M110" s="51">
        <f t="shared" si="5"/>
        <v>0</v>
      </c>
    </row>
    <row r="111" spans="1:13" ht="80.099999999999994" customHeight="1">
      <c r="A111" s="26">
        <v>8809962542366</v>
      </c>
      <c r="B111" s="31" t="s">
        <v>111</v>
      </c>
      <c r="C111" s="27">
        <v>30</v>
      </c>
      <c r="D111" s="28"/>
      <c r="E111" s="29">
        <v>9977</v>
      </c>
      <c r="F111" s="39">
        <f t="shared" si="3"/>
        <v>7.4455223880597012</v>
      </c>
      <c r="G111" s="18"/>
      <c r="H111" s="18">
        <f>G111*C111</f>
        <v>0</v>
      </c>
      <c r="I111" s="45">
        <f t="shared" si="4"/>
        <v>0</v>
      </c>
      <c r="J111"/>
      <c r="K111" s="34">
        <f>L111/C111</f>
        <v>0</v>
      </c>
      <c r="L111" s="12"/>
      <c r="M111" s="51">
        <f t="shared" si="5"/>
        <v>0</v>
      </c>
    </row>
    <row r="112" spans="1:13" ht="80.099999999999994" customHeight="1">
      <c r="A112" s="26">
        <v>8809962544162</v>
      </c>
      <c r="B112" s="31" t="s">
        <v>112</v>
      </c>
      <c r="C112" s="27">
        <v>100</v>
      </c>
      <c r="D112" s="28"/>
      <c r="E112" s="29">
        <v>11484</v>
      </c>
      <c r="F112" s="39">
        <f t="shared" si="3"/>
        <v>8.5701492537313424</v>
      </c>
      <c r="G112" s="18"/>
      <c r="H112" s="18">
        <f>G112*C112</f>
        <v>0</v>
      </c>
      <c r="I112" s="45">
        <f t="shared" si="4"/>
        <v>0</v>
      </c>
      <c r="J112"/>
      <c r="K112" s="34">
        <f>L112/C112</f>
        <v>0</v>
      </c>
      <c r="L112" s="12"/>
      <c r="M112" s="51">
        <f t="shared" si="5"/>
        <v>0</v>
      </c>
    </row>
    <row r="113" spans="1:13" ht="80.099999999999994" customHeight="1">
      <c r="A113" s="26">
        <v>8809962543547</v>
      </c>
      <c r="B113" s="31" t="s">
        <v>113</v>
      </c>
      <c r="C113" s="27">
        <v>50</v>
      </c>
      <c r="D113" s="28"/>
      <c r="E113" s="29">
        <v>10725</v>
      </c>
      <c r="F113" s="39">
        <f t="shared" si="3"/>
        <v>8.0037313432835813</v>
      </c>
      <c r="G113" s="18"/>
      <c r="H113" s="18">
        <f>G113*C113</f>
        <v>0</v>
      </c>
      <c r="I113" s="45">
        <f t="shared" si="4"/>
        <v>0</v>
      </c>
      <c r="J113"/>
      <c r="K113" s="34">
        <f>L113/C113</f>
        <v>0</v>
      </c>
      <c r="L113" s="12"/>
      <c r="M113" s="51">
        <f t="shared" si="5"/>
        <v>0</v>
      </c>
    </row>
    <row r="114" spans="1:13" ht="80.099999999999994" customHeight="1">
      <c r="A114" s="26">
        <v>8809962543646</v>
      </c>
      <c r="B114" s="31" t="s">
        <v>114</v>
      </c>
      <c r="C114" s="27">
        <v>40</v>
      </c>
      <c r="D114" s="28"/>
      <c r="E114" s="29">
        <v>12617</v>
      </c>
      <c r="F114" s="39">
        <f t="shared" si="3"/>
        <v>9.4156716417910449</v>
      </c>
      <c r="G114" s="18"/>
      <c r="H114" s="18">
        <f>G114*C114</f>
        <v>0</v>
      </c>
      <c r="I114" s="45">
        <f t="shared" si="4"/>
        <v>0</v>
      </c>
      <c r="J114"/>
      <c r="K114" s="34">
        <f>L114/C114</f>
        <v>0</v>
      </c>
      <c r="L114" s="12"/>
      <c r="M114" s="51">
        <f t="shared" si="5"/>
        <v>0</v>
      </c>
    </row>
    <row r="115" spans="1:13" ht="80.099999999999994" customHeight="1">
      <c r="A115" s="26">
        <v>8809962541222</v>
      </c>
      <c r="B115" s="31" t="s">
        <v>115</v>
      </c>
      <c r="C115" s="27">
        <v>50</v>
      </c>
      <c r="D115" s="28">
        <v>24000</v>
      </c>
      <c r="E115" s="29">
        <v>9358.7999999999993</v>
      </c>
      <c r="F115" s="39">
        <f t="shared" si="3"/>
        <v>6.9841791044776116</v>
      </c>
      <c r="G115" s="18"/>
      <c r="H115" s="18">
        <f>G115*C115</f>
        <v>0</v>
      </c>
      <c r="I115" s="45">
        <f t="shared" si="4"/>
        <v>0</v>
      </c>
      <c r="J115"/>
      <c r="K115" s="34">
        <f>L115/C115</f>
        <v>0</v>
      </c>
      <c r="L115" s="12"/>
      <c r="M115" s="51">
        <f t="shared" si="5"/>
        <v>0</v>
      </c>
    </row>
    <row r="116" spans="1:13" ht="80.099999999999994" customHeight="1">
      <c r="A116" s="26">
        <v>8809962541239</v>
      </c>
      <c r="B116" s="31" t="s">
        <v>116</v>
      </c>
      <c r="C116" s="27">
        <v>50</v>
      </c>
      <c r="D116" s="28">
        <v>24000</v>
      </c>
      <c r="E116" s="29">
        <v>9358.7999999999993</v>
      </c>
      <c r="F116" s="39">
        <f t="shared" si="3"/>
        <v>6.9841791044776116</v>
      </c>
      <c r="G116" s="18"/>
      <c r="H116" s="18">
        <f>G116*C116</f>
        <v>0</v>
      </c>
      <c r="I116" s="45">
        <f t="shared" si="4"/>
        <v>0</v>
      </c>
      <c r="J116"/>
      <c r="K116" s="34">
        <f>L116/C116</f>
        <v>0</v>
      </c>
      <c r="L116" s="12"/>
      <c r="M116" s="51">
        <f t="shared" si="5"/>
        <v>0</v>
      </c>
    </row>
    <row r="117" spans="1:13" ht="80.099999999999994" customHeight="1">
      <c r="A117" s="26">
        <v>8809962541246</v>
      </c>
      <c r="B117" s="31" t="s">
        <v>117</v>
      </c>
      <c r="C117" s="27">
        <v>50</v>
      </c>
      <c r="D117" s="28">
        <v>26000</v>
      </c>
      <c r="E117" s="29">
        <v>9777.24</v>
      </c>
      <c r="F117" s="39">
        <f t="shared" si="3"/>
        <v>7.2964477611940293</v>
      </c>
      <c r="G117" s="18"/>
      <c r="H117" s="18">
        <f>G117*C117</f>
        <v>0</v>
      </c>
      <c r="I117" s="45">
        <f t="shared" si="4"/>
        <v>0</v>
      </c>
      <c r="J117"/>
      <c r="K117" s="34">
        <f>L117/C117</f>
        <v>0</v>
      </c>
      <c r="L117" s="12"/>
      <c r="M117" s="51">
        <f t="shared" si="5"/>
        <v>0</v>
      </c>
    </row>
    <row r="118" spans="1:13" ht="80.099999999999994" customHeight="1">
      <c r="A118" s="26">
        <v>8809962541635</v>
      </c>
      <c r="B118" s="31" t="s">
        <v>118</v>
      </c>
      <c r="C118" s="27">
        <v>50</v>
      </c>
      <c r="D118" s="28">
        <v>25000</v>
      </c>
      <c r="E118" s="29">
        <v>9369.7999999999993</v>
      </c>
      <c r="F118" s="39">
        <f t="shared" si="3"/>
        <v>6.9923880597014918</v>
      </c>
      <c r="G118" s="18"/>
      <c r="H118" s="18">
        <f>G118*C118</f>
        <v>0</v>
      </c>
      <c r="I118" s="45">
        <f t="shared" si="4"/>
        <v>0</v>
      </c>
      <c r="J118"/>
      <c r="K118" s="34">
        <f>L118/C118</f>
        <v>0</v>
      </c>
      <c r="L118" s="12"/>
      <c r="M118" s="51">
        <f t="shared" si="5"/>
        <v>0</v>
      </c>
    </row>
    <row r="119" spans="1:13" ht="80.099999999999994" customHeight="1">
      <c r="A119" s="26">
        <v>8809962541628</v>
      </c>
      <c r="B119" s="31" t="s">
        <v>119</v>
      </c>
      <c r="C119" s="27">
        <v>50</v>
      </c>
      <c r="D119" s="28">
        <v>25000</v>
      </c>
      <c r="E119" s="29">
        <v>9369.7999999999993</v>
      </c>
      <c r="F119" s="39">
        <f t="shared" si="3"/>
        <v>6.9923880597014918</v>
      </c>
      <c r="G119" s="18"/>
      <c r="H119" s="18">
        <f>G119*C119</f>
        <v>0</v>
      </c>
      <c r="I119" s="45">
        <f t="shared" si="4"/>
        <v>0</v>
      </c>
      <c r="J119"/>
      <c r="K119" s="34">
        <f>L119/C119</f>
        <v>0</v>
      </c>
      <c r="L119" s="12"/>
      <c r="M119" s="51">
        <f t="shared" si="5"/>
        <v>0</v>
      </c>
    </row>
    <row r="120" spans="1:13" ht="80.099999999999994" customHeight="1">
      <c r="A120" s="26">
        <v>8809962541642</v>
      </c>
      <c r="B120" s="31" t="s">
        <v>120</v>
      </c>
      <c r="C120" s="27">
        <v>50</v>
      </c>
      <c r="D120" s="28">
        <v>27000</v>
      </c>
      <c r="E120" s="29">
        <v>9788.24</v>
      </c>
      <c r="F120" s="39">
        <f t="shared" si="3"/>
        <v>7.3046567164179104</v>
      </c>
      <c r="G120" s="18"/>
      <c r="H120" s="18">
        <f>G120*C120</f>
        <v>0</v>
      </c>
      <c r="I120" s="45">
        <f t="shared" si="4"/>
        <v>0</v>
      </c>
      <c r="J120"/>
      <c r="K120" s="34">
        <f>L120/C120</f>
        <v>0</v>
      </c>
      <c r="L120" s="12"/>
      <c r="M120" s="51">
        <f t="shared" si="5"/>
        <v>0</v>
      </c>
    </row>
    <row r="121" spans="1:13" ht="80.099999999999994" customHeight="1">
      <c r="A121" s="26">
        <v>8809962540553</v>
      </c>
      <c r="B121" s="31" t="s">
        <v>121</v>
      </c>
      <c r="C121" s="27">
        <v>100</v>
      </c>
      <c r="D121" s="28"/>
      <c r="E121" s="29">
        <v>5753</v>
      </c>
      <c r="F121" s="39">
        <f t="shared" si="3"/>
        <v>4.2932835820895523</v>
      </c>
      <c r="G121" s="18"/>
      <c r="H121" s="18">
        <f>G121*C121</f>
        <v>0</v>
      </c>
      <c r="I121" s="45">
        <f t="shared" si="4"/>
        <v>0</v>
      </c>
      <c r="J121"/>
      <c r="K121" s="34">
        <f>L121/C121</f>
        <v>0</v>
      </c>
      <c r="L121" s="12"/>
      <c r="M121" s="51">
        <f t="shared" si="5"/>
        <v>0</v>
      </c>
    </row>
  </sheetData>
  <autoFilter ref="A5:M121" xr:uid="{4D9730E6-7D22-4D7B-BBF9-F2A94541C08D}"/>
  <mergeCells count="6">
    <mergeCell ref="M2:M3"/>
    <mergeCell ref="H2:H3"/>
    <mergeCell ref="I2:I3"/>
    <mergeCell ref="G2:G3"/>
    <mergeCell ref="K2:K3"/>
    <mergeCell ref="L2:L3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2026-08-25T02:59:28Z</dcterms:modified>
</cp:coreProperties>
</file>
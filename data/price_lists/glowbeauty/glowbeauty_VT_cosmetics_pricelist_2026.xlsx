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13_ncr:1_{2CE4880D-3974-4453-92C6-A11E528F4A77}" xr6:coauthVersionLast="47" xr6:coauthVersionMax="47" xr10:uidLastSave="{00000000-0000-0000-0000-000000000000}"/>
  <bookViews>
    <workbookView xWindow="-120" yWindow="-120" windowWidth="29040" windowHeight="15720" xr2:uid="{4A226BA7-0E30-4CB4-93DB-6FA4132782E6}"/>
  </bookViews>
  <sheets>
    <sheet name="Sheet1" sheetId="1" r:id="rId1"/>
  </sheets>
  <definedNames>
    <definedName name="_xlnm._FilterDatabase" localSheetId="0" hidden="1">Sheet1!$A$5:$N$100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J21" i="1"/>
  <c r="J37" i="1"/>
  <c r="J160" i="1"/>
  <c r="J164" i="1"/>
  <c r="J168" i="1"/>
  <c r="J172" i="1"/>
  <c r="J176" i="1"/>
  <c r="J180" i="1"/>
  <c r="J184" i="1"/>
  <c r="J188" i="1"/>
  <c r="J192" i="1"/>
  <c r="G20" i="1"/>
  <c r="G7" i="1"/>
  <c r="G8" i="1"/>
  <c r="G9" i="1"/>
  <c r="N9" i="1" s="1"/>
  <c r="G10" i="1"/>
  <c r="G11" i="1"/>
  <c r="G12" i="1"/>
  <c r="G13" i="1"/>
  <c r="N13" i="1" s="1"/>
  <c r="G14" i="1"/>
  <c r="N14" i="1" s="1"/>
  <c r="G15" i="1"/>
  <c r="G16" i="1"/>
  <c r="G17" i="1"/>
  <c r="N17" i="1" s="1"/>
  <c r="G18" i="1"/>
  <c r="N18" i="1" s="1"/>
  <c r="G19" i="1"/>
  <c r="G21" i="1"/>
  <c r="N21" i="1" s="1"/>
  <c r="G22" i="1"/>
  <c r="J22" i="1" s="1"/>
  <c r="G23" i="1"/>
  <c r="G24" i="1"/>
  <c r="G25" i="1"/>
  <c r="N25" i="1" s="1"/>
  <c r="G26" i="1"/>
  <c r="J26" i="1" s="1"/>
  <c r="G27" i="1"/>
  <c r="G28" i="1"/>
  <c r="G29" i="1"/>
  <c r="N29" i="1" s="1"/>
  <c r="G30" i="1"/>
  <c r="J30" i="1" s="1"/>
  <c r="G31" i="1"/>
  <c r="G32" i="1"/>
  <c r="G33" i="1"/>
  <c r="N33" i="1" s="1"/>
  <c r="G34" i="1"/>
  <c r="J34" i="1" s="1"/>
  <c r="G35" i="1"/>
  <c r="G36" i="1"/>
  <c r="G37" i="1"/>
  <c r="N37" i="1" s="1"/>
  <c r="G38" i="1"/>
  <c r="J38" i="1" s="1"/>
  <c r="G39" i="1"/>
  <c r="G40" i="1"/>
  <c r="G41" i="1"/>
  <c r="N41" i="1" s="1"/>
  <c r="G42" i="1"/>
  <c r="J42" i="1" s="1"/>
  <c r="G43" i="1"/>
  <c r="G44" i="1"/>
  <c r="G45" i="1"/>
  <c r="N45" i="1" s="1"/>
  <c r="G46" i="1"/>
  <c r="J46" i="1" s="1"/>
  <c r="G47" i="1"/>
  <c r="G48" i="1"/>
  <c r="G49" i="1"/>
  <c r="N49" i="1" s="1"/>
  <c r="G50" i="1"/>
  <c r="J50" i="1" s="1"/>
  <c r="G51" i="1"/>
  <c r="G52" i="1"/>
  <c r="G53" i="1"/>
  <c r="N53" i="1" s="1"/>
  <c r="G54" i="1"/>
  <c r="J54" i="1" s="1"/>
  <c r="G55" i="1"/>
  <c r="G56" i="1"/>
  <c r="G57" i="1"/>
  <c r="N57" i="1" s="1"/>
  <c r="G58" i="1"/>
  <c r="J58" i="1" s="1"/>
  <c r="G59" i="1"/>
  <c r="G60" i="1"/>
  <c r="G61" i="1"/>
  <c r="N61" i="1" s="1"/>
  <c r="G62" i="1"/>
  <c r="J62" i="1" s="1"/>
  <c r="G63" i="1"/>
  <c r="G64" i="1"/>
  <c r="G65" i="1"/>
  <c r="N65" i="1" s="1"/>
  <c r="G66" i="1"/>
  <c r="J66" i="1" s="1"/>
  <c r="G67" i="1"/>
  <c r="G68" i="1"/>
  <c r="G69" i="1"/>
  <c r="N69" i="1" s="1"/>
  <c r="G70" i="1"/>
  <c r="J70" i="1" s="1"/>
  <c r="G71" i="1"/>
  <c r="G72" i="1"/>
  <c r="G73" i="1"/>
  <c r="N73" i="1" s="1"/>
  <c r="G74" i="1"/>
  <c r="J74" i="1" s="1"/>
  <c r="G75" i="1"/>
  <c r="G76" i="1"/>
  <c r="G77" i="1"/>
  <c r="N77" i="1" s="1"/>
  <c r="G78" i="1"/>
  <c r="J78" i="1" s="1"/>
  <c r="G79" i="1"/>
  <c r="G80" i="1"/>
  <c r="G81" i="1"/>
  <c r="N81" i="1" s="1"/>
  <c r="G82" i="1"/>
  <c r="J82" i="1" s="1"/>
  <c r="G83" i="1"/>
  <c r="G84" i="1"/>
  <c r="G85" i="1"/>
  <c r="N85" i="1" s="1"/>
  <c r="G86" i="1"/>
  <c r="J86" i="1" s="1"/>
  <c r="G87" i="1"/>
  <c r="G88" i="1"/>
  <c r="G89" i="1"/>
  <c r="N89" i="1" s="1"/>
  <c r="G90" i="1"/>
  <c r="J90" i="1" s="1"/>
  <c r="G91" i="1"/>
  <c r="G92" i="1"/>
  <c r="G93" i="1"/>
  <c r="N93" i="1" s="1"/>
  <c r="G94" i="1"/>
  <c r="J94" i="1" s="1"/>
  <c r="G95" i="1"/>
  <c r="G96" i="1"/>
  <c r="G97" i="1"/>
  <c r="N97" i="1" s="1"/>
  <c r="G98" i="1"/>
  <c r="N98" i="1" s="1"/>
  <c r="G99" i="1"/>
  <c r="G100" i="1"/>
  <c r="G101" i="1"/>
  <c r="N101" i="1" s="1"/>
  <c r="G102" i="1"/>
  <c r="J102" i="1" s="1"/>
  <c r="G103" i="1"/>
  <c r="G104" i="1"/>
  <c r="G105" i="1"/>
  <c r="N105" i="1" s="1"/>
  <c r="G106" i="1"/>
  <c r="N106" i="1" s="1"/>
  <c r="G107" i="1"/>
  <c r="G108" i="1"/>
  <c r="G109" i="1"/>
  <c r="N109" i="1" s="1"/>
  <c r="G110" i="1"/>
  <c r="N110" i="1" s="1"/>
  <c r="G111" i="1"/>
  <c r="G112" i="1"/>
  <c r="G113" i="1"/>
  <c r="N113" i="1" s="1"/>
  <c r="G114" i="1"/>
  <c r="N114" i="1" s="1"/>
  <c r="G115" i="1"/>
  <c r="G116" i="1"/>
  <c r="G117" i="1"/>
  <c r="N117" i="1" s="1"/>
  <c r="G118" i="1"/>
  <c r="J118" i="1" s="1"/>
  <c r="G119" i="1"/>
  <c r="G120" i="1"/>
  <c r="G121" i="1"/>
  <c r="N121" i="1" s="1"/>
  <c r="G122" i="1"/>
  <c r="N122" i="1" s="1"/>
  <c r="G123" i="1"/>
  <c r="G124" i="1"/>
  <c r="G125" i="1"/>
  <c r="N125" i="1" s="1"/>
  <c r="G126" i="1"/>
  <c r="N126" i="1" s="1"/>
  <c r="G127" i="1"/>
  <c r="G128" i="1"/>
  <c r="G129" i="1"/>
  <c r="N129" i="1" s="1"/>
  <c r="G130" i="1"/>
  <c r="N130" i="1" s="1"/>
  <c r="G131" i="1"/>
  <c r="G132" i="1"/>
  <c r="G133" i="1"/>
  <c r="N133" i="1" s="1"/>
  <c r="G134" i="1"/>
  <c r="J134" i="1" s="1"/>
  <c r="G135" i="1"/>
  <c r="G136" i="1"/>
  <c r="G137" i="1"/>
  <c r="N137" i="1" s="1"/>
  <c r="G138" i="1"/>
  <c r="N138" i="1" s="1"/>
  <c r="G139" i="1"/>
  <c r="G140" i="1"/>
  <c r="G141" i="1"/>
  <c r="N141" i="1" s="1"/>
  <c r="G142" i="1"/>
  <c r="N142" i="1" s="1"/>
  <c r="G143" i="1"/>
  <c r="G144" i="1"/>
  <c r="G145" i="1"/>
  <c r="N145" i="1" s="1"/>
  <c r="G146" i="1"/>
  <c r="N146" i="1" s="1"/>
  <c r="G147" i="1"/>
  <c r="G148" i="1"/>
  <c r="G149" i="1"/>
  <c r="N149" i="1" s="1"/>
  <c r="G150" i="1"/>
  <c r="J150" i="1" s="1"/>
  <c r="G151" i="1"/>
  <c r="G152" i="1"/>
  <c r="G153" i="1"/>
  <c r="N153" i="1" s="1"/>
  <c r="G154" i="1"/>
  <c r="N154" i="1" s="1"/>
  <c r="G155" i="1"/>
  <c r="G156" i="1"/>
  <c r="G157" i="1"/>
  <c r="N157" i="1" s="1"/>
  <c r="G158" i="1"/>
  <c r="N158" i="1" s="1"/>
  <c r="G159" i="1"/>
  <c r="N159" i="1" s="1"/>
  <c r="G160" i="1"/>
  <c r="N160" i="1" s="1"/>
  <c r="G161" i="1"/>
  <c r="N161" i="1" s="1"/>
  <c r="G162" i="1"/>
  <c r="J162" i="1" s="1"/>
  <c r="G163" i="1"/>
  <c r="N163" i="1" s="1"/>
  <c r="G164" i="1"/>
  <c r="N164" i="1" s="1"/>
  <c r="G165" i="1"/>
  <c r="N165" i="1" s="1"/>
  <c r="G166" i="1"/>
  <c r="J166" i="1" s="1"/>
  <c r="G167" i="1"/>
  <c r="N167" i="1" s="1"/>
  <c r="G168" i="1"/>
  <c r="N168" i="1" s="1"/>
  <c r="G169" i="1"/>
  <c r="N169" i="1" s="1"/>
  <c r="G170" i="1"/>
  <c r="N170" i="1" s="1"/>
  <c r="G171" i="1"/>
  <c r="N171" i="1" s="1"/>
  <c r="G172" i="1"/>
  <c r="N172" i="1" s="1"/>
  <c r="G173" i="1"/>
  <c r="N173" i="1" s="1"/>
  <c r="G174" i="1"/>
  <c r="N174" i="1" s="1"/>
  <c r="G175" i="1"/>
  <c r="N175" i="1" s="1"/>
  <c r="G176" i="1"/>
  <c r="N176" i="1" s="1"/>
  <c r="G177" i="1"/>
  <c r="N177" i="1" s="1"/>
  <c r="G178" i="1"/>
  <c r="J178" i="1" s="1"/>
  <c r="G179" i="1"/>
  <c r="N179" i="1" s="1"/>
  <c r="G180" i="1"/>
  <c r="N180" i="1" s="1"/>
  <c r="G181" i="1"/>
  <c r="N181" i="1" s="1"/>
  <c r="G182" i="1"/>
  <c r="J182" i="1" s="1"/>
  <c r="G183" i="1"/>
  <c r="N183" i="1" s="1"/>
  <c r="G184" i="1"/>
  <c r="N184" i="1" s="1"/>
  <c r="G185" i="1"/>
  <c r="N185" i="1" s="1"/>
  <c r="G186" i="1"/>
  <c r="N186" i="1" s="1"/>
  <c r="G187" i="1"/>
  <c r="N187" i="1" s="1"/>
  <c r="G188" i="1"/>
  <c r="N188" i="1" s="1"/>
  <c r="G189" i="1"/>
  <c r="N189" i="1" s="1"/>
  <c r="G190" i="1"/>
  <c r="N190" i="1" s="1"/>
  <c r="G191" i="1"/>
  <c r="N191" i="1" s="1"/>
  <c r="G192" i="1"/>
  <c r="N192" i="1" s="1"/>
  <c r="G6" i="1"/>
  <c r="N6" i="1" s="1"/>
  <c r="I101" i="1"/>
  <c r="L101" i="1"/>
  <c r="I102" i="1"/>
  <c r="L102" i="1"/>
  <c r="I103" i="1"/>
  <c r="L103" i="1"/>
  <c r="I104" i="1"/>
  <c r="L104" i="1"/>
  <c r="I105" i="1"/>
  <c r="L105" i="1"/>
  <c r="I106" i="1"/>
  <c r="L106" i="1"/>
  <c r="I107" i="1"/>
  <c r="L107" i="1"/>
  <c r="I108" i="1"/>
  <c r="L108" i="1"/>
  <c r="I109" i="1"/>
  <c r="L109" i="1"/>
  <c r="I110" i="1"/>
  <c r="L110" i="1"/>
  <c r="I111" i="1"/>
  <c r="L111" i="1"/>
  <c r="I112" i="1"/>
  <c r="L112" i="1"/>
  <c r="I113" i="1"/>
  <c r="L113" i="1"/>
  <c r="I114" i="1"/>
  <c r="L114" i="1"/>
  <c r="I115" i="1"/>
  <c r="L115" i="1"/>
  <c r="I116" i="1"/>
  <c r="L116" i="1"/>
  <c r="I117" i="1"/>
  <c r="L117" i="1"/>
  <c r="I118" i="1"/>
  <c r="L118" i="1"/>
  <c r="I119" i="1"/>
  <c r="L119" i="1"/>
  <c r="I120" i="1"/>
  <c r="L120" i="1"/>
  <c r="I121" i="1"/>
  <c r="L121" i="1"/>
  <c r="I122" i="1"/>
  <c r="L122" i="1"/>
  <c r="I123" i="1"/>
  <c r="L123" i="1"/>
  <c r="I124" i="1"/>
  <c r="L124" i="1"/>
  <c r="I125" i="1"/>
  <c r="L125" i="1"/>
  <c r="I126" i="1"/>
  <c r="L126" i="1"/>
  <c r="I127" i="1"/>
  <c r="L127" i="1"/>
  <c r="I128" i="1"/>
  <c r="L128" i="1"/>
  <c r="I129" i="1"/>
  <c r="L129" i="1"/>
  <c r="I130" i="1"/>
  <c r="L130" i="1"/>
  <c r="I131" i="1"/>
  <c r="L131" i="1"/>
  <c r="I132" i="1"/>
  <c r="L132" i="1"/>
  <c r="I133" i="1"/>
  <c r="L133" i="1"/>
  <c r="I134" i="1"/>
  <c r="L134" i="1"/>
  <c r="I135" i="1"/>
  <c r="L135" i="1"/>
  <c r="I136" i="1"/>
  <c r="L136" i="1"/>
  <c r="I137" i="1"/>
  <c r="L137" i="1"/>
  <c r="I138" i="1"/>
  <c r="L138" i="1"/>
  <c r="I139" i="1"/>
  <c r="L139" i="1"/>
  <c r="I140" i="1"/>
  <c r="L140" i="1"/>
  <c r="I141" i="1"/>
  <c r="L141" i="1"/>
  <c r="I142" i="1"/>
  <c r="L142" i="1"/>
  <c r="I143" i="1"/>
  <c r="L143" i="1"/>
  <c r="I144" i="1"/>
  <c r="L144" i="1"/>
  <c r="I145" i="1"/>
  <c r="L145" i="1"/>
  <c r="I146" i="1"/>
  <c r="L146" i="1"/>
  <c r="I147" i="1"/>
  <c r="L147" i="1"/>
  <c r="I148" i="1"/>
  <c r="L148" i="1"/>
  <c r="I149" i="1"/>
  <c r="L149" i="1"/>
  <c r="I150" i="1"/>
  <c r="L150" i="1"/>
  <c r="I151" i="1"/>
  <c r="L151" i="1"/>
  <c r="I152" i="1"/>
  <c r="L152" i="1"/>
  <c r="I153" i="1"/>
  <c r="L153" i="1"/>
  <c r="I154" i="1"/>
  <c r="L154" i="1"/>
  <c r="I155" i="1"/>
  <c r="L155" i="1"/>
  <c r="I156" i="1"/>
  <c r="L156" i="1"/>
  <c r="I157" i="1"/>
  <c r="L157" i="1"/>
  <c r="I158" i="1"/>
  <c r="L158" i="1"/>
  <c r="I159" i="1"/>
  <c r="L159" i="1"/>
  <c r="I160" i="1"/>
  <c r="L160" i="1"/>
  <c r="I161" i="1"/>
  <c r="L161" i="1"/>
  <c r="I162" i="1"/>
  <c r="L162" i="1"/>
  <c r="I163" i="1"/>
  <c r="L163" i="1"/>
  <c r="I164" i="1"/>
  <c r="L164" i="1"/>
  <c r="I165" i="1"/>
  <c r="L165" i="1"/>
  <c r="I166" i="1"/>
  <c r="L166" i="1"/>
  <c r="I167" i="1"/>
  <c r="L167" i="1"/>
  <c r="I168" i="1"/>
  <c r="L168" i="1"/>
  <c r="I169" i="1"/>
  <c r="L169" i="1"/>
  <c r="I170" i="1"/>
  <c r="L170" i="1"/>
  <c r="I171" i="1"/>
  <c r="L171" i="1"/>
  <c r="I172" i="1"/>
  <c r="L172" i="1"/>
  <c r="I173" i="1"/>
  <c r="L173" i="1"/>
  <c r="I174" i="1"/>
  <c r="L174" i="1"/>
  <c r="I175" i="1"/>
  <c r="L175" i="1"/>
  <c r="I176" i="1"/>
  <c r="L176" i="1"/>
  <c r="I177" i="1"/>
  <c r="L177" i="1"/>
  <c r="I178" i="1"/>
  <c r="L178" i="1"/>
  <c r="I179" i="1"/>
  <c r="L179" i="1"/>
  <c r="I180" i="1"/>
  <c r="L180" i="1"/>
  <c r="I181" i="1"/>
  <c r="L181" i="1"/>
  <c r="I182" i="1"/>
  <c r="L182" i="1"/>
  <c r="I183" i="1"/>
  <c r="L183" i="1"/>
  <c r="I184" i="1"/>
  <c r="L184" i="1"/>
  <c r="I185" i="1"/>
  <c r="L185" i="1"/>
  <c r="I186" i="1"/>
  <c r="L186" i="1"/>
  <c r="I187" i="1"/>
  <c r="L187" i="1"/>
  <c r="I188" i="1"/>
  <c r="L188" i="1"/>
  <c r="I189" i="1"/>
  <c r="L189" i="1"/>
  <c r="I190" i="1"/>
  <c r="L190" i="1"/>
  <c r="I191" i="1"/>
  <c r="L191" i="1"/>
  <c r="I192" i="1"/>
  <c r="L19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6" i="1"/>
  <c r="I97" i="1"/>
  <c r="I96" i="1"/>
  <c r="I98" i="1"/>
  <c r="I99" i="1"/>
  <c r="I86" i="1"/>
  <c r="I85" i="1"/>
  <c r="J85" i="1" s="1"/>
  <c r="I84" i="1"/>
  <c r="I83" i="1"/>
  <c r="I82" i="1"/>
  <c r="I81" i="1"/>
  <c r="I80" i="1"/>
  <c r="I79" i="1"/>
  <c r="I78" i="1"/>
  <c r="I77" i="1"/>
  <c r="I76" i="1"/>
  <c r="I46" i="1"/>
  <c r="I45" i="1"/>
  <c r="I44" i="1"/>
  <c r="I43" i="1"/>
  <c r="I42" i="1"/>
  <c r="I41" i="1"/>
  <c r="J41" i="1" s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J25" i="1" s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47" i="1"/>
  <c r="I48" i="1"/>
  <c r="I49" i="1"/>
  <c r="I50" i="1"/>
  <c r="I51" i="1"/>
  <c r="I52" i="1"/>
  <c r="I53" i="1"/>
  <c r="J53" i="1" s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J69" i="1" s="1"/>
  <c r="I70" i="1"/>
  <c r="I71" i="1"/>
  <c r="I72" i="1"/>
  <c r="I73" i="1"/>
  <c r="I74" i="1"/>
  <c r="I75" i="1"/>
  <c r="I87" i="1"/>
  <c r="I88" i="1"/>
  <c r="I89" i="1"/>
  <c r="I90" i="1"/>
  <c r="I91" i="1"/>
  <c r="I92" i="1"/>
  <c r="I93" i="1"/>
  <c r="I94" i="1"/>
  <c r="I95" i="1"/>
  <c r="I100" i="1"/>
  <c r="I6" i="1"/>
  <c r="J154" i="1" l="1"/>
  <c r="J146" i="1"/>
  <c r="J138" i="1"/>
  <c r="J130" i="1"/>
  <c r="J122" i="1"/>
  <c r="J114" i="1"/>
  <c r="J106" i="1"/>
  <c r="J98" i="1"/>
  <c r="N182" i="1"/>
  <c r="N166" i="1"/>
  <c r="N150" i="1"/>
  <c r="N134" i="1"/>
  <c r="N118" i="1"/>
  <c r="N102" i="1"/>
  <c r="N86" i="1"/>
  <c r="N70" i="1"/>
  <c r="N54" i="1"/>
  <c r="N38" i="1"/>
  <c r="N22" i="1"/>
  <c r="N16" i="1"/>
  <c r="J16" i="1"/>
  <c r="N12" i="1"/>
  <c r="J12" i="1"/>
  <c r="N8" i="1"/>
  <c r="J8" i="1"/>
  <c r="J191" i="1"/>
  <c r="J187" i="1"/>
  <c r="J183" i="1"/>
  <c r="J179" i="1"/>
  <c r="J175" i="1"/>
  <c r="J171" i="1"/>
  <c r="J167" i="1"/>
  <c r="J163" i="1"/>
  <c r="J159" i="1"/>
  <c r="J153" i="1"/>
  <c r="J145" i="1"/>
  <c r="J137" i="1"/>
  <c r="J129" i="1"/>
  <c r="J121" i="1"/>
  <c r="J113" i="1"/>
  <c r="J105" i="1"/>
  <c r="J97" i="1"/>
  <c r="J81" i="1"/>
  <c r="J65" i="1"/>
  <c r="J49" i="1"/>
  <c r="J33" i="1"/>
  <c r="J17" i="1"/>
  <c r="J6" i="1"/>
  <c r="N178" i="1"/>
  <c r="N162" i="1"/>
  <c r="N82" i="1"/>
  <c r="N66" i="1"/>
  <c r="N50" i="1"/>
  <c r="N34" i="1"/>
  <c r="N156" i="1"/>
  <c r="J156" i="1"/>
  <c r="N152" i="1"/>
  <c r="J152" i="1"/>
  <c r="N148" i="1"/>
  <c r="J148" i="1"/>
  <c r="N144" i="1"/>
  <c r="J144" i="1"/>
  <c r="N140" i="1"/>
  <c r="J140" i="1"/>
  <c r="N136" i="1"/>
  <c r="J136" i="1"/>
  <c r="N132" i="1"/>
  <c r="J132" i="1"/>
  <c r="N128" i="1"/>
  <c r="J128" i="1"/>
  <c r="N124" i="1"/>
  <c r="J124" i="1"/>
  <c r="N120" i="1"/>
  <c r="J120" i="1"/>
  <c r="N116" i="1"/>
  <c r="J116" i="1"/>
  <c r="N112" i="1"/>
  <c r="J112" i="1"/>
  <c r="N108" i="1"/>
  <c r="J108" i="1"/>
  <c r="N104" i="1"/>
  <c r="J104" i="1"/>
  <c r="N100" i="1"/>
  <c r="J100" i="1"/>
  <c r="N96" i="1"/>
  <c r="J96" i="1"/>
  <c r="N92" i="1"/>
  <c r="J92" i="1"/>
  <c r="N88" i="1"/>
  <c r="J88" i="1"/>
  <c r="N84" i="1"/>
  <c r="J84" i="1"/>
  <c r="N80" i="1"/>
  <c r="J80" i="1"/>
  <c r="N76" i="1"/>
  <c r="J76" i="1"/>
  <c r="N72" i="1"/>
  <c r="J72" i="1"/>
  <c r="N68" i="1"/>
  <c r="J68" i="1"/>
  <c r="N64" i="1"/>
  <c r="J64" i="1"/>
  <c r="N60" i="1"/>
  <c r="J60" i="1"/>
  <c r="N56" i="1"/>
  <c r="J56" i="1"/>
  <c r="N52" i="1"/>
  <c r="J52" i="1"/>
  <c r="N48" i="1"/>
  <c r="J48" i="1"/>
  <c r="N44" i="1"/>
  <c r="J44" i="1"/>
  <c r="N40" i="1"/>
  <c r="J40" i="1"/>
  <c r="N36" i="1"/>
  <c r="J36" i="1"/>
  <c r="N32" i="1"/>
  <c r="J32" i="1"/>
  <c r="N28" i="1"/>
  <c r="J28" i="1"/>
  <c r="N24" i="1"/>
  <c r="J24" i="1"/>
  <c r="N19" i="1"/>
  <c r="J19" i="1"/>
  <c r="N15" i="1"/>
  <c r="J15" i="1"/>
  <c r="N11" i="1"/>
  <c r="J11" i="1"/>
  <c r="N7" i="1"/>
  <c r="J7" i="1"/>
  <c r="J190" i="1"/>
  <c r="J186" i="1"/>
  <c r="J174" i="1"/>
  <c r="J170" i="1"/>
  <c r="J158" i="1"/>
  <c r="J142" i="1"/>
  <c r="J126" i="1"/>
  <c r="J110" i="1"/>
  <c r="J93" i="1"/>
  <c r="J77" i="1"/>
  <c r="J61" i="1"/>
  <c r="J45" i="1"/>
  <c r="J29" i="1"/>
  <c r="J13" i="1"/>
  <c r="N94" i="1"/>
  <c r="N78" i="1"/>
  <c r="N62" i="1"/>
  <c r="N46" i="1"/>
  <c r="N30" i="1"/>
  <c r="N155" i="1"/>
  <c r="J155" i="1"/>
  <c r="N151" i="1"/>
  <c r="J151" i="1"/>
  <c r="N147" i="1"/>
  <c r="J147" i="1"/>
  <c r="N143" i="1"/>
  <c r="J143" i="1"/>
  <c r="N139" i="1"/>
  <c r="J139" i="1"/>
  <c r="N135" i="1"/>
  <c r="J135" i="1"/>
  <c r="N131" i="1"/>
  <c r="J131" i="1"/>
  <c r="N127" i="1"/>
  <c r="J127" i="1"/>
  <c r="N123" i="1"/>
  <c r="J123" i="1"/>
  <c r="N119" i="1"/>
  <c r="J119" i="1"/>
  <c r="N115" i="1"/>
  <c r="J115" i="1"/>
  <c r="N111" i="1"/>
  <c r="J111" i="1"/>
  <c r="N107" i="1"/>
  <c r="J107" i="1"/>
  <c r="N103" i="1"/>
  <c r="J103" i="1"/>
  <c r="N99" i="1"/>
  <c r="J99" i="1"/>
  <c r="N95" i="1"/>
  <c r="J95" i="1"/>
  <c r="N91" i="1"/>
  <c r="J91" i="1"/>
  <c r="N87" i="1"/>
  <c r="J87" i="1"/>
  <c r="N83" i="1"/>
  <c r="J83" i="1"/>
  <c r="N79" i="1"/>
  <c r="J79" i="1"/>
  <c r="N75" i="1"/>
  <c r="J75" i="1"/>
  <c r="N71" i="1"/>
  <c r="J71" i="1"/>
  <c r="N67" i="1"/>
  <c r="J67" i="1"/>
  <c r="N63" i="1"/>
  <c r="J63" i="1"/>
  <c r="N59" i="1"/>
  <c r="J59" i="1"/>
  <c r="N55" i="1"/>
  <c r="J55" i="1"/>
  <c r="N51" i="1"/>
  <c r="J51" i="1"/>
  <c r="N47" i="1"/>
  <c r="J47" i="1"/>
  <c r="N43" i="1"/>
  <c r="J43" i="1"/>
  <c r="N39" i="1"/>
  <c r="J39" i="1"/>
  <c r="N35" i="1"/>
  <c r="J35" i="1"/>
  <c r="N31" i="1"/>
  <c r="J31" i="1"/>
  <c r="N27" i="1"/>
  <c r="J27" i="1"/>
  <c r="N23" i="1"/>
  <c r="J23" i="1"/>
  <c r="J18" i="1"/>
  <c r="J14" i="1"/>
  <c r="J10" i="1"/>
  <c r="N20" i="1"/>
  <c r="J20" i="1"/>
  <c r="J189" i="1"/>
  <c r="J185" i="1"/>
  <c r="J181" i="1"/>
  <c r="J177" i="1"/>
  <c r="J173" i="1"/>
  <c r="J169" i="1"/>
  <c r="J165" i="1"/>
  <c r="J161" i="1"/>
  <c r="J157" i="1"/>
  <c r="J149" i="1"/>
  <c r="J141" i="1"/>
  <c r="J133" i="1"/>
  <c r="J125" i="1"/>
  <c r="J117" i="1"/>
  <c r="J109" i="1"/>
  <c r="J101" i="1"/>
  <c r="J89" i="1"/>
  <c r="J73" i="1"/>
  <c r="J57" i="1"/>
  <c r="J9" i="1"/>
  <c r="N90" i="1"/>
  <c r="N74" i="1"/>
  <c r="N58" i="1"/>
  <c r="N42" i="1"/>
  <c r="N26" i="1"/>
  <c r="N10" i="1"/>
  <c r="L2" i="1"/>
  <c r="M2" i="1" l="1"/>
  <c r="I2" i="1"/>
  <c r="J2" i="1" l="1"/>
  <c r="N2" i="1"/>
</calcChain>
</file>

<file path=xl/sharedStrings.xml><?xml version="1.0" encoding="utf-8"?>
<sst xmlns="http://schemas.openxmlformats.org/spreadsheetml/2006/main" count="423" uniqueCount="292">
  <si>
    <t>MSRP</t>
    <phoneticPr fontId="2" type="noConversion"/>
  </si>
  <si>
    <t>용량</t>
    <phoneticPr fontId="2" type="noConversion"/>
  </si>
  <si>
    <t>브이티(VT)</t>
    <phoneticPr fontId="2" type="noConversion"/>
  </si>
  <si>
    <t>8803463005733</t>
  </si>
  <si>
    <t>8803463005740</t>
  </si>
  <si>
    <t>8803463005719</t>
  </si>
  <si>
    <t>8803463005726</t>
  </si>
  <si>
    <t>8803463006402</t>
  </si>
  <si>
    <t>8803463006396</t>
  </si>
  <si>
    <t>8803463010867</t>
  </si>
  <si>
    <t>8803463007249</t>
  </si>
  <si>
    <t>8803463007256</t>
  </si>
  <si>
    <t>8803463007317</t>
  </si>
  <si>
    <t>8803463007324</t>
  </si>
  <si>
    <t>8803463007607</t>
  </si>
  <si>
    <t>8803463007614</t>
  </si>
  <si>
    <t>8803463007621</t>
  </si>
  <si>
    <t>8803463007362</t>
  </si>
  <si>
    <t xml:space="preserve">8803463007416	</t>
  </si>
  <si>
    <t xml:space="preserve">8803463007409	</t>
  </si>
  <si>
    <t xml:space="preserve">8803463007386	</t>
  </si>
  <si>
    <t xml:space="preserve">8803463007379	</t>
  </si>
  <si>
    <t>8803463007515</t>
  </si>
  <si>
    <t>8803463006518</t>
  </si>
  <si>
    <t>8803463006501</t>
  </si>
  <si>
    <t>8803463004514</t>
  </si>
  <si>
    <t>8803463012403</t>
  </si>
  <si>
    <t>8803463007201</t>
  </si>
  <si>
    <t>8803463007195</t>
  </si>
  <si>
    <t>8803463007393</t>
  </si>
  <si>
    <t>8803463012618</t>
  </si>
  <si>
    <t>VT CICA CREAM</t>
  </si>
  <si>
    <t>VT CICA DAILY SOOTHING MASK</t>
  </si>
  <si>
    <t>VT CICA MILD TONER PAD (60ea, 130ml)</t>
  </si>
  <si>
    <t>VT CICA MILD TONER PAD REFILL  (60ea, 130ml)</t>
  </si>
  <si>
    <t>VT CICA MILD FOAM CLEANSER</t>
  </si>
  <si>
    <t xml:space="preserve">VT CICA MILD CLEANSING TISSUE (50ea) </t>
  </si>
  <si>
    <t xml:space="preserve">VT CICA-EXOSOME MOISTURE MASK </t>
  </si>
  <si>
    <t>VT CICA RETI-A CREAM 0.05</t>
  </si>
  <si>
    <t>VT CICA RETI-A ESSENCE 0.1</t>
  </si>
  <si>
    <t>VT CICA RETI-A MASK(30ea)</t>
  </si>
  <si>
    <t>VT CICA COLLAGEN ESSENCE</t>
  </si>
  <si>
    <t>VT CICA COLLAGEN CREAM</t>
  </si>
  <si>
    <t>VT CICA COLLAGEN MASK(30ea)</t>
  </si>
  <si>
    <t>VT CICA COLLAGEN EYE CREAM</t>
  </si>
  <si>
    <t>VT MILD REEDLE SHOT 50</t>
  </si>
  <si>
    <t>VT REEDLE SHOT 100</t>
  </si>
  <si>
    <t>VT REEDLE SHOT 300</t>
  </si>
  <si>
    <t>VT REEDLE SHOT 700</t>
  </si>
  <si>
    <t>VT REEDLE SHOT 1000</t>
  </si>
  <si>
    <t>VT MILD REEDLE SHOT 50 2STEP MASK</t>
  </si>
  <si>
    <t>VT REEDLE SHOT 100 2STEP MASK</t>
  </si>
  <si>
    <t>VT REEDLE SHOT 300 2STEP MASK</t>
  </si>
  <si>
    <t>VT REEDLE SHOT 700 2STEP MASK</t>
  </si>
  <si>
    <t>VT REEDLE SHOT 1000 2STEP MASK</t>
  </si>
  <si>
    <t>VT REEDLE SHOT 100 2-STEP MASK(5EA)</t>
  </si>
  <si>
    <t>VT REEDLE SHOT 300 2-STEP MASK(5EA)</t>
  </si>
  <si>
    <t>VT COLLAGEN REEDLE SHOT 100</t>
  </si>
  <si>
    <t>VT COLLAGEN REEDLE SHOT 300</t>
  </si>
  <si>
    <t>VT COLLAGEN REEDLE SHOT 700</t>
  </si>
  <si>
    <t>VT PRO CICA REEDLE SHOT 100</t>
  </si>
  <si>
    <t>VT PRO CICA REEDLE SHOT 300</t>
  </si>
  <si>
    <t>VT PRO CICA REEDLE SHOT 700</t>
  </si>
  <si>
    <t>VT VITA-LIGHT REEDLE SHOT 100</t>
  </si>
  <si>
    <t>VT VITA-LIGHT REEDLE SHOT 300</t>
  </si>
  <si>
    <t>VT VITA-LIGHT REEDLE SHOT 700</t>
  </si>
  <si>
    <t>VT RETI-A REEDLE SHOT 100</t>
  </si>
  <si>
    <t>VT RETI-A REEDLE SHOT 300</t>
  </si>
  <si>
    <t>VT RETI-A REEDLE SHOT 700</t>
  </si>
  <si>
    <t xml:space="preserve">VT HYDROP 
REEDLE SHOT 100hL </t>
  </si>
  <si>
    <t xml:space="preserve">VT HYDROP 
REEDLE SHOT 300hL </t>
  </si>
  <si>
    <t xml:space="preserve">VT HYDROP 
REEDLE SHOT 700hL </t>
  </si>
  <si>
    <t>VT RED BOOSTER REEDLE SHOT 100</t>
  </si>
  <si>
    <t>VT RED BOOSTER REEDLE SHOT 300</t>
  </si>
  <si>
    <t>VT RED BOOSTER REEDLE SHOT 700</t>
  </si>
  <si>
    <t>VT SNAIL REEDLE SHOT 100B</t>
  </si>
  <si>
    <t>VT BLACK TRUFFLE REEDLE SHOT® 100</t>
  </si>
  <si>
    <t xml:space="preserve">VT 100 REEDLE SHOT (10EA) </t>
  </si>
  <si>
    <t xml:space="preserve">VT 300 REEDLE SHOT (10EA) </t>
  </si>
  <si>
    <t>VT 100 RETI-A REEDLE SHOT</t>
  </si>
  <si>
    <t>VT 100 VITA-LIGHT REEDLE SHOT</t>
  </si>
  <si>
    <t>VT 100 COLLAGEN REEDLE SHOT</t>
  </si>
  <si>
    <t>VT 100 PRO CICA REEDLE SHOT</t>
  </si>
  <si>
    <t>VT HYDROP REEDLE SHOT (10EA)</t>
  </si>
  <si>
    <t>VT HYDROP REEDLE SHOT 100hL 2 STEP MASK</t>
  </si>
  <si>
    <t>VT HYDROP REEDLE SHOT 300hL 2 STEP MASK</t>
  </si>
  <si>
    <t>VT HYDROP REEDLE SHOT 700hL 2 STEP MASK</t>
  </si>
  <si>
    <t>VT HYDROP REEDLE SHOT 100hL 2 STEP MASK (5EA)</t>
  </si>
  <si>
    <t>VT HYDROP REEDLE SHOT 300hL 2 STEP MASK (5EA)</t>
  </si>
  <si>
    <t>VT COLLAGEN REEDLE SHOT 100 2STEP MASK</t>
  </si>
  <si>
    <t>VT COLLAGEN REEDLE SHOT 300 2STEP MASK</t>
  </si>
  <si>
    <t>VT COLLAGEN REEDLE SHOT 700 2STEP MASK</t>
  </si>
  <si>
    <t>VT REEDLE SHOT VITA-LIGHT CREAM</t>
  </si>
  <si>
    <t>VT REEDLE SHOT VITA-LIGHT EYE CREAM</t>
  </si>
  <si>
    <t>VT REEDLE SHOT VITA-LIGHT BRIGHTENING MASK</t>
  </si>
  <si>
    <t>VT REEDLE SHOT LIFTING SERUM</t>
  </si>
  <si>
    <t>VT REEDLE SHOT LIFTING CREAM</t>
  </si>
  <si>
    <t>VT REEDLE SHOT LIFTING EVE CREAM</t>
  </si>
  <si>
    <t>VT REEDLE SHOT LIFTING MASK</t>
  </si>
  <si>
    <t>VT PRO CICA REEDLE SHOT 2STEP HYDROGEL MASK</t>
  </si>
  <si>
    <t>VT COLLAGEN REEDLE SHOT 2STEP HYDROGEL MASK</t>
  </si>
  <si>
    <t>VT VITA LIGHT REEDLE SHOT 2STEP HYDROGEL MASK</t>
  </si>
  <si>
    <t>VT RETI-A REEDLE SHOT 2TEP HYDROGEL MASK</t>
  </si>
  <si>
    <t>VT HYDROP REEDLE SHOT 2STEP HYDROGEL MASK</t>
  </si>
  <si>
    <t>VT PDRN HYDROGEL MASK</t>
  </si>
  <si>
    <t>VT PRO CICA REEDLE SHOT 2STEP HYDROGEL MASK (4EA)</t>
  </si>
  <si>
    <t>VT COLLAGEN REEDLE SHOT 2STEP HYDROGEL MASK (4EA)</t>
  </si>
  <si>
    <t>VT VITA LIGHT REEDLE SHOT 2STEP HYDROGEL MASK (4EA)</t>
  </si>
  <si>
    <t>VT RETI-A REEDLE SHOT 2TEP HYDROGEL MASK (4EA)</t>
  </si>
  <si>
    <t>VT HYDROP REEDLE SHOT 2STEP HYDROGEL MASK (4EA)</t>
  </si>
  <si>
    <t>VT PDRN HYDROGEL MASK (4EA)</t>
  </si>
  <si>
    <t>VT REEDLE SHOT EX COLLAGEN MODELING PACK</t>
  </si>
  <si>
    <t>VT REEDLE SHOT EX CICA MODELING PACK</t>
  </si>
  <si>
    <t>VT REEDLE SHOT EX VITAMIN MODELING PACK</t>
  </si>
  <si>
    <t>VT REEDLE SHOT EX HYALURONIC MODELING PACK</t>
  </si>
  <si>
    <t>VT REEDLE SHOT LIP PLUMPER BEGINNER</t>
  </si>
  <si>
    <t>VT REEDLE SHOT LIP PLUMPER EXPERT</t>
  </si>
  <si>
    <t>VT REEDLE SHOT SYNERGY SPARKLING TONER PAD</t>
  </si>
  <si>
    <t>VT PDRN ESSENCE 100</t>
  </si>
  <si>
    <t>VT PDRN REEDLE SHOT 100</t>
  </si>
  <si>
    <t>VT PDRN REEDLE SHOT 300</t>
  </si>
  <si>
    <t>VT PDRN REEDLE SHOT CREAM</t>
  </si>
  <si>
    <t>VT PDRN MASK KIT</t>
  </si>
  <si>
    <t>VT PDRN GLOW AMPOULE</t>
  </si>
  <si>
    <t>VT PDRN DAILY MASK</t>
  </si>
  <si>
    <t xml:space="preserve"> VT PDRN TONER</t>
  </si>
  <si>
    <t>VT PDRN CREAM 100</t>
  </si>
  <si>
    <t>VT PDRN ESSENCE GLOW SUN PACT</t>
  </si>
  <si>
    <t>VT PDRN ESSENCE MOIST TONE UP SUN ESSENCE</t>
  </si>
  <si>
    <t>VT PDRN ESSENCE STICK BALM</t>
  </si>
  <si>
    <t>VT PDRN CAPSULE CREAM 100</t>
  </si>
  <si>
    <t>VT PDRN GLOW LOCK MASK</t>
  </si>
  <si>
    <t>(Global)VT PDRN REEDLE SHOT HAIR AMPOULE 100dL</t>
  </si>
  <si>
    <t>VT GLUCAMUNE TONER</t>
  </si>
  <si>
    <t>VT GLUCAMUNE ESSENCE</t>
  </si>
  <si>
    <t>VT GLUCAMUNE CREAM</t>
  </si>
  <si>
    <t>VT GLUCAMUNE MASK (1EA)</t>
  </si>
  <si>
    <t>VT AIRY SUN CREAM</t>
  </si>
  <si>
    <t xml:space="preserve">VT TX-TONING TONER </t>
  </si>
  <si>
    <t>VT TX-TONING ESSENCE 1000 SHOT</t>
  </si>
  <si>
    <t>VT TX-TONING ESSENCE 2000 SHOT</t>
  </si>
  <si>
    <t>VT TX-TONING CREAM</t>
  </si>
  <si>
    <t>VT TX-TONING SPECIAL MASK(1EA)</t>
  </si>
  <si>
    <t xml:space="preserve">VT TX-TONING DAILY MASK(30EA) </t>
  </si>
  <si>
    <t>VT MILD SKIN PACK</t>
  </si>
  <si>
    <t>VT SMOOTH SKIN PACK</t>
  </si>
  <si>
    <t>VT LUMINOUS SKIN PACK</t>
  </si>
  <si>
    <t>VT GARLIC AC REEDLE SHOT SPOT PATCH</t>
  </si>
  <si>
    <t>VT GARLIC AC REEDLE SHOT POINT PATCH</t>
  </si>
  <si>
    <t>VT GARLIC AC REEDLE SHOT SPOT CREAM</t>
  </si>
  <si>
    <t>VT GARLIC AC REEDLE SHOT GEL CREAM</t>
  </si>
  <si>
    <t>VT AZ CARE CLEANSING OIL</t>
  </si>
  <si>
    <t>VT AZ CARE TONER PAD</t>
  </si>
  <si>
    <t>VT AZ CARE LOCK MASK</t>
  </si>
  <si>
    <t>VT A1 CALMING AMPOULE</t>
  </si>
  <si>
    <t>VT S4 MOISTURE AMPOULE</t>
  </si>
  <si>
    <t>VT R5 FIRMING AMPOULE</t>
  </si>
  <si>
    <t>VT G2 BRIGHTNING AMPOULE</t>
  </si>
  <si>
    <t>VT H3 HYDRO AMPOULE</t>
  </si>
  <si>
    <t>VT CRYO ICE MASK</t>
  </si>
  <si>
    <t>VT REEDLE SHOT NOURISHING HAND MASK</t>
  </si>
  <si>
    <t>VT REEDLE SHOT FOOT PEELING MASK</t>
  </si>
  <si>
    <t>VT CICA MASK CLEANSER</t>
  </si>
  <si>
    <t>VT PDRN REEDLE SHOT SCALP SHAMPOO</t>
  </si>
  <si>
    <t>VT PDRN REEDLE SHOT® EYE LIFTER</t>
  </si>
  <si>
    <t xml:space="preserve">PDRN GRINDING CLEANSING BALM
</t>
  </si>
  <si>
    <t>VT CICA CREAM 100ml</t>
  </si>
  <si>
    <t>VT REEDLE SHOT 50 30ml</t>
  </si>
  <si>
    <t>VT REEDLE SHOT 100 30ml</t>
  </si>
  <si>
    <t>VT REEDLE SHOT 300 30ml</t>
  </si>
  <si>
    <t>VT PDRN REEDLE SHOT 100 2STEP HYDROGEL MASK (5EA)</t>
  </si>
  <si>
    <t>VT PDRN ESSENCE MOIST TONE UP SUN ESSENCE (RX)</t>
  </si>
  <si>
    <t>VT RETINOL COLLAGEN PINK MICRO BUBBLE SERUM</t>
  </si>
  <si>
    <t>VT NIACINAMIDE GLUTATHIONE YELLOW MICRO BUBBLE SERUM</t>
  </si>
  <si>
    <t>VT PDRN HYALURONIC ACID MINT MICRO BUBBLE SERUM</t>
  </si>
  <si>
    <t>VT AZ AHA RED MICRO BUBBLE SERUM</t>
  </si>
  <si>
    <t>VT REEDLE SHOT UNIVERSE KIT</t>
  </si>
  <si>
    <t>VT PDRN REEDLE SHOT HAIR AMPOULE 100dL</t>
  </si>
  <si>
    <t>VT PDRN REEDLE SHOT HAIR AMPOULE 300dL</t>
  </si>
  <si>
    <t>VT PDRN REEDLE SHOT HAIR AMPOULE 700dL</t>
  </si>
  <si>
    <t>VT REEDLE S LIP PLUMPER CRYSTAL</t>
  </si>
  <si>
    <t>VT REEDLE S LIP PLUMPER TWINKLE</t>
  </si>
  <si>
    <t>VT REEDLE S LIP PLUMPER USAGI PINK</t>
  </si>
  <si>
    <t>VT REEDLE S LIP PLUMPER ROSE BERRY</t>
  </si>
  <si>
    <t>VT PDRN TENSION TONER PAD</t>
  </si>
  <si>
    <t>VT GLYCOLIC REEDLE SHOT HEAD TO TOE MIST</t>
  </si>
  <si>
    <t>VT GLUTATHIONE GLOW CLEANSING OIL</t>
  </si>
  <si>
    <t>VT CERAMIDE AQUA CLEANSING OIL</t>
  </si>
  <si>
    <t>VT REEDLE SHOT SYNERGY REPAIR CREAM EX PLUS</t>
  </si>
  <si>
    <t>VT PDRN REEDLE SHOT SHAMPOO, TREATMENT DUO SET</t>
  </si>
  <si>
    <t>VT PDRN REEDLE SHOT® GOLD ESSENCE</t>
  </si>
  <si>
    <t>VT PDRN REEDLE SHOT® GOLD CREAM</t>
  </si>
  <si>
    <t>VT COLLAGEN REEDLE SHOT 100(30ml)</t>
  </si>
  <si>
    <t>VT VITA-LIGHT REEDLE SHOT 100(30ml)</t>
  </si>
  <si>
    <t>VT RED BOOSTER REEDLE SHOT 100(30ml)</t>
  </si>
  <si>
    <t>VT AZELAIC ACID TONER</t>
  </si>
  <si>
    <t>VT REEDLE SHOT FOR MEN ALL IN ONE</t>
  </si>
  <si>
    <t>VT BAKUCHIOL REEDLE SHOT® CREAM</t>
  </si>
  <si>
    <t>VT VITA-LIGHT REEDLE SHOT® 100 2STEP HYDROGEL MASK</t>
  </si>
  <si>
    <t>VT RETI-A REEDLE SHOT® 100 2STEP HYDROGEL MASK</t>
  </si>
  <si>
    <t>VT HYDROP REEDLE SHOT® 100hL 2STEP HYDROGEL MASK</t>
  </si>
  <si>
    <t>VT PDRN REEDLE SHOT BRUSH HAIR SERUM</t>
  </si>
  <si>
    <t xml:space="preserve">VT CAFFENE EYE PATCH </t>
  </si>
  <si>
    <t>VT VITAMIN C ASTAXANTHIN SERUM</t>
  </si>
  <si>
    <t>VT MATCHA CICA LAYER SERUM</t>
  </si>
  <si>
    <t>VT GLUTATHIONE TONE ON SERUM</t>
  </si>
  <si>
    <t>VT RICE CERAMIDE SERUM</t>
  </si>
  <si>
    <t>VT BARRIER CREAM BUBBLE CLEANSER</t>
  </si>
  <si>
    <t>VT RETINAL PEPTIDE CAPSULE CREAM</t>
  </si>
  <si>
    <t>VT PDRN BARRIER CLEANSER</t>
  </si>
  <si>
    <t>VT PDRN HYDROGEL EYE PATCH</t>
  </si>
  <si>
    <t>VT RICE CAPSULE CREAM</t>
  </si>
  <si>
    <t>VT AZELAIC ACID CARE CAPSULE CREAM</t>
  </si>
  <si>
    <t>VT VITAMIN C ASTAXANTHIN CAPSULE CREAM</t>
  </si>
  <si>
    <t>VT VITAMIN C ASTAXANTHIN MASK</t>
  </si>
  <si>
    <t>50ml</t>
  </si>
  <si>
    <t>350g / 30ea</t>
  </si>
  <si>
    <t>130ml / 60ea</t>
  </si>
  <si>
    <t>300ml</t>
  </si>
  <si>
    <t>240g / 50ea</t>
  </si>
  <si>
    <t>350g / 20ea</t>
  </si>
  <si>
    <t>30ml</t>
  </si>
  <si>
    <t>320g / 30ea</t>
  </si>
  <si>
    <t>15ml</t>
  </si>
  <si>
    <t>1.5g + 20g</t>
  </si>
  <si>
    <t>1.5g + 25g</t>
  </si>
  <si>
    <t>1.5g + 28g</t>
  </si>
  <si>
    <t>1.5g + 25g / 5ea</t>
  </si>
  <si>
    <t>2ml*10ea</t>
  </si>
  <si>
    <t>1.5g + 27g</t>
  </si>
  <si>
    <t>(1.5g + 27g)
*5EA</t>
  </si>
  <si>
    <t>50mL</t>
  </si>
  <si>
    <t>15mL</t>
  </si>
  <si>
    <t>320g/30매</t>
  </si>
  <si>
    <t>30mL</t>
  </si>
  <si>
    <t>23g * 1ea</t>
  </si>
  <si>
    <t xml:space="preserve">1.5g + 33g	</t>
  </si>
  <si>
    <t>33g</t>
  </si>
  <si>
    <t>(1.5g + 33g	)
*4ea</t>
  </si>
  <si>
    <t>33g*4ea</t>
  </si>
  <si>
    <t>25g</t>
  </si>
  <si>
    <t>4.3g</t>
  </si>
  <si>
    <t>80ea x 200ml</t>
  </si>
  <si>
    <t>(35ml*2ea)+2ea</t>
  </si>
  <si>
    <t>100mL</t>
  </si>
  <si>
    <t>30ea</t>
  </si>
  <si>
    <t>250mL</t>
  </si>
  <si>
    <t>10g</t>
  </si>
  <si>
    <t>50g</t>
  </si>
  <si>
    <t>9.5g</t>
  </si>
  <si>
    <t>100ml</t>
  </si>
  <si>
    <t>200ml</t>
  </si>
  <si>
    <t>23g</t>
  </si>
  <si>
    <t>25g*1ea</t>
  </si>
  <si>
    <t>320g*30ea</t>
  </si>
  <si>
    <t>210 g (100 ea)</t>
  </si>
  <si>
    <t>15ea(12mm)*2매+18ea(10mm)1매</t>
  </si>
  <si>
    <t>6ea(17mm)+ 3ea(14mm)*1매</t>
  </si>
  <si>
    <t>180mL/60ea</t>
  </si>
  <si>
    <t>320g/30ea</t>
  </si>
  <si>
    <t>16ml</t>
  </si>
  <si>
    <t>40ml</t>
  </si>
  <si>
    <t>120ml</t>
  </si>
  <si>
    <t>30 ml</t>
  </si>
  <si>
    <t>(1.5g + 35g)*5EA</t>
  </si>
  <si>
    <t>60ml</t>
  </si>
  <si>
    <t>70mL</t>
  </si>
  <si>
    <t>2ml * 5ea * 9종</t>
  </si>
  <si>
    <t>15ML</t>
  </si>
  <si>
    <t>170mL/60ea</t>
  </si>
  <si>
    <t>120mL</t>
  </si>
  <si>
    <t>200mL</t>
  </si>
  <si>
    <t>50ML</t>
  </si>
  <si>
    <t>200ml*2ea</t>
  </si>
  <si>
    <t>150mL</t>
  </si>
  <si>
    <t>110ml/60ea</t>
  </si>
  <si>
    <t>140mL</t>
  </si>
  <si>
    <t xml:space="preserve">60 patches (30 pairs) </t>
  </si>
  <si>
    <t>320g_30ea</t>
  </si>
  <si>
    <t>MOA: 2000(만원)  / Lead Time: 2~3 Weeks</t>
    <phoneticPr fontId="2" type="noConversion"/>
  </si>
  <si>
    <t>Amount</t>
    <phoneticPr fontId="2" type="noConversion"/>
  </si>
  <si>
    <t>Box</t>
    <phoneticPr fontId="2" type="noConversion"/>
  </si>
  <si>
    <t>Total Amount</t>
    <phoneticPr fontId="2" type="noConversion"/>
  </si>
  <si>
    <t>Final box</t>
    <phoneticPr fontId="2" type="noConversion"/>
  </si>
  <si>
    <t>Final Amount</t>
    <phoneticPr fontId="2" type="noConversion"/>
  </si>
  <si>
    <t>Quantity</t>
    <phoneticPr fontId="2" type="noConversion"/>
  </si>
  <si>
    <t>Quantity in box</t>
    <phoneticPr fontId="2" type="noConversion"/>
  </si>
  <si>
    <t>Product name</t>
    <phoneticPr fontId="2" type="noConversion"/>
  </si>
  <si>
    <t>Barcode</t>
    <phoneticPr fontId="2" type="noConversion"/>
  </si>
  <si>
    <t>Total Box</t>
    <phoneticPr fontId="2" type="noConversion"/>
  </si>
  <si>
    <t>Total Quantity</t>
    <phoneticPr fontId="2" type="noConversion"/>
  </si>
  <si>
    <t>Supply 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</si>
</sst>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0_ "/>
    <numFmt numFmtId="177" formatCode="[$₩-412]#,##0;\-[$₩-412]#,##0"/>
    <numFmt numFmtId="178" formatCode="#,##0_ "/>
    <numFmt numFmtId="179" formatCode="[$₩-412]#,##0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1" fontId="3" fillId="0" borderId="1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178" fontId="3" fillId="5" borderId="0" xfId="0" applyNumberFormat="1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0" fontId="3" fillId="0" borderId="1" xfId="1" applyNumberFormat="1" applyFont="1" applyBorder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N192"/>
  <sheetViews>
    <sheetView tabSelected="1" zoomScale="85" zoomScaleNormal="85" workbookViewId="0">
      <pane ySplit="5" topLeftCell="A6" activePane="bottomLeft" state="frozen"/>
      <selection pane="bottomLeft" activeCell="N6" sqref="N6"/>
    </sheetView>
  </sheetViews>
  <sheetFormatPr defaultRowHeight="16.5"/>
  <cols>
    <col min="1" max="1" width="18.625" style="20" customWidth="1"/>
    <col min="2" max="2" width="57.375" style="21" customWidth="1"/>
    <col min="3" max="3" width="9.625" style="22" bestFit="1" customWidth="1"/>
    <col min="4" max="4" width="15.125" style="23" bestFit="1" customWidth="1"/>
    <col min="5" max="5" width="10" style="24" bestFit="1" customWidth="1"/>
    <col min="6" max="6" width="10.375" style="25" customWidth="1"/>
    <col min="7" max="7" width="10.375" style="41" customWidth="1"/>
    <col min="8" max="8" width="13.25" style="26" bestFit="1" customWidth="1"/>
    <col min="9" max="9" width="12.125" style="27" bestFit="1" customWidth="1"/>
    <col min="10" max="10" width="15.25" style="46" bestFit="1" customWidth="1"/>
    <col min="11" max="11" width="4.625" style="25" customWidth="1"/>
    <col min="12" max="12" width="13.25" style="26" bestFit="1" customWidth="1"/>
    <col min="13" max="13" width="13.25" style="25" bestFit="1" customWidth="1"/>
    <col min="14" max="14" width="12.625" style="41" bestFit="1" customWidth="1"/>
    <col min="15" max="16384" width="9" style="25"/>
  </cols>
  <sheetData>
    <row r="1" spans="1:14" customFormat="1" ht="31.5">
      <c r="A1" s="11" t="s">
        <v>2</v>
      </c>
      <c r="B1" s="2"/>
      <c r="C1" s="8"/>
      <c r="D1" s="1"/>
      <c r="E1" s="1"/>
      <c r="F1" s="1"/>
      <c r="G1" s="38"/>
      <c r="H1" s="14" t="s">
        <v>289</v>
      </c>
      <c r="I1" s="14" t="s">
        <v>290</v>
      </c>
      <c r="J1" s="42" t="s">
        <v>282</v>
      </c>
      <c r="L1" s="9" t="s">
        <v>283</v>
      </c>
      <c r="M1" s="9" t="s">
        <v>284</v>
      </c>
      <c r="N1" s="47" t="s">
        <v>282</v>
      </c>
    </row>
    <row r="2" spans="1:14" customFormat="1">
      <c r="A2" s="10" t="s">
        <v>279</v>
      </c>
      <c r="B2" s="2"/>
      <c r="C2" s="8"/>
      <c r="D2" s="1"/>
      <c r="E2" s="1"/>
      <c r="F2" s="1"/>
      <c r="G2" s="38"/>
      <c r="H2" s="52">
        <f>SUM(H6:H1048576)</f>
        <v>0</v>
      </c>
      <c r="I2" s="52">
        <f>SUM(I6:I1048576)</f>
        <v>0</v>
      </c>
      <c r="J2" s="53">
        <f>SUM(J6:J1048576)</f>
        <v>0</v>
      </c>
      <c r="L2" s="54">
        <f>SUM(L6:L1048576)</f>
        <v>0</v>
      </c>
      <c r="M2" s="54">
        <f>SUM(M6:M1048576)</f>
        <v>0</v>
      </c>
      <c r="N2" s="51">
        <f>SUM(N6:N1048576)</f>
        <v>0</v>
      </c>
    </row>
    <row r="3" spans="1:14" customFormat="1">
      <c r="A3" s="13"/>
      <c r="B3" s="2"/>
      <c r="C3" s="8"/>
      <c r="D3" s="1"/>
      <c r="E3" s="1"/>
      <c r="F3" s="1"/>
      <c r="G3" s="38"/>
      <c r="H3" s="52"/>
      <c r="I3" s="52"/>
      <c r="J3" s="53"/>
      <c r="L3" s="54"/>
      <c r="M3" s="54"/>
      <c r="N3" s="51"/>
    </row>
    <row r="4" spans="1:14" customFormat="1">
      <c r="A4" s="1"/>
      <c r="B4" s="2"/>
      <c r="C4" s="8"/>
      <c r="D4" s="1"/>
      <c r="E4" s="1"/>
      <c r="F4" s="1"/>
      <c r="G4" s="38"/>
      <c r="H4" s="15"/>
      <c r="I4" s="15"/>
      <c r="J4" s="43"/>
      <c r="L4" s="8"/>
      <c r="M4" s="8"/>
      <c r="N4" s="48"/>
    </row>
    <row r="5" spans="1:14" customFormat="1">
      <c r="A5" s="3" t="s">
        <v>288</v>
      </c>
      <c r="B5" s="19" t="s">
        <v>287</v>
      </c>
      <c r="C5" s="19" t="s">
        <v>1</v>
      </c>
      <c r="D5" s="4" t="s">
        <v>286</v>
      </c>
      <c r="E5" s="5" t="s">
        <v>0</v>
      </c>
      <c r="F5" s="6" t="s">
        <v>291</v>
      </c>
      <c r="G5" s="39" t="s">
        <v>291</v>
      </c>
      <c r="H5" s="16" t="s">
        <v>281</v>
      </c>
      <c r="I5" s="17" t="s">
        <v>285</v>
      </c>
      <c r="J5" s="44" t="s">
        <v>280</v>
      </c>
      <c r="L5" s="7" t="s">
        <v>281</v>
      </c>
      <c r="M5" s="4" t="s">
        <v>285</v>
      </c>
      <c r="N5" s="49" t="s">
        <v>280</v>
      </c>
    </row>
    <row r="6" spans="1:14" ht="80.099999999999994" customHeight="1">
      <c r="A6" s="28">
        <v>8809559622679</v>
      </c>
      <c r="B6" s="36" t="s">
        <v>31</v>
      </c>
      <c r="C6" s="29" t="s">
        <v>215</v>
      </c>
      <c r="D6" s="30">
        <v>100</v>
      </c>
      <c r="E6" s="31">
        <v>26000</v>
      </c>
      <c r="F6" s="32">
        <v>11830.500000000002</v>
      </c>
      <c r="G6" s="40">
        <f>F6/1340</f>
        <v>8.8287313432835841</v>
      </c>
      <c r="H6" s="18"/>
      <c r="I6" s="18">
        <f t="shared" ref="I6:I37" si="0">H6*D6</f>
        <v>0</v>
      </c>
      <c r="J6" s="45">
        <f>G6*I6</f>
        <v>0</v>
      </c>
      <c r="K6"/>
      <c r="L6" s="37">
        <f t="shared" ref="L6:L37" si="1">M6/D6</f>
        <v>0</v>
      </c>
      <c r="M6" s="12"/>
      <c r="N6" s="50">
        <f>G6*M6</f>
        <v>0</v>
      </c>
    </row>
    <row r="7" spans="1:14" ht="80.099999999999994" customHeight="1">
      <c r="A7" s="28">
        <v>8809559627490</v>
      </c>
      <c r="B7" s="33" t="s">
        <v>32</v>
      </c>
      <c r="C7" s="29" t="s">
        <v>216</v>
      </c>
      <c r="D7" s="30">
        <v>12</v>
      </c>
      <c r="E7" s="31">
        <v>24000</v>
      </c>
      <c r="F7" s="32">
        <v>11640.200000000003</v>
      </c>
      <c r="G7" s="40">
        <f t="shared" ref="G7:G70" si="2">F7/1340</f>
        <v>8.6867164179104499</v>
      </c>
      <c r="H7" s="18"/>
      <c r="I7" s="18">
        <f t="shared" si="0"/>
        <v>0</v>
      </c>
      <c r="J7" s="45">
        <f t="shared" ref="J7:J70" si="3">G7*I7</f>
        <v>0</v>
      </c>
      <c r="K7"/>
      <c r="L7" s="37">
        <f t="shared" si="1"/>
        <v>0</v>
      </c>
      <c r="M7" s="12"/>
      <c r="N7" s="50">
        <f t="shared" ref="N7:N70" si="4">G7*M7</f>
        <v>0</v>
      </c>
    </row>
    <row r="8" spans="1:14" ht="80.099999999999994" customHeight="1">
      <c r="A8" s="28">
        <v>8803463010454</v>
      </c>
      <c r="B8" s="33" t="s">
        <v>33</v>
      </c>
      <c r="C8" s="29" t="s">
        <v>217</v>
      </c>
      <c r="D8" s="30">
        <v>36</v>
      </c>
      <c r="E8" s="31">
        <v>15000</v>
      </c>
      <c r="F8" s="32">
        <v>6825.5000000000009</v>
      </c>
      <c r="G8" s="40">
        <f t="shared" si="2"/>
        <v>5.093656716417911</v>
      </c>
      <c r="H8" s="18"/>
      <c r="I8" s="18">
        <f t="shared" si="0"/>
        <v>0</v>
      </c>
      <c r="J8" s="45">
        <f t="shared" si="3"/>
        <v>0</v>
      </c>
      <c r="K8"/>
      <c r="L8" s="37">
        <f t="shared" si="1"/>
        <v>0</v>
      </c>
      <c r="M8" s="12"/>
      <c r="N8" s="50">
        <f t="shared" si="4"/>
        <v>0</v>
      </c>
    </row>
    <row r="9" spans="1:14" ht="80.099999999999994" customHeight="1">
      <c r="A9" s="28">
        <v>8809695674020</v>
      </c>
      <c r="B9" s="33" t="s">
        <v>34</v>
      </c>
      <c r="C9" s="29" t="s">
        <v>217</v>
      </c>
      <c r="D9" s="30">
        <v>23</v>
      </c>
      <c r="E9" s="31">
        <v>11000</v>
      </c>
      <c r="F9" s="32">
        <v>5005.0000000000009</v>
      </c>
      <c r="G9" s="40">
        <f t="shared" si="2"/>
        <v>3.7350746268656723</v>
      </c>
      <c r="H9" s="18"/>
      <c r="I9" s="18">
        <f t="shared" si="0"/>
        <v>0</v>
      </c>
      <c r="J9" s="45">
        <f t="shared" si="3"/>
        <v>0</v>
      </c>
      <c r="K9"/>
      <c r="L9" s="37">
        <f t="shared" si="1"/>
        <v>0</v>
      </c>
      <c r="M9" s="12"/>
      <c r="N9" s="50">
        <f t="shared" si="4"/>
        <v>0</v>
      </c>
    </row>
    <row r="10" spans="1:14" ht="80.099999999999994" customHeight="1">
      <c r="A10" s="28">
        <v>8809695670114</v>
      </c>
      <c r="B10" s="33" t="s">
        <v>35</v>
      </c>
      <c r="C10" s="29" t="s">
        <v>218</v>
      </c>
      <c r="D10" s="30">
        <v>30</v>
      </c>
      <c r="E10" s="31">
        <v>15000</v>
      </c>
      <c r="F10" s="32">
        <v>6825.5000000000009</v>
      </c>
      <c r="G10" s="40">
        <f t="shared" si="2"/>
        <v>5.093656716417911</v>
      </c>
      <c r="H10" s="18"/>
      <c r="I10" s="18">
        <f t="shared" si="0"/>
        <v>0</v>
      </c>
      <c r="J10" s="45">
        <f t="shared" si="3"/>
        <v>0</v>
      </c>
      <c r="K10"/>
      <c r="L10" s="37">
        <f t="shared" si="1"/>
        <v>0</v>
      </c>
      <c r="M10" s="12"/>
      <c r="N10" s="50">
        <f t="shared" si="4"/>
        <v>0</v>
      </c>
    </row>
    <row r="11" spans="1:14" ht="80.099999999999994" customHeight="1">
      <c r="A11" s="28">
        <v>8809559627506</v>
      </c>
      <c r="B11" s="33" t="s">
        <v>36</v>
      </c>
      <c r="C11" s="29" t="s">
        <v>219</v>
      </c>
      <c r="D11" s="30">
        <v>20</v>
      </c>
      <c r="E11" s="31">
        <v>9000</v>
      </c>
      <c r="F11" s="32">
        <v>4095.3000000000006</v>
      </c>
      <c r="G11" s="40">
        <f t="shared" si="2"/>
        <v>3.0561940298507468</v>
      </c>
      <c r="H11" s="18"/>
      <c r="I11" s="18">
        <f t="shared" si="0"/>
        <v>0</v>
      </c>
      <c r="J11" s="45">
        <f t="shared" si="3"/>
        <v>0</v>
      </c>
      <c r="K11"/>
      <c r="L11" s="37">
        <f t="shared" si="1"/>
        <v>0</v>
      </c>
      <c r="M11" s="12"/>
      <c r="N11" s="50">
        <f t="shared" si="4"/>
        <v>0</v>
      </c>
    </row>
    <row r="12" spans="1:14" ht="80.099999999999994" customHeight="1">
      <c r="A12" s="28">
        <v>8803463003593</v>
      </c>
      <c r="B12" s="33" t="s">
        <v>37</v>
      </c>
      <c r="C12" s="29" t="s">
        <v>220</v>
      </c>
      <c r="D12" s="30">
        <v>12</v>
      </c>
      <c r="E12" s="31">
        <v>26000</v>
      </c>
      <c r="F12" s="32">
        <v>12610.400000000001</v>
      </c>
      <c r="G12" s="40">
        <f t="shared" si="2"/>
        <v>9.4107462686567178</v>
      </c>
      <c r="H12" s="18"/>
      <c r="I12" s="18">
        <f t="shared" si="0"/>
        <v>0</v>
      </c>
      <c r="J12" s="45">
        <f t="shared" si="3"/>
        <v>0</v>
      </c>
      <c r="K12"/>
      <c r="L12" s="37">
        <f t="shared" si="1"/>
        <v>0</v>
      </c>
      <c r="M12" s="12"/>
      <c r="N12" s="50">
        <f t="shared" si="4"/>
        <v>0</v>
      </c>
    </row>
    <row r="13" spans="1:14" ht="80.099999999999994" customHeight="1">
      <c r="A13" s="28">
        <v>8809695677243</v>
      </c>
      <c r="B13" s="33" t="s">
        <v>38</v>
      </c>
      <c r="C13" s="29" t="s">
        <v>221</v>
      </c>
      <c r="D13" s="30">
        <v>120</v>
      </c>
      <c r="E13" s="31">
        <v>25000</v>
      </c>
      <c r="F13" s="32">
        <v>11375.100000000002</v>
      </c>
      <c r="G13" s="40">
        <f t="shared" si="2"/>
        <v>8.4888805970149264</v>
      </c>
      <c r="H13" s="18"/>
      <c r="I13" s="18">
        <f t="shared" si="0"/>
        <v>0</v>
      </c>
      <c r="J13" s="45">
        <f t="shared" si="3"/>
        <v>0</v>
      </c>
      <c r="K13"/>
      <c r="L13" s="37">
        <f t="shared" si="1"/>
        <v>0</v>
      </c>
      <c r="M13" s="12"/>
      <c r="N13" s="50">
        <f t="shared" si="4"/>
        <v>0</v>
      </c>
    </row>
    <row r="14" spans="1:14" ht="80.099999999999994" customHeight="1">
      <c r="A14" s="28">
        <v>8809695677236</v>
      </c>
      <c r="B14" s="33" t="s">
        <v>39</v>
      </c>
      <c r="C14" s="29" t="s">
        <v>221</v>
      </c>
      <c r="D14" s="30">
        <v>48</v>
      </c>
      <c r="E14" s="31">
        <v>30000</v>
      </c>
      <c r="F14" s="32">
        <v>13649.9</v>
      </c>
      <c r="G14" s="40">
        <f t="shared" si="2"/>
        <v>10.186492537313432</v>
      </c>
      <c r="H14" s="18"/>
      <c r="I14" s="18">
        <f t="shared" si="0"/>
        <v>0</v>
      </c>
      <c r="J14" s="45">
        <f t="shared" si="3"/>
        <v>0</v>
      </c>
      <c r="K14"/>
      <c r="L14" s="37">
        <f t="shared" si="1"/>
        <v>0</v>
      </c>
      <c r="M14" s="12"/>
      <c r="N14" s="50">
        <f t="shared" si="4"/>
        <v>0</v>
      </c>
    </row>
    <row r="15" spans="1:14" ht="80.099999999999994" customHeight="1">
      <c r="A15" s="28">
        <v>8809695678028</v>
      </c>
      <c r="B15" s="34" t="s">
        <v>40</v>
      </c>
      <c r="C15" s="29" t="s">
        <v>216</v>
      </c>
      <c r="D15" s="30">
        <v>12</v>
      </c>
      <c r="E15" s="31">
        <v>24000</v>
      </c>
      <c r="F15" s="32">
        <v>11640.200000000003</v>
      </c>
      <c r="G15" s="40">
        <f t="shared" si="2"/>
        <v>8.6867164179104499</v>
      </c>
      <c r="H15" s="18"/>
      <c r="I15" s="18">
        <f t="shared" si="0"/>
        <v>0</v>
      </c>
      <c r="J15" s="45">
        <f t="shared" si="3"/>
        <v>0</v>
      </c>
      <c r="K15"/>
      <c r="L15" s="37">
        <f t="shared" si="1"/>
        <v>0</v>
      </c>
      <c r="M15" s="12"/>
      <c r="N15" s="50">
        <f t="shared" si="4"/>
        <v>0</v>
      </c>
    </row>
    <row r="16" spans="1:14" ht="80.099999999999994" customHeight="1">
      <c r="A16" s="28">
        <v>8809695677250</v>
      </c>
      <c r="B16" s="33" t="s">
        <v>41</v>
      </c>
      <c r="C16" s="29" t="s">
        <v>221</v>
      </c>
      <c r="D16" s="30">
        <v>48</v>
      </c>
      <c r="E16" s="31">
        <v>30000</v>
      </c>
      <c r="F16" s="32">
        <v>13649.9</v>
      </c>
      <c r="G16" s="40">
        <f t="shared" si="2"/>
        <v>10.186492537313432</v>
      </c>
      <c r="H16" s="18"/>
      <c r="I16" s="18">
        <f t="shared" si="0"/>
        <v>0</v>
      </c>
      <c r="J16" s="45">
        <f t="shared" si="3"/>
        <v>0</v>
      </c>
      <c r="K16"/>
      <c r="L16" s="37">
        <f t="shared" si="1"/>
        <v>0</v>
      </c>
      <c r="M16" s="12"/>
      <c r="N16" s="50">
        <f t="shared" si="4"/>
        <v>0</v>
      </c>
    </row>
    <row r="17" spans="1:14" ht="80.099999999999994" customHeight="1">
      <c r="A17" s="28">
        <v>8809695677199</v>
      </c>
      <c r="B17" s="33" t="s">
        <v>42</v>
      </c>
      <c r="C17" s="29" t="s">
        <v>221</v>
      </c>
      <c r="D17" s="30">
        <v>120</v>
      </c>
      <c r="E17" s="31">
        <v>25000</v>
      </c>
      <c r="F17" s="32">
        <v>11375.100000000002</v>
      </c>
      <c r="G17" s="40">
        <f t="shared" si="2"/>
        <v>8.4888805970149264</v>
      </c>
      <c r="H17" s="18"/>
      <c r="I17" s="18">
        <f t="shared" si="0"/>
        <v>0</v>
      </c>
      <c r="J17" s="45">
        <f t="shared" si="3"/>
        <v>0</v>
      </c>
      <c r="K17"/>
      <c r="L17" s="37">
        <f t="shared" si="1"/>
        <v>0</v>
      </c>
      <c r="M17" s="12"/>
      <c r="N17" s="50">
        <f t="shared" si="4"/>
        <v>0</v>
      </c>
    </row>
    <row r="18" spans="1:14" ht="80.099999999999994" customHeight="1">
      <c r="A18" s="28">
        <v>8809695677281</v>
      </c>
      <c r="B18" s="33" t="s">
        <v>43</v>
      </c>
      <c r="C18" s="29" t="s">
        <v>222</v>
      </c>
      <c r="D18" s="30">
        <v>12</v>
      </c>
      <c r="E18" s="31">
        <v>24000</v>
      </c>
      <c r="F18" s="32">
        <v>11640.200000000003</v>
      </c>
      <c r="G18" s="40">
        <f t="shared" si="2"/>
        <v>8.6867164179104499</v>
      </c>
      <c r="H18" s="18"/>
      <c r="I18" s="18">
        <f t="shared" si="0"/>
        <v>0</v>
      </c>
      <c r="J18" s="45">
        <f t="shared" si="3"/>
        <v>0</v>
      </c>
      <c r="K18"/>
      <c r="L18" s="37">
        <f t="shared" si="1"/>
        <v>0</v>
      </c>
      <c r="M18" s="12"/>
      <c r="N18" s="50">
        <f t="shared" si="4"/>
        <v>0</v>
      </c>
    </row>
    <row r="19" spans="1:14" ht="80.099999999999994" customHeight="1">
      <c r="A19" s="28">
        <v>8803463003517</v>
      </c>
      <c r="B19" s="33" t="s">
        <v>44</v>
      </c>
      <c r="C19" s="29" t="s">
        <v>223</v>
      </c>
      <c r="D19" s="30">
        <v>96</v>
      </c>
      <c r="E19" s="31">
        <v>27000</v>
      </c>
      <c r="F19" s="32">
        <v>12284.800000000003</v>
      </c>
      <c r="G19" s="40">
        <f t="shared" si="2"/>
        <v>9.1677611940298522</v>
      </c>
      <c r="H19" s="18"/>
      <c r="I19" s="18">
        <f t="shared" si="0"/>
        <v>0</v>
      </c>
      <c r="J19" s="45">
        <f t="shared" si="3"/>
        <v>0</v>
      </c>
      <c r="K19"/>
      <c r="L19" s="37">
        <f t="shared" si="1"/>
        <v>0</v>
      </c>
      <c r="M19" s="12"/>
      <c r="N19" s="50">
        <f t="shared" si="4"/>
        <v>0</v>
      </c>
    </row>
    <row r="20" spans="1:14" ht="80.099999999999994" customHeight="1">
      <c r="A20" s="28">
        <v>8809559626196</v>
      </c>
      <c r="B20" s="33" t="s">
        <v>45</v>
      </c>
      <c r="C20" s="29" t="s">
        <v>215</v>
      </c>
      <c r="D20" s="30">
        <v>48</v>
      </c>
      <c r="E20" s="31">
        <v>27000</v>
      </c>
      <c r="F20" s="32">
        <v>12284.800000000003</v>
      </c>
      <c r="G20" s="40">
        <f>F20/1340</f>
        <v>9.1677611940298522</v>
      </c>
      <c r="H20" s="18"/>
      <c r="I20" s="18">
        <f t="shared" si="0"/>
        <v>0</v>
      </c>
      <c r="J20" s="45">
        <f t="shared" si="3"/>
        <v>0</v>
      </c>
      <c r="K20"/>
      <c r="L20" s="37">
        <f t="shared" si="1"/>
        <v>0</v>
      </c>
      <c r="M20" s="12"/>
      <c r="N20" s="50">
        <f t="shared" si="4"/>
        <v>0</v>
      </c>
    </row>
    <row r="21" spans="1:14" ht="80.099999999999994" customHeight="1">
      <c r="A21" s="28">
        <v>8809695678363</v>
      </c>
      <c r="B21" s="33" t="s">
        <v>46</v>
      </c>
      <c r="C21" s="29" t="s">
        <v>215</v>
      </c>
      <c r="D21" s="30">
        <v>48</v>
      </c>
      <c r="E21" s="31">
        <v>32000</v>
      </c>
      <c r="F21" s="32">
        <v>14559.6</v>
      </c>
      <c r="G21" s="40">
        <f t="shared" si="2"/>
        <v>10.865373134328358</v>
      </c>
      <c r="H21" s="18"/>
      <c r="I21" s="18">
        <f t="shared" si="0"/>
        <v>0</v>
      </c>
      <c r="J21" s="45">
        <f t="shared" si="3"/>
        <v>0</v>
      </c>
      <c r="K21"/>
      <c r="L21" s="37">
        <f t="shared" si="1"/>
        <v>0</v>
      </c>
      <c r="M21" s="12"/>
      <c r="N21" s="50">
        <f t="shared" si="4"/>
        <v>0</v>
      </c>
    </row>
    <row r="22" spans="1:14" ht="80.099999999999994" customHeight="1">
      <c r="A22" s="28">
        <v>8809695678431</v>
      </c>
      <c r="B22" s="33" t="s">
        <v>47</v>
      </c>
      <c r="C22" s="29" t="s">
        <v>215</v>
      </c>
      <c r="D22" s="30">
        <v>48</v>
      </c>
      <c r="E22" s="31">
        <v>43000</v>
      </c>
      <c r="F22" s="32">
        <v>19564.600000000006</v>
      </c>
      <c r="G22" s="40">
        <f t="shared" si="2"/>
        <v>14.600447761194035</v>
      </c>
      <c r="H22" s="18"/>
      <c r="I22" s="18">
        <f t="shared" si="0"/>
        <v>0</v>
      </c>
      <c r="J22" s="45">
        <f t="shared" si="3"/>
        <v>0</v>
      </c>
      <c r="K22"/>
      <c r="L22" s="37">
        <f t="shared" si="1"/>
        <v>0</v>
      </c>
      <c r="M22" s="12"/>
      <c r="N22" s="50">
        <f t="shared" si="4"/>
        <v>0</v>
      </c>
    </row>
    <row r="23" spans="1:14" ht="80.099999999999994" customHeight="1">
      <c r="A23" s="28">
        <v>8809695678448</v>
      </c>
      <c r="B23" s="35" t="s">
        <v>48</v>
      </c>
      <c r="C23" s="29" t="s">
        <v>221</v>
      </c>
      <c r="D23" s="30">
        <v>48</v>
      </c>
      <c r="E23" s="31">
        <v>58000</v>
      </c>
      <c r="F23" s="32">
        <v>26390.100000000006</v>
      </c>
      <c r="G23" s="40">
        <f t="shared" si="2"/>
        <v>19.694104477611944</v>
      </c>
      <c r="H23" s="18"/>
      <c r="I23" s="18">
        <f t="shared" si="0"/>
        <v>0</v>
      </c>
      <c r="J23" s="45">
        <f t="shared" si="3"/>
        <v>0</v>
      </c>
      <c r="K23"/>
      <c r="L23" s="37">
        <f t="shared" si="1"/>
        <v>0</v>
      </c>
      <c r="M23" s="12"/>
      <c r="N23" s="50">
        <f t="shared" si="4"/>
        <v>0</v>
      </c>
    </row>
    <row r="24" spans="1:14" ht="80.099999999999994" customHeight="1">
      <c r="A24" s="28">
        <v>8803463003500</v>
      </c>
      <c r="B24" s="35" t="s">
        <v>49</v>
      </c>
      <c r="C24" s="29" t="s">
        <v>223</v>
      </c>
      <c r="D24" s="30">
        <v>60</v>
      </c>
      <c r="E24" s="31">
        <v>63000</v>
      </c>
      <c r="F24" s="32">
        <v>28664.900000000005</v>
      </c>
      <c r="G24" s="40">
        <f t="shared" si="2"/>
        <v>21.391716417910452</v>
      </c>
      <c r="H24" s="18"/>
      <c r="I24" s="18">
        <f t="shared" si="0"/>
        <v>0</v>
      </c>
      <c r="J24" s="45">
        <f t="shared" si="3"/>
        <v>0</v>
      </c>
      <c r="K24"/>
      <c r="L24" s="37">
        <f t="shared" si="1"/>
        <v>0</v>
      </c>
      <c r="M24" s="12"/>
      <c r="N24" s="50">
        <f t="shared" si="4"/>
        <v>0</v>
      </c>
    </row>
    <row r="25" spans="1:14" ht="80.099999999999994" customHeight="1">
      <c r="A25" s="28">
        <v>8803463006020</v>
      </c>
      <c r="B25" s="35" t="s">
        <v>50</v>
      </c>
      <c r="C25" s="29" t="s">
        <v>224</v>
      </c>
      <c r="D25" s="30">
        <v>300</v>
      </c>
      <c r="E25" s="31">
        <v>2500</v>
      </c>
      <c r="F25" s="32">
        <v>1137.4000000000001</v>
      </c>
      <c r="G25" s="40">
        <f t="shared" si="2"/>
        <v>0.84880597014925385</v>
      </c>
      <c r="H25" s="18"/>
      <c r="I25" s="18">
        <f t="shared" si="0"/>
        <v>0</v>
      </c>
      <c r="J25" s="45">
        <f t="shared" si="3"/>
        <v>0</v>
      </c>
      <c r="K25"/>
      <c r="L25" s="37">
        <f t="shared" si="1"/>
        <v>0</v>
      </c>
      <c r="M25" s="12"/>
      <c r="N25" s="50">
        <f t="shared" si="4"/>
        <v>0</v>
      </c>
    </row>
    <row r="26" spans="1:14" ht="80.099999999999994" customHeight="1">
      <c r="A26" s="28">
        <v>8803463006037</v>
      </c>
      <c r="B26" s="35" t="s">
        <v>51</v>
      </c>
      <c r="C26" s="29" t="s">
        <v>225</v>
      </c>
      <c r="D26" s="30">
        <v>200</v>
      </c>
      <c r="E26" s="31">
        <v>3000</v>
      </c>
      <c r="F26" s="32">
        <v>1365.1000000000004</v>
      </c>
      <c r="G26" s="40">
        <f t="shared" si="2"/>
        <v>1.0187313432835823</v>
      </c>
      <c r="H26" s="18"/>
      <c r="I26" s="18">
        <f t="shared" si="0"/>
        <v>0</v>
      </c>
      <c r="J26" s="45">
        <f t="shared" si="3"/>
        <v>0</v>
      </c>
      <c r="K26"/>
      <c r="L26" s="37">
        <f t="shared" si="1"/>
        <v>0</v>
      </c>
      <c r="M26" s="12"/>
      <c r="N26" s="50">
        <f t="shared" si="4"/>
        <v>0</v>
      </c>
    </row>
    <row r="27" spans="1:14" ht="80.099999999999994" customHeight="1">
      <c r="A27" s="28">
        <v>8803463006044</v>
      </c>
      <c r="B27" s="35" t="s">
        <v>52</v>
      </c>
      <c r="C27" s="29" t="s">
        <v>225</v>
      </c>
      <c r="D27" s="30">
        <v>200</v>
      </c>
      <c r="E27" s="31">
        <v>3500</v>
      </c>
      <c r="F27" s="32">
        <v>1592.8000000000002</v>
      </c>
      <c r="G27" s="40">
        <f t="shared" si="2"/>
        <v>1.1886567164179105</v>
      </c>
      <c r="H27" s="18"/>
      <c r="I27" s="18">
        <f t="shared" si="0"/>
        <v>0</v>
      </c>
      <c r="J27" s="45">
        <f t="shared" si="3"/>
        <v>0</v>
      </c>
      <c r="K27"/>
      <c r="L27" s="37">
        <f t="shared" si="1"/>
        <v>0</v>
      </c>
      <c r="M27" s="12"/>
      <c r="N27" s="50">
        <f t="shared" si="4"/>
        <v>0</v>
      </c>
    </row>
    <row r="28" spans="1:14" ht="80.099999999999994" customHeight="1">
      <c r="A28" s="28">
        <v>8803463006051</v>
      </c>
      <c r="B28" s="35" t="s">
        <v>53</v>
      </c>
      <c r="C28" s="29" t="s">
        <v>225</v>
      </c>
      <c r="D28" s="30">
        <v>200</v>
      </c>
      <c r="E28" s="31">
        <v>4500</v>
      </c>
      <c r="F28" s="32">
        <v>2047.1000000000004</v>
      </c>
      <c r="G28" s="40">
        <f t="shared" si="2"/>
        <v>1.5276865671641793</v>
      </c>
      <c r="H28" s="18"/>
      <c r="I28" s="18">
        <f t="shared" si="0"/>
        <v>0</v>
      </c>
      <c r="J28" s="45">
        <f t="shared" si="3"/>
        <v>0</v>
      </c>
      <c r="K28"/>
      <c r="L28" s="37">
        <f t="shared" si="1"/>
        <v>0</v>
      </c>
      <c r="M28" s="12"/>
      <c r="N28" s="50">
        <f t="shared" si="4"/>
        <v>0</v>
      </c>
    </row>
    <row r="29" spans="1:14" ht="80.099999999999994" customHeight="1">
      <c r="A29" s="28">
        <v>8803463006068</v>
      </c>
      <c r="B29" s="33" t="s">
        <v>54</v>
      </c>
      <c r="C29" s="29" t="s">
        <v>226</v>
      </c>
      <c r="D29" s="30">
        <v>200</v>
      </c>
      <c r="E29" s="31">
        <v>5000</v>
      </c>
      <c r="F29" s="32">
        <v>2274.8000000000002</v>
      </c>
      <c r="G29" s="40">
        <f t="shared" si="2"/>
        <v>1.6976119402985077</v>
      </c>
      <c r="H29" s="18"/>
      <c r="I29" s="18">
        <f t="shared" si="0"/>
        <v>0</v>
      </c>
      <c r="J29" s="45">
        <f t="shared" si="3"/>
        <v>0</v>
      </c>
      <c r="K29"/>
      <c r="L29" s="37">
        <f t="shared" si="1"/>
        <v>0</v>
      </c>
      <c r="M29" s="12"/>
      <c r="N29" s="50">
        <f t="shared" si="4"/>
        <v>0</v>
      </c>
    </row>
    <row r="30" spans="1:14" ht="80.099999999999994" customHeight="1">
      <c r="A30" s="28">
        <v>8803463008574</v>
      </c>
      <c r="B30" s="33" t="s">
        <v>55</v>
      </c>
      <c r="C30" s="29" t="s">
        <v>227</v>
      </c>
      <c r="D30" s="30">
        <v>42</v>
      </c>
      <c r="E30" s="31">
        <v>15000</v>
      </c>
      <c r="F30" s="32">
        <v>6825.5000000000009</v>
      </c>
      <c r="G30" s="40">
        <f t="shared" si="2"/>
        <v>5.093656716417911</v>
      </c>
      <c r="H30" s="18"/>
      <c r="I30" s="18">
        <f t="shared" si="0"/>
        <v>0</v>
      </c>
      <c r="J30" s="45">
        <f t="shared" si="3"/>
        <v>0</v>
      </c>
      <c r="K30"/>
      <c r="L30" s="37">
        <f t="shared" si="1"/>
        <v>0</v>
      </c>
      <c r="M30" s="12"/>
      <c r="N30" s="50">
        <f t="shared" si="4"/>
        <v>0</v>
      </c>
    </row>
    <row r="31" spans="1:14" ht="80.099999999999994" customHeight="1">
      <c r="A31" s="28">
        <v>88034630008581</v>
      </c>
      <c r="B31" s="33" t="s">
        <v>56</v>
      </c>
      <c r="C31" s="29" t="s">
        <v>227</v>
      </c>
      <c r="D31" s="30">
        <v>42</v>
      </c>
      <c r="E31" s="31">
        <v>17500</v>
      </c>
      <c r="F31" s="32">
        <v>7962.9000000000015</v>
      </c>
      <c r="G31" s="40">
        <f t="shared" si="2"/>
        <v>5.9424626865671657</v>
      </c>
      <c r="H31" s="18"/>
      <c r="I31" s="18">
        <f t="shared" si="0"/>
        <v>0</v>
      </c>
      <c r="J31" s="45">
        <f t="shared" si="3"/>
        <v>0</v>
      </c>
      <c r="K31"/>
      <c r="L31" s="37">
        <f t="shared" si="1"/>
        <v>0</v>
      </c>
      <c r="M31" s="12"/>
      <c r="N31" s="50">
        <f t="shared" si="4"/>
        <v>0</v>
      </c>
    </row>
    <row r="32" spans="1:14" ht="80.099999999999994" customHeight="1">
      <c r="A32" s="28">
        <v>8803463003692</v>
      </c>
      <c r="B32" s="33" t="s">
        <v>57</v>
      </c>
      <c r="C32" s="29" t="s">
        <v>215</v>
      </c>
      <c r="D32" s="30">
        <v>48</v>
      </c>
      <c r="E32" s="31">
        <v>48000</v>
      </c>
      <c r="F32" s="32">
        <v>21840.500000000004</v>
      </c>
      <c r="G32" s="40">
        <f t="shared" si="2"/>
        <v>16.298880597014929</v>
      </c>
      <c r="H32" s="18"/>
      <c r="I32" s="18">
        <f t="shared" si="0"/>
        <v>0</v>
      </c>
      <c r="J32" s="45">
        <f t="shared" si="3"/>
        <v>0</v>
      </c>
      <c r="K32"/>
      <c r="L32" s="37">
        <f t="shared" si="1"/>
        <v>0</v>
      </c>
      <c r="M32" s="12"/>
      <c r="N32" s="50">
        <f t="shared" si="4"/>
        <v>0</v>
      </c>
    </row>
    <row r="33" spans="1:14" ht="80.099999999999994" customHeight="1">
      <c r="A33" s="28" t="s">
        <v>3</v>
      </c>
      <c r="B33" s="33" t="s">
        <v>58</v>
      </c>
      <c r="C33" s="29" t="s">
        <v>215</v>
      </c>
      <c r="D33" s="30">
        <v>48</v>
      </c>
      <c r="E33" s="31">
        <v>58000</v>
      </c>
      <c r="F33" s="32">
        <v>26390.100000000006</v>
      </c>
      <c r="G33" s="40">
        <f t="shared" si="2"/>
        <v>19.694104477611944</v>
      </c>
      <c r="H33" s="18"/>
      <c r="I33" s="18">
        <f t="shared" si="0"/>
        <v>0</v>
      </c>
      <c r="J33" s="45">
        <f t="shared" si="3"/>
        <v>0</v>
      </c>
      <c r="K33"/>
      <c r="L33" s="37">
        <f t="shared" si="1"/>
        <v>0</v>
      </c>
      <c r="M33" s="12"/>
      <c r="N33" s="50">
        <f t="shared" si="4"/>
        <v>0</v>
      </c>
    </row>
    <row r="34" spans="1:14" ht="80.099999999999994" customHeight="1">
      <c r="A34" s="28" t="s">
        <v>4</v>
      </c>
      <c r="B34" s="33" t="s">
        <v>59</v>
      </c>
      <c r="C34" s="29" t="s">
        <v>221</v>
      </c>
      <c r="D34" s="30">
        <v>48</v>
      </c>
      <c r="E34" s="31">
        <v>71000</v>
      </c>
      <c r="F34" s="32">
        <v>32304.799999999999</v>
      </c>
      <c r="G34" s="40">
        <f t="shared" si="2"/>
        <v>24.108059701492536</v>
      </c>
      <c r="H34" s="18"/>
      <c r="I34" s="18">
        <f t="shared" si="0"/>
        <v>0</v>
      </c>
      <c r="J34" s="45">
        <f t="shared" si="3"/>
        <v>0</v>
      </c>
      <c r="K34"/>
      <c r="L34" s="37">
        <f t="shared" si="1"/>
        <v>0</v>
      </c>
      <c r="M34" s="12"/>
      <c r="N34" s="50">
        <f t="shared" si="4"/>
        <v>0</v>
      </c>
    </row>
    <row r="35" spans="1:14" ht="80.099999999999994" customHeight="1">
      <c r="A35" s="28">
        <v>8803463003685</v>
      </c>
      <c r="B35" s="33" t="s">
        <v>60</v>
      </c>
      <c r="C35" s="29" t="s">
        <v>215</v>
      </c>
      <c r="D35" s="30">
        <v>48</v>
      </c>
      <c r="E35" s="31">
        <v>48000</v>
      </c>
      <c r="F35" s="32">
        <v>21840.500000000004</v>
      </c>
      <c r="G35" s="40">
        <f t="shared" si="2"/>
        <v>16.298880597014929</v>
      </c>
      <c r="H35" s="18"/>
      <c r="I35" s="18">
        <f t="shared" si="0"/>
        <v>0</v>
      </c>
      <c r="J35" s="45">
        <f t="shared" si="3"/>
        <v>0</v>
      </c>
      <c r="K35"/>
      <c r="L35" s="37">
        <f t="shared" si="1"/>
        <v>0</v>
      </c>
      <c r="M35" s="12"/>
      <c r="N35" s="50">
        <f t="shared" si="4"/>
        <v>0</v>
      </c>
    </row>
    <row r="36" spans="1:14" ht="80.099999999999994" customHeight="1">
      <c r="A36" s="28" t="s">
        <v>5</v>
      </c>
      <c r="B36" s="33" t="s">
        <v>61</v>
      </c>
      <c r="C36" s="29" t="s">
        <v>215</v>
      </c>
      <c r="D36" s="30">
        <v>48</v>
      </c>
      <c r="E36" s="31">
        <v>58000</v>
      </c>
      <c r="F36" s="32">
        <v>26390.100000000006</v>
      </c>
      <c r="G36" s="40">
        <f t="shared" si="2"/>
        <v>19.694104477611944</v>
      </c>
      <c r="H36" s="18"/>
      <c r="I36" s="18">
        <f t="shared" si="0"/>
        <v>0</v>
      </c>
      <c r="J36" s="45">
        <f t="shared" si="3"/>
        <v>0</v>
      </c>
      <c r="K36"/>
      <c r="L36" s="37">
        <f t="shared" si="1"/>
        <v>0</v>
      </c>
      <c r="M36" s="12"/>
      <c r="N36" s="50">
        <f t="shared" si="4"/>
        <v>0</v>
      </c>
    </row>
    <row r="37" spans="1:14" ht="80.099999999999994" customHeight="1">
      <c r="A37" s="28" t="s">
        <v>6</v>
      </c>
      <c r="B37" s="33" t="s">
        <v>62</v>
      </c>
      <c r="C37" s="29" t="s">
        <v>221</v>
      </c>
      <c r="D37" s="30">
        <v>48</v>
      </c>
      <c r="E37" s="31">
        <v>71000</v>
      </c>
      <c r="F37" s="32">
        <v>32304.799999999999</v>
      </c>
      <c r="G37" s="40">
        <f t="shared" si="2"/>
        <v>24.108059701492536</v>
      </c>
      <c r="H37" s="18"/>
      <c r="I37" s="18">
        <f t="shared" si="0"/>
        <v>0</v>
      </c>
      <c r="J37" s="45">
        <f t="shared" si="3"/>
        <v>0</v>
      </c>
      <c r="K37"/>
      <c r="L37" s="37">
        <f t="shared" si="1"/>
        <v>0</v>
      </c>
      <c r="M37" s="12"/>
      <c r="N37" s="50">
        <f t="shared" si="4"/>
        <v>0</v>
      </c>
    </row>
    <row r="38" spans="1:14" ht="80.099999999999994" customHeight="1">
      <c r="A38" s="28" t="s">
        <v>7</v>
      </c>
      <c r="B38" s="33" t="s">
        <v>63</v>
      </c>
      <c r="C38" s="29" t="s">
        <v>215</v>
      </c>
      <c r="D38" s="30">
        <v>48</v>
      </c>
      <c r="E38" s="31">
        <v>48000</v>
      </c>
      <c r="F38" s="32">
        <v>21840.500000000004</v>
      </c>
      <c r="G38" s="40">
        <f t="shared" si="2"/>
        <v>16.298880597014929</v>
      </c>
      <c r="H38" s="18"/>
      <c r="I38" s="18">
        <f t="shared" ref="I38:I69" si="5">H38*D38</f>
        <v>0</v>
      </c>
      <c r="J38" s="45">
        <f t="shared" si="3"/>
        <v>0</v>
      </c>
      <c r="K38"/>
      <c r="L38" s="37">
        <f t="shared" ref="L38:L69" si="6">M38/D38</f>
        <v>0</v>
      </c>
      <c r="M38" s="12"/>
      <c r="N38" s="50">
        <f t="shared" si="4"/>
        <v>0</v>
      </c>
    </row>
    <row r="39" spans="1:14" ht="80.099999999999994" customHeight="1">
      <c r="A39" s="28">
        <v>8803463007119</v>
      </c>
      <c r="B39" s="33" t="s">
        <v>64</v>
      </c>
      <c r="C39" s="29" t="s">
        <v>215</v>
      </c>
      <c r="D39" s="30">
        <v>48</v>
      </c>
      <c r="E39" s="31">
        <v>58000</v>
      </c>
      <c r="F39" s="32">
        <v>26390.100000000006</v>
      </c>
      <c r="G39" s="40">
        <f t="shared" si="2"/>
        <v>19.694104477611944</v>
      </c>
      <c r="H39" s="18"/>
      <c r="I39" s="18">
        <f t="shared" si="5"/>
        <v>0</v>
      </c>
      <c r="J39" s="45">
        <f t="shared" si="3"/>
        <v>0</v>
      </c>
      <c r="K39"/>
      <c r="L39" s="37">
        <f t="shared" si="6"/>
        <v>0</v>
      </c>
      <c r="M39" s="12"/>
      <c r="N39" s="50">
        <f t="shared" si="4"/>
        <v>0</v>
      </c>
    </row>
    <row r="40" spans="1:14" ht="80.099999999999994" customHeight="1">
      <c r="A40" s="28">
        <v>8803463007126</v>
      </c>
      <c r="B40" s="33" t="s">
        <v>65</v>
      </c>
      <c r="C40" s="29" t="s">
        <v>221</v>
      </c>
      <c r="D40" s="30">
        <v>48</v>
      </c>
      <c r="E40" s="31">
        <v>71000</v>
      </c>
      <c r="F40" s="32">
        <v>32304.799999999999</v>
      </c>
      <c r="G40" s="40">
        <f t="shared" si="2"/>
        <v>24.108059701492536</v>
      </c>
      <c r="H40" s="18"/>
      <c r="I40" s="18">
        <f t="shared" si="5"/>
        <v>0</v>
      </c>
      <c r="J40" s="45">
        <f t="shared" si="3"/>
        <v>0</v>
      </c>
      <c r="K40"/>
      <c r="L40" s="37">
        <f t="shared" si="6"/>
        <v>0</v>
      </c>
      <c r="M40" s="12"/>
      <c r="N40" s="50">
        <f t="shared" si="4"/>
        <v>0</v>
      </c>
    </row>
    <row r="41" spans="1:14" ht="80.099999999999994" customHeight="1">
      <c r="A41" s="28" t="s">
        <v>8</v>
      </c>
      <c r="B41" s="33" t="s">
        <v>66</v>
      </c>
      <c r="C41" s="29" t="s">
        <v>215</v>
      </c>
      <c r="D41" s="30">
        <v>48</v>
      </c>
      <c r="E41" s="31">
        <v>48000</v>
      </c>
      <c r="F41" s="32">
        <v>21840.500000000004</v>
      </c>
      <c r="G41" s="40">
        <f t="shared" si="2"/>
        <v>16.298880597014929</v>
      </c>
      <c r="H41" s="18"/>
      <c r="I41" s="18">
        <f t="shared" si="5"/>
        <v>0</v>
      </c>
      <c r="J41" s="45">
        <f t="shared" si="3"/>
        <v>0</v>
      </c>
      <c r="K41"/>
      <c r="L41" s="37">
        <f t="shared" si="6"/>
        <v>0</v>
      </c>
      <c r="M41" s="12"/>
      <c r="N41" s="50">
        <f t="shared" si="4"/>
        <v>0</v>
      </c>
    </row>
    <row r="42" spans="1:14" ht="80.099999999999994" customHeight="1">
      <c r="A42" s="28">
        <v>8803463007096</v>
      </c>
      <c r="B42" s="33" t="s">
        <v>67</v>
      </c>
      <c r="C42" s="29" t="s">
        <v>215</v>
      </c>
      <c r="D42" s="30">
        <v>48</v>
      </c>
      <c r="E42" s="31">
        <v>58000</v>
      </c>
      <c r="F42" s="32">
        <v>26390.100000000006</v>
      </c>
      <c r="G42" s="40">
        <f t="shared" si="2"/>
        <v>19.694104477611944</v>
      </c>
      <c r="H42" s="18"/>
      <c r="I42" s="18">
        <f t="shared" si="5"/>
        <v>0</v>
      </c>
      <c r="J42" s="45">
        <f t="shared" si="3"/>
        <v>0</v>
      </c>
      <c r="K42"/>
      <c r="L42" s="37">
        <f t="shared" si="6"/>
        <v>0</v>
      </c>
      <c r="M42" s="12"/>
      <c r="N42" s="50">
        <f t="shared" si="4"/>
        <v>0</v>
      </c>
    </row>
    <row r="43" spans="1:14" ht="80.099999999999994" customHeight="1">
      <c r="A43" s="28">
        <v>8803463007102</v>
      </c>
      <c r="B43" s="33" t="s">
        <v>68</v>
      </c>
      <c r="C43" s="29" t="s">
        <v>221</v>
      </c>
      <c r="D43" s="30">
        <v>48</v>
      </c>
      <c r="E43" s="31">
        <v>71000</v>
      </c>
      <c r="F43" s="32">
        <v>32304.799999999999</v>
      </c>
      <c r="G43" s="40">
        <f t="shared" si="2"/>
        <v>24.108059701492536</v>
      </c>
      <c r="H43" s="18"/>
      <c r="I43" s="18">
        <f t="shared" si="5"/>
        <v>0</v>
      </c>
      <c r="J43" s="45">
        <f t="shared" si="3"/>
        <v>0</v>
      </c>
      <c r="K43"/>
      <c r="L43" s="37">
        <f t="shared" si="6"/>
        <v>0</v>
      </c>
      <c r="M43" s="12"/>
      <c r="N43" s="50">
        <f t="shared" si="4"/>
        <v>0</v>
      </c>
    </row>
    <row r="44" spans="1:14" ht="80.099999999999994" customHeight="1">
      <c r="A44" s="28">
        <v>8803463007546</v>
      </c>
      <c r="B44" s="34" t="s">
        <v>69</v>
      </c>
      <c r="C44" s="29" t="s">
        <v>215</v>
      </c>
      <c r="D44" s="30">
        <v>48</v>
      </c>
      <c r="E44" s="31">
        <v>32000</v>
      </c>
      <c r="F44" s="32">
        <v>14559.6</v>
      </c>
      <c r="G44" s="40">
        <f t="shared" si="2"/>
        <v>10.865373134328358</v>
      </c>
      <c r="H44" s="18"/>
      <c r="I44" s="18">
        <f t="shared" si="5"/>
        <v>0</v>
      </c>
      <c r="J44" s="45">
        <f t="shared" si="3"/>
        <v>0</v>
      </c>
      <c r="K44"/>
      <c r="L44" s="37">
        <f t="shared" si="6"/>
        <v>0</v>
      </c>
      <c r="M44" s="12"/>
      <c r="N44" s="50">
        <f t="shared" si="4"/>
        <v>0</v>
      </c>
    </row>
    <row r="45" spans="1:14" ht="80.099999999999994" customHeight="1">
      <c r="A45" s="28">
        <v>8803463007553</v>
      </c>
      <c r="B45" s="34" t="s">
        <v>70</v>
      </c>
      <c r="C45" s="29" t="s">
        <v>215</v>
      </c>
      <c r="D45" s="30">
        <v>48</v>
      </c>
      <c r="E45" s="31">
        <v>43000</v>
      </c>
      <c r="F45" s="32">
        <v>19564.600000000006</v>
      </c>
      <c r="G45" s="40">
        <f t="shared" si="2"/>
        <v>14.600447761194035</v>
      </c>
      <c r="H45" s="18"/>
      <c r="I45" s="18">
        <f t="shared" si="5"/>
        <v>0</v>
      </c>
      <c r="J45" s="45">
        <f t="shared" si="3"/>
        <v>0</v>
      </c>
      <c r="K45"/>
      <c r="L45" s="37">
        <f t="shared" si="6"/>
        <v>0</v>
      </c>
      <c r="M45" s="12"/>
      <c r="N45" s="50">
        <f t="shared" si="4"/>
        <v>0</v>
      </c>
    </row>
    <row r="46" spans="1:14" ht="80.099999999999994" customHeight="1">
      <c r="A46" s="28">
        <v>8803463007560</v>
      </c>
      <c r="B46" s="34" t="s">
        <v>71</v>
      </c>
      <c r="C46" s="29" t="s">
        <v>221</v>
      </c>
      <c r="D46" s="30">
        <v>48</v>
      </c>
      <c r="E46" s="31">
        <v>58000</v>
      </c>
      <c r="F46" s="32">
        <v>26390.100000000006</v>
      </c>
      <c r="G46" s="40">
        <f t="shared" si="2"/>
        <v>19.694104477611944</v>
      </c>
      <c r="H46" s="18"/>
      <c r="I46" s="18">
        <f t="shared" si="5"/>
        <v>0</v>
      </c>
      <c r="J46" s="45">
        <f t="shared" si="3"/>
        <v>0</v>
      </c>
      <c r="K46"/>
      <c r="L46" s="37">
        <f t="shared" si="6"/>
        <v>0</v>
      </c>
      <c r="M46" s="12"/>
      <c r="N46" s="50">
        <f t="shared" si="4"/>
        <v>0</v>
      </c>
    </row>
    <row r="47" spans="1:14" ht="80.099999999999994" customHeight="1">
      <c r="A47" s="28">
        <v>8803463009175</v>
      </c>
      <c r="B47" s="33" t="s">
        <v>72</v>
      </c>
      <c r="C47" s="29" t="s">
        <v>215</v>
      </c>
      <c r="D47" s="30">
        <v>48</v>
      </c>
      <c r="E47" s="31">
        <v>48000</v>
      </c>
      <c r="F47" s="32">
        <v>21840.500000000004</v>
      </c>
      <c r="G47" s="40">
        <f t="shared" si="2"/>
        <v>16.298880597014929</v>
      </c>
      <c r="H47" s="18"/>
      <c r="I47" s="18">
        <f t="shared" si="5"/>
        <v>0</v>
      </c>
      <c r="J47" s="45">
        <f t="shared" si="3"/>
        <v>0</v>
      </c>
      <c r="K47"/>
      <c r="L47" s="37">
        <f t="shared" si="6"/>
        <v>0</v>
      </c>
      <c r="M47" s="12"/>
      <c r="N47" s="50">
        <f t="shared" si="4"/>
        <v>0</v>
      </c>
    </row>
    <row r="48" spans="1:14" ht="80.099999999999994" customHeight="1">
      <c r="A48" s="28">
        <v>8803463009663</v>
      </c>
      <c r="B48" s="33" t="s">
        <v>73</v>
      </c>
      <c r="C48" s="29" t="s">
        <v>215</v>
      </c>
      <c r="D48" s="30">
        <v>48</v>
      </c>
      <c r="E48" s="31">
        <v>58000</v>
      </c>
      <c r="F48" s="32">
        <v>26390.100000000006</v>
      </c>
      <c r="G48" s="40">
        <f t="shared" si="2"/>
        <v>19.694104477611944</v>
      </c>
      <c r="H48" s="18"/>
      <c r="I48" s="18">
        <f t="shared" si="5"/>
        <v>0</v>
      </c>
      <c r="J48" s="45">
        <f t="shared" si="3"/>
        <v>0</v>
      </c>
      <c r="K48"/>
      <c r="L48" s="37">
        <f t="shared" si="6"/>
        <v>0</v>
      </c>
      <c r="M48" s="12"/>
      <c r="N48" s="50">
        <f t="shared" si="4"/>
        <v>0</v>
      </c>
    </row>
    <row r="49" spans="1:14" ht="80.099999999999994" customHeight="1">
      <c r="A49" s="28">
        <v>8803463009670</v>
      </c>
      <c r="B49" s="33" t="s">
        <v>74</v>
      </c>
      <c r="C49" s="29" t="s">
        <v>221</v>
      </c>
      <c r="D49" s="30">
        <v>48</v>
      </c>
      <c r="E49" s="31">
        <v>71000</v>
      </c>
      <c r="F49" s="32">
        <v>32304.799999999999</v>
      </c>
      <c r="G49" s="40">
        <f t="shared" si="2"/>
        <v>24.108059701492536</v>
      </c>
      <c r="H49" s="18"/>
      <c r="I49" s="18">
        <f t="shared" si="5"/>
        <v>0</v>
      </c>
      <c r="J49" s="45">
        <f t="shared" si="3"/>
        <v>0</v>
      </c>
      <c r="K49"/>
      <c r="L49" s="37">
        <f t="shared" si="6"/>
        <v>0</v>
      </c>
      <c r="M49" s="12"/>
      <c r="N49" s="50">
        <f t="shared" si="4"/>
        <v>0</v>
      </c>
    </row>
    <row r="50" spans="1:14" ht="80.099999999999994" customHeight="1">
      <c r="A50" s="28">
        <v>8803463009182</v>
      </c>
      <c r="B50" s="33" t="s">
        <v>75</v>
      </c>
      <c r="C50" s="29" t="s">
        <v>215</v>
      </c>
      <c r="D50" s="30">
        <v>48</v>
      </c>
      <c r="E50" s="31">
        <v>32000</v>
      </c>
      <c r="F50" s="32">
        <v>14559.6</v>
      </c>
      <c r="G50" s="40">
        <f t="shared" si="2"/>
        <v>10.865373134328358</v>
      </c>
      <c r="H50" s="18"/>
      <c r="I50" s="18">
        <f t="shared" si="5"/>
        <v>0</v>
      </c>
      <c r="J50" s="45">
        <f t="shared" si="3"/>
        <v>0</v>
      </c>
      <c r="K50"/>
      <c r="L50" s="37">
        <f t="shared" si="6"/>
        <v>0</v>
      </c>
      <c r="M50" s="12"/>
      <c r="N50" s="50">
        <f t="shared" si="4"/>
        <v>0</v>
      </c>
    </row>
    <row r="51" spans="1:14" ht="80.099999999999994" customHeight="1">
      <c r="A51" s="28" t="s">
        <v>9</v>
      </c>
      <c r="B51" s="33" t="s">
        <v>76</v>
      </c>
      <c r="C51" s="29" t="s">
        <v>215</v>
      </c>
      <c r="D51" s="30">
        <v>48</v>
      </c>
      <c r="E51" s="31">
        <v>49000</v>
      </c>
      <c r="F51" s="32">
        <v>22294.800000000003</v>
      </c>
      <c r="G51" s="40">
        <f t="shared" si="2"/>
        <v>16.637910447761197</v>
      </c>
      <c r="H51" s="18"/>
      <c r="I51" s="18">
        <f t="shared" si="5"/>
        <v>0</v>
      </c>
      <c r="J51" s="45">
        <f t="shared" si="3"/>
        <v>0</v>
      </c>
      <c r="K51"/>
      <c r="L51" s="37">
        <f t="shared" si="6"/>
        <v>0</v>
      </c>
      <c r="M51" s="12"/>
      <c r="N51" s="50">
        <f t="shared" si="4"/>
        <v>0</v>
      </c>
    </row>
    <row r="52" spans="1:14" ht="80.099999999999994" customHeight="1">
      <c r="A52" s="28">
        <v>8803463007294</v>
      </c>
      <c r="B52" s="33" t="s">
        <v>77</v>
      </c>
      <c r="C52" s="29" t="s">
        <v>228</v>
      </c>
      <c r="D52" s="30">
        <v>84</v>
      </c>
      <c r="E52" s="31">
        <v>12000</v>
      </c>
      <c r="F52" s="32">
        <v>5460.4000000000015</v>
      </c>
      <c r="G52" s="40">
        <f t="shared" si="2"/>
        <v>4.0749253731343291</v>
      </c>
      <c r="H52" s="18"/>
      <c r="I52" s="18">
        <f t="shared" si="5"/>
        <v>0</v>
      </c>
      <c r="J52" s="45">
        <f t="shared" si="3"/>
        <v>0</v>
      </c>
      <c r="K52"/>
      <c r="L52" s="37">
        <f t="shared" si="6"/>
        <v>0</v>
      </c>
      <c r="M52" s="12"/>
      <c r="N52" s="50">
        <f t="shared" si="4"/>
        <v>0</v>
      </c>
    </row>
    <row r="53" spans="1:14" ht="80.099999999999994" customHeight="1">
      <c r="A53" s="28">
        <v>8803463007300</v>
      </c>
      <c r="B53" s="33" t="s">
        <v>78</v>
      </c>
      <c r="C53" s="29" t="s">
        <v>228</v>
      </c>
      <c r="D53" s="30">
        <v>84</v>
      </c>
      <c r="E53" s="31">
        <v>13000</v>
      </c>
      <c r="F53" s="32">
        <v>5914.7000000000007</v>
      </c>
      <c r="G53" s="40">
        <f t="shared" si="2"/>
        <v>4.4139552238805972</v>
      </c>
      <c r="H53" s="18"/>
      <c r="I53" s="18">
        <f t="shared" si="5"/>
        <v>0</v>
      </c>
      <c r="J53" s="45">
        <f t="shared" si="3"/>
        <v>0</v>
      </c>
      <c r="K53"/>
      <c r="L53" s="37">
        <f t="shared" si="6"/>
        <v>0</v>
      </c>
      <c r="M53" s="12"/>
      <c r="N53" s="50">
        <f t="shared" si="4"/>
        <v>0</v>
      </c>
    </row>
    <row r="54" spans="1:14" ht="80.099999999999994" customHeight="1">
      <c r="A54" s="28" t="s">
        <v>10</v>
      </c>
      <c r="B54" s="33" t="s">
        <v>79</v>
      </c>
      <c r="C54" s="29" t="s">
        <v>228</v>
      </c>
      <c r="D54" s="30">
        <v>84</v>
      </c>
      <c r="E54" s="31">
        <v>14000</v>
      </c>
      <c r="F54" s="32">
        <v>6370.1000000000013</v>
      </c>
      <c r="G54" s="40">
        <f t="shared" si="2"/>
        <v>4.753805970149255</v>
      </c>
      <c r="H54" s="18"/>
      <c r="I54" s="18">
        <f t="shared" si="5"/>
        <v>0</v>
      </c>
      <c r="J54" s="45">
        <f t="shared" si="3"/>
        <v>0</v>
      </c>
      <c r="K54"/>
      <c r="L54" s="37">
        <f t="shared" si="6"/>
        <v>0</v>
      </c>
      <c r="M54" s="12"/>
      <c r="N54" s="50">
        <f t="shared" si="4"/>
        <v>0</v>
      </c>
    </row>
    <row r="55" spans="1:14" ht="80.099999999999994" customHeight="1">
      <c r="A55" s="28" t="s">
        <v>11</v>
      </c>
      <c r="B55" s="34" t="s">
        <v>80</v>
      </c>
      <c r="C55" s="29" t="s">
        <v>228</v>
      </c>
      <c r="D55" s="30">
        <v>84</v>
      </c>
      <c r="E55" s="31">
        <v>14000</v>
      </c>
      <c r="F55" s="32">
        <v>6370.1000000000013</v>
      </c>
      <c r="G55" s="40">
        <f t="shared" si="2"/>
        <v>4.753805970149255</v>
      </c>
      <c r="H55" s="18"/>
      <c r="I55" s="18">
        <f t="shared" si="5"/>
        <v>0</v>
      </c>
      <c r="J55" s="45">
        <f t="shared" si="3"/>
        <v>0</v>
      </c>
      <c r="K55"/>
      <c r="L55" s="37">
        <f t="shared" si="6"/>
        <v>0</v>
      </c>
      <c r="M55" s="12"/>
      <c r="N55" s="50">
        <f t="shared" si="4"/>
        <v>0</v>
      </c>
    </row>
    <row r="56" spans="1:14" ht="80.099999999999994" customHeight="1">
      <c r="A56" s="28" t="s">
        <v>12</v>
      </c>
      <c r="B56" s="33" t="s">
        <v>81</v>
      </c>
      <c r="C56" s="29" t="s">
        <v>228</v>
      </c>
      <c r="D56" s="30">
        <v>84</v>
      </c>
      <c r="E56" s="31">
        <v>14000</v>
      </c>
      <c r="F56" s="32">
        <v>6370.1000000000013</v>
      </c>
      <c r="G56" s="40">
        <f t="shared" si="2"/>
        <v>4.753805970149255</v>
      </c>
      <c r="H56" s="18"/>
      <c r="I56" s="18">
        <f t="shared" si="5"/>
        <v>0</v>
      </c>
      <c r="J56" s="45">
        <f t="shared" si="3"/>
        <v>0</v>
      </c>
      <c r="K56"/>
      <c r="L56" s="37">
        <f t="shared" si="6"/>
        <v>0</v>
      </c>
      <c r="M56" s="12"/>
      <c r="N56" s="50">
        <f t="shared" si="4"/>
        <v>0</v>
      </c>
    </row>
    <row r="57" spans="1:14" ht="80.099999999999994" customHeight="1">
      <c r="A57" s="28" t="s">
        <v>13</v>
      </c>
      <c r="B57" s="33" t="s">
        <v>82</v>
      </c>
      <c r="C57" s="29" t="s">
        <v>228</v>
      </c>
      <c r="D57" s="30">
        <v>84</v>
      </c>
      <c r="E57" s="31">
        <v>14000</v>
      </c>
      <c r="F57" s="32">
        <v>6370.1000000000013</v>
      </c>
      <c r="G57" s="40">
        <f t="shared" si="2"/>
        <v>4.753805970149255</v>
      </c>
      <c r="H57" s="18"/>
      <c r="I57" s="18">
        <f t="shared" si="5"/>
        <v>0</v>
      </c>
      <c r="J57" s="45">
        <f t="shared" si="3"/>
        <v>0</v>
      </c>
      <c r="K57"/>
      <c r="L57" s="37">
        <f t="shared" si="6"/>
        <v>0</v>
      </c>
      <c r="M57" s="12"/>
      <c r="N57" s="50">
        <f t="shared" si="4"/>
        <v>0</v>
      </c>
    </row>
    <row r="58" spans="1:14" ht="80.099999999999994" customHeight="1">
      <c r="A58" s="28">
        <v>8803463009328</v>
      </c>
      <c r="B58" s="33" t="s">
        <v>83</v>
      </c>
      <c r="C58" s="29" t="s">
        <v>228</v>
      </c>
      <c r="D58" s="30">
        <v>84</v>
      </c>
      <c r="E58" s="31">
        <v>13000</v>
      </c>
      <c r="F58" s="32">
        <v>5914.7000000000007</v>
      </c>
      <c r="G58" s="40">
        <f t="shared" si="2"/>
        <v>4.4139552238805972</v>
      </c>
      <c r="H58" s="18"/>
      <c r="I58" s="18">
        <f t="shared" si="5"/>
        <v>0</v>
      </c>
      <c r="J58" s="45">
        <f t="shared" si="3"/>
        <v>0</v>
      </c>
      <c r="K58"/>
      <c r="L58" s="37">
        <f t="shared" si="6"/>
        <v>0</v>
      </c>
      <c r="M58" s="12"/>
      <c r="N58" s="50">
        <f t="shared" si="4"/>
        <v>0</v>
      </c>
    </row>
    <row r="59" spans="1:14" ht="80.099999999999994" customHeight="1">
      <c r="A59" s="28" t="s">
        <v>14</v>
      </c>
      <c r="B59" s="33" t="s">
        <v>84</v>
      </c>
      <c r="C59" s="29" t="s">
        <v>229</v>
      </c>
      <c r="D59" s="30">
        <v>400</v>
      </c>
      <c r="E59" s="31">
        <v>3000</v>
      </c>
      <c r="F59" s="32">
        <v>1365.1000000000004</v>
      </c>
      <c r="G59" s="40">
        <f t="shared" si="2"/>
        <v>1.0187313432835823</v>
      </c>
      <c r="H59" s="18"/>
      <c r="I59" s="18">
        <f t="shared" si="5"/>
        <v>0</v>
      </c>
      <c r="J59" s="45">
        <f t="shared" si="3"/>
        <v>0</v>
      </c>
      <c r="K59"/>
      <c r="L59" s="37">
        <f t="shared" si="6"/>
        <v>0</v>
      </c>
      <c r="M59" s="12"/>
      <c r="N59" s="50">
        <f t="shared" si="4"/>
        <v>0</v>
      </c>
    </row>
    <row r="60" spans="1:14" ht="80.099999999999994" customHeight="1">
      <c r="A60" s="28" t="s">
        <v>15</v>
      </c>
      <c r="B60" s="33" t="s">
        <v>85</v>
      </c>
      <c r="C60" s="29" t="s">
        <v>229</v>
      </c>
      <c r="D60" s="30">
        <v>400</v>
      </c>
      <c r="E60" s="31">
        <v>3500</v>
      </c>
      <c r="F60" s="32">
        <v>1592.8000000000002</v>
      </c>
      <c r="G60" s="40">
        <f t="shared" si="2"/>
        <v>1.1886567164179105</v>
      </c>
      <c r="H60" s="18"/>
      <c r="I60" s="18">
        <f t="shared" si="5"/>
        <v>0</v>
      </c>
      <c r="J60" s="45">
        <f t="shared" si="3"/>
        <v>0</v>
      </c>
      <c r="K60"/>
      <c r="L60" s="37">
        <f t="shared" si="6"/>
        <v>0</v>
      </c>
      <c r="M60" s="12"/>
      <c r="N60" s="50">
        <f t="shared" si="4"/>
        <v>0</v>
      </c>
    </row>
    <row r="61" spans="1:14" ht="80.099999999999994" customHeight="1">
      <c r="A61" s="28" t="s">
        <v>16</v>
      </c>
      <c r="B61" s="33" t="s">
        <v>86</v>
      </c>
      <c r="C61" s="29" t="s">
        <v>229</v>
      </c>
      <c r="D61" s="30">
        <v>400</v>
      </c>
      <c r="E61" s="31">
        <v>4500</v>
      </c>
      <c r="F61" s="32">
        <v>2047.1000000000004</v>
      </c>
      <c r="G61" s="40">
        <f t="shared" si="2"/>
        <v>1.5276865671641793</v>
      </c>
      <c r="H61" s="18"/>
      <c r="I61" s="18">
        <f t="shared" si="5"/>
        <v>0</v>
      </c>
      <c r="J61" s="45">
        <f t="shared" si="3"/>
        <v>0</v>
      </c>
      <c r="K61"/>
      <c r="L61" s="37">
        <f t="shared" si="6"/>
        <v>0</v>
      </c>
      <c r="M61" s="12"/>
      <c r="N61" s="50">
        <f t="shared" si="4"/>
        <v>0</v>
      </c>
    </row>
    <row r="62" spans="1:14" ht="80.099999999999994" customHeight="1">
      <c r="A62" s="28">
        <v>8803463010188</v>
      </c>
      <c r="B62" s="33" t="s">
        <v>87</v>
      </c>
      <c r="C62" s="29" t="s">
        <v>230</v>
      </c>
      <c r="D62" s="30">
        <v>42</v>
      </c>
      <c r="E62" s="31">
        <v>15000</v>
      </c>
      <c r="F62" s="32">
        <v>6825.5000000000009</v>
      </c>
      <c r="G62" s="40">
        <f t="shared" si="2"/>
        <v>5.093656716417911</v>
      </c>
      <c r="H62" s="18"/>
      <c r="I62" s="18">
        <f t="shared" si="5"/>
        <v>0</v>
      </c>
      <c r="J62" s="45">
        <f t="shared" si="3"/>
        <v>0</v>
      </c>
      <c r="K62"/>
      <c r="L62" s="37">
        <f t="shared" si="6"/>
        <v>0</v>
      </c>
      <c r="M62" s="12"/>
      <c r="N62" s="50">
        <f t="shared" si="4"/>
        <v>0</v>
      </c>
    </row>
    <row r="63" spans="1:14" ht="80.099999999999994" customHeight="1">
      <c r="A63" s="28">
        <v>8803463010195</v>
      </c>
      <c r="B63" s="35" t="s">
        <v>88</v>
      </c>
      <c r="C63" s="29" t="s">
        <v>230</v>
      </c>
      <c r="D63" s="30">
        <v>64</v>
      </c>
      <c r="E63" s="31">
        <v>17000</v>
      </c>
      <c r="F63" s="32">
        <v>7735.2000000000007</v>
      </c>
      <c r="G63" s="40">
        <f t="shared" si="2"/>
        <v>5.7725373134328359</v>
      </c>
      <c r="H63" s="18"/>
      <c r="I63" s="18">
        <f t="shared" si="5"/>
        <v>0</v>
      </c>
      <c r="J63" s="45">
        <f t="shared" si="3"/>
        <v>0</v>
      </c>
      <c r="K63"/>
      <c r="L63" s="37">
        <f t="shared" si="6"/>
        <v>0</v>
      </c>
      <c r="M63" s="12"/>
      <c r="N63" s="50">
        <f t="shared" si="4"/>
        <v>0</v>
      </c>
    </row>
    <row r="64" spans="1:14" ht="80.099999999999994" customHeight="1">
      <c r="A64" s="28">
        <v>8803463010027</v>
      </c>
      <c r="B64" s="35" t="s">
        <v>89</v>
      </c>
      <c r="C64" s="29" t="s">
        <v>225</v>
      </c>
      <c r="D64" s="30">
        <v>400</v>
      </c>
      <c r="E64" s="31">
        <v>3500</v>
      </c>
      <c r="F64" s="32">
        <v>1592.8000000000002</v>
      </c>
      <c r="G64" s="40">
        <f t="shared" si="2"/>
        <v>1.1886567164179105</v>
      </c>
      <c r="H64" s="18"/>
      <c r="I64" s="18">
        <f t="shared" si="5"/>
        <v>0</v>
      </c>
      <c r="J64" s="45">
        <f t="shared" si="3"/>
        <v>0</v>
      </c>
      <c r="K64"/>
      <c r="L64" s="37">
        <f t="shared" si="6"/>
        <v>0</v>
      </c>
      <c r="M64" s="12"/>
      <c r="N64" s="50">
        <f t="shared" si="4"/>
        <v>0</v>
      </c>
    </row>
    <row r="65" spans="1:14" ht="80.099999999999994" customHeight="1">
      <c r="A65" s="28">
        <v>8803463010072</v>
      </c>
      <c r="B65" s="35" t="s">
        <v>90</v>
      </c>
      <c r="C65" s="29" t="s">
        <v>225</v>
      </c>
      <c r="D65" s="30">
        <v>400</v>
      </c>
      <c r="E65" s="31">
        <v>4000</v>
      </c>
      <c r="F65" s="32">
        <v>1820.5000000000002</v>
      </c>
      <c r="G65" s="40">
        <f t="shared" si="2"/>
        <v>1.3585820895522389</v>
      </c>
      <c r="H65" s="18"/>
      <c r="I65" s="18">
        <f t="shared" si="5"/>
        <v>0</v>
      </c>
      <c r="J65" s="45">
        <f t="shared" si="3"/>
        <v>0</v>
      </c>
      <c r="K65"/>
      <c r="L65" s="37">
        <f t="shared" si="6"/>
        <v>0</v>
      </c>
      <c r="M65" s="12"/>
      <c r="N65" s="50">
        <f t="shared" si="4"/>
        <v>0</v>
      </c>
    </row>
    <row r="66" spans="1:14" ht="80.099999999999994" customHeight="1">
      <c r="A66" s="28">
        <v>8803463010089</v>
      </c>
      <c r="B66" s="35" t="s">
        <v>91</v>
      </c>
      <c r="C66" s="29" t="s">
        <v>229</v>
      </c>
      <c r="D66" s="30">
        <v>400</v>
      </c>
      <c r="E66" s="31">
        <v>5000</v>
      </c>
      <c r="F66" s="32">
        <v>2274.8000000000002</v>
      </c>
      <c r="G66" s="40">
        <f t="shared" si="2"/>
        <v>1.6976119402985077</v>
      </c>
      <c r="H66" s="18"/>
      <c r="I66" s="18">
        <f t="shared" si="5"/>
        <v>0</v>
      </c>
      <c r="J66" s="45">
        <f t="shared" si="3"/>
        <v>0</v>
      </c>
      <c r="K66"/>
      <c r="L66" s="37">
        <f t="shared" si="6"/>
        <v>0</v>
      </c>
      <c r="M66" s="12"/>
      <c r="N66" s="50">
        <f t="shared" si="4"/>
        <v>0</v>
      </c>
    </row>
    <row r="67" spans="1:14" ht="80.099999999999994" customHeight="1">
      <c r="A67" s="28">
        <v>8803463004637</v>
      </c>
      <c r="B67" s="35" t="s">
        <v>92</v>
      </c>
      <c r="C67" s="29" t="s">
        <v>231</v>
      </c>
      <c r="D67" s="30">
        <v>48</v>
      </c>
      <c r="E67" s="31">
        <v>35000</v>
      </c>
      <c r="F67" s="32">
        <v>15924.700000000003</v>
      </c>
      <c r="G67" s="40">
        <f t="shared" si="2"/>
        <v>11.884104477611942</v>
      </c>
      <c r="H67" s="18"/>
      <c r="I67" s="18">
        <f t="shared" si="5"/>
        <v>0</v>
      </c>
      <c r="J67" s="45">
        <f t="shared" si="3"/>
        <v>0</v>
      </c>
      <c r="K67"/>
      <c r="L67" s="37">
        <f t="shared" si="6"/>
        <v>0</v>
      </c>
      <c r="M67" s="12"/>
      <c r="N67" s="50">
        <f t="shared" si="4"/>
        <v>0</v>
      </c>
    </row>
    <row r="68" spans="1:14" ht="80.099999999999994" customHeight="1">
      <c r="A68" s="28">
        <v>8803463004552</v>
      </c>
      <c r="B68" s="35" t="s">
        <v>93</v>
      </c>
      <c r="C68" s="29" t="s">
        <v>232</v>
      </c>
      <c r="D68" s="30">
        <v>96</v>
      </c>
      <c r="E68" s="31">
        <v>32000</v>
      </c>
      <c r="F68" s="32">
        <v>14559.6</v>
      </c>
      <c r="G68" s="40">
        <f t="shared" si="2"/>
        <v>10.865373134328358</v>
      </c>
      <c r="H68" s="18"/>
      <c r="I68" s="18">
        <f t="shared" si="5"/>
        <v>0</v>
      </c>
      <c r="J68" s="45">
        <f t="shared" si="3"/>
        <v>0</v>
      </c>
      <c r="K68"/>
      <c r="L68" s="37">
        <f t="shared" si="6"/>
        <v>0</v>
      </c>
      <c r="M68" s="12"/>
      <c r="N68" s="50">
        <f t="shared" si="4"/>
        <v>0</v>
      </c>
    </row>
    <row r="69" spans="1:14" ht="80.099999999999994" customHeight="1">
      <c r="A69" s="28">
        <v>8803463006242</v>
      </c>
      <c r="B69" s="33" t="s">
        <v>94</v>
      </c>
      <c r="C69" s="29" t="s">
        <v>233</v>
      </c>
      <c r="D69" s="30">
        <v>12</v>
      </c>
      <c r="E69" s="31">
        <v>26000</v>
      </c>
      <c r="F69" s="32">
        <v>12610.400000000001</v>
      </c>
      <c r="G69" s="40">
        <f t="shared" si="2"/>
        <v>9.4107462686567178</v>
      </c>
      <c r="H69" s="18"/>
      <c r="I69" s="18">
        <f t="shared" si="5"/>
        <v>0</v>
      </c>
      <c r="J69" s="45">
        <f t="shared" si="3"/>
        <v>0</v>
      </c>
      <c r="K69"/>
      <c r="L69" s="37">
        <f t="shared" si="6"/>
        <v>0</v>
      </c>
      <c r="M69" s="12"/>
      <c r="N69" s="50">
        <f t="shared" si="4"/>
        <v>0</v>
      </c>
    </row>
    <row r="70" spans="1:14" ht="80.099999999999994" customHeight="1">
      <c r="A70" s="28">
        <v>8809695679520</v>
      </c>
      <c r="B70" s="33" t="s">
        <v>95</v>
      </c>
      <c r="C70" s="29" t="s">
        <v>234</v>
      </c>
      <c r="D70" s="30">
        <v>60</v>
      </c>
      <c r="E70" s="31">
        <v>38000</v>
      </c>
      <c r="F70" s="32">
        <v>17289.800000000003</v>
      </c>
      <c r="G70" s="40">
        <f t="shared" si="2"/>
        <v>12.902835820895525</v>
      </c>
      <c r="H70" s="18"/>
      <c r="I70" s="18">
        <f t="shared" ref="I70:I101" si="7">H70*D70</f>
        <v>0</v>
      </c>
      <c r="J70" s="45">
        <f t="shared" si="3"/>
        <v>0</v>
      </c>
      <c r="K70"/>
      <c r="L70" s="37">
        <f t="shared" ref="L70:L101" si="8">M70/D70</f>
        <v>0</v>
      </c>
      <c r="M70" s="12"/>
      <c r="N70" s="50">
        <f t="shared" si="4"/>
        <v>0</v>
      </c>
    </row>
    <row r="71" spans="1:14" ht="80.099999999999994" customHeight="1">
      <c r="A71" s="28">
        <v>8809695679537</v>
      </c>
      <c r="B71" s="33" t="s">
        <v>96</v>
      </c>
      <c r="C71" s="29" t="s">
        <v>231</v>
      </c>
      <c r="D71" s="30">
        <v>96</v>
      </c>
      <c r="E71" s="31">
        <v>42000</v>
      </c>
      <c r="F71" s="32">
        <v>19110.300000000003</v>
      </c>
      <c r="G71" s="40">
        <f t="shared" ref="G71:G134" si="9">F71/1340</f>
        <v>14.261417910447763</v>
      </c>
      <c r="H71" s="18"/>
      <c r="I71" s="18">
        <f t="shared" si="7"/>
        <v>0</v>
      </c>
      <c r="J71" s="45">
        <f t="shared" ref="J71:J134" si="10">G71*I71</f>
        <v>0</v>
      </c>
      <c r="K71"/>
      <c r="L71" s="37">
        <f t="shared" si="8"/>
        <v>0</v>
      </c>
      <c r="M71" s="12"/>
      <c r="N71" s="50">
        <f t="shared" ref="N71:N134" si="11">G71*M71</f>
        <v>0</v>
      </c>
    </row>
    <row r="72" spans="1:14" ht="80.099999999999994" customHeight="1">
      <c r="A72" s="28">
        <v>8809695679544</v>
      </c>
      <c r="B72" s="33" t="s">
        <v>97</v>
      </c>
      <c r="C72" s="29" t="s">
        <v>232</v>
      </c>
      <c r="D72" s="30">
        <v>96</v>
      </c>
      <c r="E72" s="31">
        <v>32000</v>
      </c>
      <c r="F72" s="32">
        <v>14559.6</v>
      </c>
      <c r="G72" s="40">
        <f t="shared" si="9"/>
        <v>10.865373134328358</v>
      </c>
      <c r="H72" s="18"/>
      <c r="I72" s="18">
        <f t="shared" si="7"/>
        <v>0</v>
      </c>
      <c r="J72" s="45">
        <f t="shared" si="10"/>
        <v>0</v>
      </c>
      <c r="K72"/>
      <c r="L72" s="37">
        <f t="shared" si="8"/>
        <v>0</v>
      </c>
      <c r="M72" s="12"/>
      <c r="N72" s="50">
        <f t="shared" si="11"/>
        <v>0</v>
      </c>
    </row>
    <row r="73" spans="1:14" ht="80.099999999999994" customHeight="1">
      <c r="A73" s="28">
        <v>8803463006587</v>
      </c>
      <c r="B73" s="33" t="s">
        <v>98</v>
      </c>
      <c r="C73" s="29" t="s">
        <v>235</v>
      </c>
      <c r="D73" s="30">
        <v>300</v>
      </c>
      <c r="E73" s="31">
        <v>4000</v>
      </c>
      <c r="F73" s="32">
        <v>1820.5000000000002</v>
      </c>
      <c r="G73" s="40">
        <f t="shared" si="9"/>
        <v>1.3585820895522389</v>
      </c>
      <c r="H73" s="18"/>
      <c r="I73" s="18">
        <f t="shared" si="7"/>
        <v>0</v>
      </c>
      <c r="J73" s="45">
        <f t="shared" si="10"/>
        <v>0</v>
      </c>
      <c r="K73"/>
      <c r="L73" s="37">
        <f t="shared" si="8"/>
        <v>0</v>
      </c>
      <c r="M73" s="12"/>
      <c r="N73" s="50">
        <f t="shared" si="11"/>
        <v>0</v>
      </c>
    </row>
    <row r="74" spans="1:14" ht="80.099999999999994" customHeight="1">
      <c r="A74" s="28" t="s">
        <v>17</v>
      </c>
      <c r="B74" s="33" t="s">
        <v>99</v>
      </c>
      <c r="C74" s="29" t="s">
        <v>236</v>
      </c>
      <c r="D74" s="30">
        <v>200</v>
      </c>
      <c r="E74" s="31">
        <v>6000</v>
      </c>
      <c r="F74" s="32">
        <v>2730.2000000000007</v>
      </c>
      <c r="G74" s="40">
        <f t="shared" si="9"/>
        <v>2.0374626865671646</v>
      </c>
      <c r="H74" s="18"/>
      <c r="I74" s="18">
        <f t="shared" si="7"/>
        <v>0</v>
      </c>
      <c r="J74" s="45">
        <f t="shared" si="10"/>
        <v>0</v>
      </c>
      <c r="K74"/>
      <c r="L74" s="37">
        <f t="shared" si="8"/>
        <v>0</v>
      </c>
      <c r="M74" s="12"/>
      <c r="N74" s="50">
        <f t="shared" si="11"/>
        <v>0</v>
      </c>
    </row>
    <row r="75" spans="1:14" ht="80.099999999999994" customHeight="1">
      <c r="A75" s="28" t="s">
        <v>18</v>
      </c>
      <c r="B75" s="33" t="s">
        <v>100</v>
      </c>
      <c r="C75" s="29" t="s">
        <v>236</v>
      </c>
      <c r="D75" s="30">
        <v>200</v>
      </c>
      <c r="E75" s="31">
        <v>6000</v>
      </c>
      <c r="F75" s="32">
        <v>2730.2000000000007</v>
      </c>
      <c r="G75" s="40">
        <f t="shared" si="9"/>
        <v>2.0374626865671646</v>
      </c>
      <c r="H75" s="18"/>
      <c r="I75" s="18">
        <f t="shared" si="7"/>
        <v>0</v>
      </c>
      <c r="J75" s="45">
        <f t="shared" si="10"/>
        <v>0</v>
      </c>
      <c r="K75"/>
      <c r="L75" s="37">
        <f t="shared" si="8"/>
        <v>0</v>
      </c>
      <c r="M75" s="12"/>
      <c r="N75" s="50">
        <f t="shared" si="11"/>
        <v>0</v>
      </c>
    </row>
    <row r="76" spans="1:14" ht="80.099999999999994" customHeight="1">
      <c r="A76" s="28" t="s">
        <v>19</v>
      </c>
      <c r="B76" s="33" t="s">
        <v>101</v>
      </c>
      <c r="C76" s="29" t="s">
        <v>236</v>
      </c>
      <c r="D76" s="30">
        <v>200</v>
      </c>
      <c r="E76" s="31">
        <v>6000</v>
      </c>
      <c r="F76" s="32">
        <v>2730.2000000000007</v>
      </c>
      <c r="G76" s="40">
        <f t="shared" si="9"/>
        <v>2.0374626865671646</v>
      </c>
      <c r="H76" s="18"/>
      <c r="I76" s="18">
        <f t="shared" si="7"/>
        <v>0</v>
      </c>
      <c r="J76" s="45">
        <f t="shared" si="10"/>
        <v>0</v>
      </c>
      <c r="K76"/>
      <c r="L76" s="37">
        <f t="shared" si="8"/>
        <v>0</v>
      </c>
      <c r="M76" s="12"/>
      <c r="N76" s="50">
        <f t="shared" si="11"/>
        <v>0</v>
      </c>
    </row>
    <row r="77" spans="1:14" ht="80.099999999999994" customHeight="1">
      <c r="A77" s="28" t="s">
        <v>20</v>
      </c>
      <c r="B77" s="33" t="s">
        <v>102</v>
      </c>
      <c r="C77" s="29" t="s">
        <v>236</v>
      </c>
      <c r="D77" s="30">
        <v>200</v>
      </c>
      <c r="E77" s="31">
        <v>6000</v>
      </c>
      <c r="F77" s="32">
        <v>2730.2000000000007</v>
      </c>
      <c r="G77" s="40">
        <f t="shared" si="9"/>
        <v>2.0374626865671646</v>
      </c>
      <c r="H77" s="18"/>
      <c r="I77" s="18">
        <f t="shared" si="7"/>
        <v>0</v>
      </c>
      <c r="J77" s="45">
        <f t="shared" si="10"/>
        <v>0</v>
      </c>
      <c r="K77"/>
      <c r="L77" s="37">
        <f t="shared" si="8"/>
        <v>0</v>
      </c>
      <c r="M77" s="12"/>
      <c r="N77" s="50">
        <f t="shared" si="11"/>
        <v>0</v>
      </c>
    </row>
    <row r="78" spans="1:14" ht="80.099999999999994" customHeight="1">
      <c r="A78" s="28" t="s">
        <v>21</v>
      </c>
      <c r="B78" s="33" t="s">
        <v>103</v>
      </c>
      <c r="C78" s="29" t="s">
        <v>236</v>
      </c>
      <c r="D78" s="30">
        <v>200</v>
      </c>
      <c r="E78" s="31">
        <v>6000</v>
      </c>
      <c r="F78" s="32">
        <v>2730.2000000000007</v>
      </c>
      <c r="G78" s="40">
        <f t="shared" si="9"/>
        <v>2.0374626865671646</v>
      </c>
      <c r="H78" s="18"/>
      <c r="I78" s="18">
        <f t="shared" si="7"/>
        <v>0</v>
      </c>
      <c r="J78" s="45">
        <f t="shared" si="10"/>
        <v>0</v>
      </c>
      <c r="K78"/>
      <c r="L78" s="37">
        <f t="shared" si="8"/>
        <v>0</v>
      </c>
      <c r="M78" s="12"/>
      <c r="N78" s="50">
        <f t="shared" si="11"/>
        <v>0</v>
      </c>
    </row>
    <row r="79" spans="1:14" ht="80.099999999999994" customHeight="1">
      <c r="A79" s="28" t="s">
        <v>22</v>
      </c>
      <c r="B79" s="33" t="s">
        <v>104</v>
      </c>
      <c r="C79" s="29" t="s">
        <v>237</v>
      </c>
      <c r="D79" s="30">
        <v>200</v>
      </c>
      <c r="E79" s="31">
        <v>6000</v>
      </c>
      <c r="F79" s="32">
        <v>2730.2000000000007</v>
      </c>
      <c r="G79" s="40">
        <f t="shared" si="9"/>
        <v>2.0374626865671646</v>
      </c>
      <c r="H79" s="18"/>
      <c r="I79" s="18">
        <f t="shared" si="7"/>
        <v>0</v>
      </c>
      <c r="J79" s="45">
        <f t="shared" si="10"/>
        <v>0</v>
      </c>
      <c r="K79"/>
      <c r="L79" s="37">
        <f t="shared" si="8"/>
        <v>0</v>
      </c>
      <c r="M79" s="12"/>
      <c r="N79" s="50">
        <f t="shared" si="11"/>
        <v>0</v>
      </c>
    </row>
    <row r="80" spans="1:14" ht="80.099999999999994" customHeight="1">
      <c r="A80" s="28">
        <v>8803463009847</v>
      </c>
      <c r="B80" s="33" t="s">
        <v>105</v>
      </c>
      <c r="C80" s="29" t="s">
        <v>238</v>
      </c>
      <c r="D80" s="30">
        <v>39</v>
      </c>
      <c r="E80" s="31">
        <v>24000</v>
      </c>
      <c r="F80" s="32">
        <v>10919.7</v>
      </c>
      <c r="G80" s="40">
        <f t="shared" si="9"/>
        <v>8.1490298507462686</v>
      </c>
      <c r="H80" s="18"/>
      <c r="I80" s="18">
        <f t="shared" si="7"/>
        <v>0</v>
      </c>
      <c r="J80" s="45">
        <f t="shared" si="10"/>
        <v>0</v>
      </c>
      <c r="K80"/>
      <c r="L80" s="37">
        <f t="shared" si="8"/>
        <v>0</v>
      </c>
      <c r="M80" s="12"/>
      <c r="N80" s="50">
        <f t="shared" si="11"/>
        <v>0</v>
      </c>
    </row>
    <row r="81" spans="1:14" ht="80.099999999999994" customHeight="1">
      <c r="A81" s="28">
        <v>8803463009885</v>
      </c>
      <c r="B81" s="33" t="s">
        <v>106</v>
      </c>
      <c r="C81" s="29" t="s">
        <v>238</v>
      </c>
      <c r="D81" s="30">
        <v>39</v>
      </c>
      <c r="E81" s="31">
        <v>24000</v>
      </c>
      <c r="F81" s="32">
        <v>10919.7</v>
      </c>
      <c r="G81" s="40">
        <f t="shared" si="9"/>
        <v>8.1490298507462686</v>
      </c>
      <c r="H81" s="18"/>
      <c r="I81" s="18">
        <f t="shared" si="7"/>
        <v>0</v>
      </c>
      <c r="J81" s="45">
        <f t="shared" si="10"/>
        <v>0</v>
      </c>
      <c r="K81"/>
      <c r="L81" s="37">
        <f t="shared" si="8"/>
        <v>0</v>
      </c>
      <c r="M81" s="12"/>
      <c r="N81" s="50">
        <f t="shared" si="11"/>
        <v>0</v>
      </c>
    </row>
    <row r="82" spans="1:14" ht="80.099999999999994" customHeight="1">
      <c r="A82" s="28">
        <v>8803463009861</v>
      </c>
      <c r="B82" s="33" t="s">
        <v>107</v>
      </c>
      <c r="C82" s="29" t="s">
        <v>238</v>
      </c>
      <c r="D82" s="30">
        <v>39</v>
      </c>
      <c r="E82" s="31">
        <v>24000</v>
      </c>
      <c r="F82" s="32">
        <v>10919.7</v>
      </c>
      <c r="G82" s="40">
        <f t="shared" si="9"/>
        <v>8.1490298507462686</v>
      </c>
      <c r="H82" s="18"/>
      <c r="I82" s="18">
        <f t="shared" si="7"/>
        <v>0</v>
      </c>
      <c r="J82" s="45">
        <f t="shared" si="10"/>
        <v>0</v>
      </c>
      <c r="K82"/>
      <c r="L82" s="37">
        <f t="shared" si="8"/>
        <v>0</v>
      </c>
      <c r="M82" s="12"/>
      <c r="N82" s="50">
        <f t="shared" si="11"/>
        <v>0</v>
      </c>
    </row>
    <row r="83" spans="1:14" ht="80.099999999999994" customHeight="1">
      <c r="A83" s="28">
        <v>8803463009878</v>
      </c>
      <c r="B83" s="33" t="s">
        <v>108</v>
      </c>
      <c r="C83" s="29" t="s">
        <v>238</v>
      </c>
      <c r="D83" s="30">
        <v>39</v>
      </c>
      <c r="E83" s="31">
        <v>24000</v>
      </c>
      <c r="F83" s="32">
        <v>10919.7</v>
      </c>
      <c r="G83" s="40">
        <f t="shared" si="9"/>
        <v>8.1490298507462686</v>
      </c>
      <c r="H83" s="18"/>
      <c r="I83" s="18">
        <f t="shared" si="7"/>
        <v>0</v>
      </c>
      <c r="J83" s="45">
        <f t="shared" si="10"/>
        <v>0</v>
      </c>
      <c r="K83"/>
      <c r="L83" s="37">
        <f t="shared" si="8"/>
        <v>0</v>
      </c>
      <c r="M83" s="12"/>
      <c r="N83" s="50">
        <f t="shared" si="11"/>
        <v>0</v>
      </c>
    </row>
    <row r="84" spans="1:14" ht="80.099999999999994" customHeight="1">
      <c r="A84" s="28">
        <v>8803463009854</v>
      </c>
      <c r="B84" s="34" t="s">
        <v>109</v>
      </c>
      <c r="C84" s="29" t="s">
        <v>238</v>
      </c>
      <c r="D84" s="30">
        <v>39</v>
      </c>
      <c r="E84" s="31">
        <v>24000</v>
      </c>
      <c r="F84" s="32">
        <v>10919.7</v>
      </c>
      <c r="G84" s="40">
        <f t="shared" si="9"/>
        <v>8.1490298507462686</v>
      </c>
      <c r="H84" s="18"/>
      <c r="I84" s="18">
        <f t="shared" si="7"/>
        <v>0</v>
      </c>
      <c r="J84" s="45">
        <f t="shared" si="10"/>
        <v>0</v>
      </c>
      <c r="K84"/>
      <c r="L84" s="37">
        <f t="shared" si="8"/>
        <v>0</v>
      </c>
      <c r="M84" s="12"/>
      <c r="N84" s="50">
        <f t="shared" si="11"/>
        <v>0</v>
      </c>
    </row>
    <row r="85" spans="1:14" ht="80.099999999999994" customHeight="1">
      <c r="A85" s="28">
        <v>8803463009946</v>
      </c>
      <c r="B85" s="34" t="s">
        <v>110</v>
      </c>
      <c r="C85" s="29" t="s">
        <v>239</v>
      </c>
      <c r="D85" s="30">
        <v>39</v>
      </c>
      <c r="E85" s="31">
        <v>24000</v>
      </c>
      <c r="F85" s="32">
        <v>10919.7</v>
      </c>
      <c r="G85" s="40">
        <f t="shared" si="9"/>
        <v>8.1490298507462686</v>
      </c>
      <c r="H85" s="18"/>
      <c r="I85" s="18">
        <f t="shared" si="7"/>
        <v>0</v>
      </c>
      <c r="J85" s="45">
        <f t="shared" si="10"/>
        <v>0</v>
      </c>
      <c r="K85"/>
      <c r="L85" s="37">
        <f t="shared" si="8"/>
        <v>0</v>
      </c>
      <c r="M85" s="12"/>
      <c r="N85" s="50">
        <f t="shared" si="11"/>
        <v>0</v>
      </c>
    </row>
    <row r="86" spans="1:14" ht="80.099999999999994" customHeight="1">
      <c r="A86" s="28">
        <v>8803463006150</v>
      </c>
      <c r="B86" s="34" t="s">
        <v>111</v>
      </c>
      <c r="C86" s="29" t="s">
        <v>240</v>
      </c>
      <c r="D86" s="30">
        <v>180</v>
      </c>
      <c r="E86" s="31">
        <v>4000</v>
      </c>
      <c r="F86" s="32">
        <v>1820.5000000000002</v>
      </c>
      <c r="G86" s="40">
        <f t="shared" si="9"/>
        <v>1.3585820895522389</v>
      </c>
      <c r="H86" s="18"/>
      <c r="I86" s="18">
        <f t="shared" si="7"/>
        <v>0</v>
      </c>
      <c r="J86" s="45">
        <f t="shared" si="10"/>
        <v>0</v>
      </c>
      <c r="K86"/>
      <c r="L86" s="37">
        <f t="shared" si="8"/>
        <v>0</v>
      </c>
      <c r="M86" s="12"/>
      <c r="N86" s="50">
        <f t="shared" si="11"/>
        <v>0</v>
      </c>
    </row>
    <row r="87" spans="1:14" ht="80.099999999999994" customHeight="1">
      <c r="A87" s="28">
        <v>8803463006143</v>
      </c>
      <c r="B87" s="33" t="s">
        <v>112</v>
      </c>
      <c r="C87" s="29" t="s">
        <v>240</v>
      </c>
      <c r="D87" s="30">
        <v>180</v>
      </c>
      <c r="E87" s="31">
        <v>4000</v>
      </c>
      <c r="F87" s="32">
        <v>1820.5000000000002</v>
      </c>
      <c r="G87" s="40">
        <f t="shared" si="9"/>
        <v>1.3585820895522389</v>
      </c>
      <c r="H87" s="18"/>
      <c r="I87" s="18">
        <f t="shared" si="7"/>
        <v>0</v>
      </c>
      <c r="J87" s="45">
        <f t="shared" si="10"/>
        <v>0</v>
      </c>
      <c r="K87"/>
      <c r="L87" s="37">
        <f t="shared" si="8"/>
        <v>0</v>
      </c>
      <c r="M87" s="12"/>
      <c r="N87" s="50">
        <f t="shared" si="11"/>
        <v>0</v>
      </c>
    </row>
    <row r="88" spans="1:14" ht="80.099999999999994" customHeight="1">
      <c r="A88" s="28">
        <v>8803463006167</v>
      </c>
      <c r="B88" s="33" t="s">
        <v>113</v>
      </c>
      <c r="C88" s="29" t="s">
        <v>240</v>
      </c>
      <c r="D88" s="30">
        <v>180</v>
      </c>
      <c r="E88" s="31">
        <v>4000</v>
      </c>
      <c r="F88" s="32">
        <v>1820.5000000000002</v>
      </c>
      <c r="G88" s="40">
        <f t="shared" si="9"/>
        <v>1.3585820895522389</v>
      </c>
      <c r="H88" s="18"/>
      <c r="I88" s="18">
        <f t="shared" si="7"/>
        <v>0</v>
      </c>
      <c r="J88" s="45">
        <f t="shared" si="10"/>
        <v>0</v>
      </c>
      <c r="K88"/>
      <c r="L88" s="37">
        <f t="shared" si="8"/>
        <v>0</v>
      </c>
      <c r="M88" s="12"/>
      <c r="N88" s="50">
        <f t="shared" si="11"/>
        <v>0</v>
      </c>
    </row>
    <row r="89" spans="1:14" ht="80.099999999999994" customHeight="1">
      <c r="A89" s="28">
        <v>8803463006174</v>
      </c>
      <c r="B89" s="33" t="s">
        <v>114</v>
      </c>
      <c r="C89" s="29" t="s">
        <v>240</v>
      </c>
      <c r="D89" s="30">
        <v>180</v>
      </c>
      <c r="E89" s="31">
        <v>4000</v>
      </c>
      <c r="F89" s="32">
        <v>1820.5000000000002</v>
      </c>
      <c r="G89" s="40">
        <f t="shared" si="9"/>
        <v>1.3585820895522389</v>
      </c>
      <c r="H89" s="18"/>
      <c r="I89" s="18">
        <f t="shared" si="7"/>
        <v>0</v>
      </c>
      <c r="J89" s="45">
        <f t="shared" si="10"/>
        <v>0</v>
      </c>
      <c r="K89"/>
      <c r="L89" s="37">
        <f t="shared" si="8"/>
        <v>0</v>
      </c>
      <c r="M89" s="12"/>
      <c r="N89" s="50">
        <f t="shared" si="11"/>
        <v>0</v>
      </c>
    </row>
    <row r="90" spans="1:14" ht="80.099999999999994" customHeight="1">
      <c r="A90" s="28" t="s">
        <v>23</v>
      </c>
      <c r="B90" s="33" t="s">
        <v>115</v>
      </c>
      <c r="C90" s="29" t="s">
        <v>241</v>
      </c>
      <c r="D90" s="30">
        <v>96</v>
      </c>
      <c r="E90" s="31">
        <v>15000</v>
      </c>
      <c r="F90" s="32">
        <v>6825.5000000000009</v>
      </c>
      <c r="G90" s="40">
        <f t="shared" si="9"/>
        <v>5.093656716417911</v>
      </c>
      <c r="H90" s="18"/>
      <c r="I90" s="18">
        <f t="shared" si="7"/>
        <v>0</v>
      </c>
      <c r="J90" s="45">
        <f t="shared" si="10"/>
        <v>0</v>
      </c>
      <c r="K90"/>
      <c r="L90" s="37">
        <f t="shared" si="8"/>
        <v>0</v>
      </c>
      <c r="M90" s="12"/>
      <c r="N90" s="50">
        <f t="shared" si="11"/>
        <v>0</v>
      </c>
    </row>
    <row r="91" spans="1:14" ht="80.099999999999994" customHeight="1">
      <c r="A91" s="28" t="s">
        <v>24</v>
      </c>
      <c r="B91" s="33" t="s">
        <v>116</v>
      </c>
      <c r="C91" s="29" t="s">
        <v>241</v>
      </c>
      <c r="D91" s="30">
        <v>96</v>
      </c>
      <c r="E91" s="31">
        <v>17000</v>
      </c>
      <c r="F91" s="32">
        <v>7735.2000000000007</v>
      </c>
      <c r="G91" s="40">
        <f t="shared" si="9"/>
        <v>5.7725373134328359</v>
      </c>
      <c r="H91" s="18"/>
      <c r="I91" s="18">
        <f t="shared" si="7"/>
        <v>0</v>
      </c>
      <c r="J91" s="45">
        <f t="shared" si="10"/>
        <v>0</v>
      </c>
      <c r="K91"/>
      <c r="L91" s="37">
        <f t="shared" si="8"/>
        <v>0</v>
      </c>
      <c r="M91" s="12"/>
      <c r="N91" s="50">
        <f t="shared" si="11"/>
        <v>0</v>
      </c>
    </row>
    <row r="92" spans="1:14" ht="80.099999999999994" customHeight="1">
      <c r="A92" s="28" t="s">
        <v>25</v>
      </c>
      <c r="B92" s="33" t="s">
        <v>117</v>
      </c>
      <c r="C92" s="29" t="s">
        <v>242</v>
      </c>
      <c r="D92" s="30">
        <v>32</v>
      </c>
      <c r="E92" s="31">
        <v>28000</v>
      </c>
      <c r="F92" s="32">
        <v>12740.200000000003</v>
      </c>
      <c r="G92" s="40">
        <f t="shared" si="9"/>
        <v>9.50761194029851</v>
      </c>
      <c r="H92" s="18"/>
      <c r="I92" s="18">
        <f t="shared" si="7"/>
        <v>0</v>
      </c>
      <c r="J92" s="45">
        <f t="shared" si="10"/>
        <v>0</v>
      </c>
      <c r="K92"/>
      <c r="L92" s="37">
        <f t="shared" si="8"/>
        <v>0</v>
      </c>
      <c r="M92" s="12"/>
      <c r="N92" s="50">
        <f t="shared" si="11"/>
        <v>0</v>
      </c>
    </row>
    <row r="93" spans="1:14" ht="80.099999999999994" customHeight="1">
      <c r="A93" s="28">
        <v>8803463004286</v>
      </c>
      <c r="B93" s="33" t="s">
        <v>118</v>
      </c>
      <c r="C93" s="29" t="s">
        <v>221</v>
      </c>
      <c r="D93" s="30">
        <v>60</v>
      </c>
      <c r="E93" s="31">
        <v>45000</v>
      </c>
      <c r="F93" s="32">
        <v>20475.400000000001</v>
      </c>
      <c r="G93" s="40">
        <f t="shared" si="9"/>
        <v>15.280149253731345</v>
      </c>
      <c r="H93" s="18"/>
      <c r="I93" s="18">
        <f t="shared" si="7"/>
        <v>0</v>
      </c>
      <c r="J93" s="45">
        <f t="shared" si="10"/>
        <v>0</v>
      </c>
      <c r="K93"/>
      <c r="L93" s="37">
        <f t="shared" si="8"/>
        <v>0</v>
      </c>
      <c r="M93" s="12"/>
      <c r="N93" s="50">
        <f t="shared" si="11"/>
        <v>0</v>
      </c>
    </row>
    <row r="94" spans="1:14" ht="80.099999999999994" customHeight="1">
      <c r="A94" s="28">
        <v>8803463006853</v>
      </c>
      <c r="B94" s="33" t="s">
        <v>119</v>
      </c>
      <c r="C94" s="29" t="s">
        <v>231</v>
      </c>
      <c r="D94" s="30">
        <v>120</v>
      </c>
      <c r="E94" s="31">
        <v>58000</v>
      </c>
      <c r="F94" s="32">
        <v>26390.100000000006</v>
      </c>
      <c r="G94" s="40">
        <f t="shared" si="9"/>
        <v>19.694104477611944</v>
      </c>
      <c r="H94" s="18"/>
      <c r="I94" s="18">
        <f t="shared" si="7"/>
        <v>0</v>
      </c>
      <c r="J94" s="45">
        <f t="shared" si="10"/>
        <v>0</v>
      </c>
      <c r="K94"/>
      <c r="L94" s="37">
        <f t="shared" si="8"/>
        <v>0</v>
      </c>
      <c r="M94" s="12"/>
      <c r="N94" s="50">
        <f t="shared" si="11"/>
        <v>0</v>
      </c>
    </row>
    <row r="95" spans="1:14" ht="80.099999999999994" customHeight="1">
      <c r="A95" s="28">
        <v>8803463006860</v>
      </c>
      <c r="B95" s="34" t="s">
        <v>120</v>
      </c>
      <c r="C95" s="29" t="s">
        <v>231</v>
      </c>
      <c r="D95" s="30">
        <v>120</v>
      </c>
      <c r="E95" s="31">
        <v>68000</v>
      </c>
      <c r="F95" s="32">
        <v>30939.700000000004</v>
      </c>
      <c r="G95" s="40">
        <f t="shared" si="9"/>
        <v>23.089328358208959</v>
      </c>
      <c r="H95" s="18"/>
      <c r="I95" s="18">
        <f t="shared" si="7"/>
        <v>0</v>
      </c>
      <c r="J95" s="45">
        <f t="shared" si="10"/>
        <v>0</v>
      </c>
      <c r="K95"/>
      <c r="L95" s="37">
        <f t="shared" si="8"/>
        <v>0</v>
      </c>
      <c r="M95" s="12"/>
      <c r="N95" s="50">
        <f t="shared" si="11"/>
        <v>0</v>
      </c>
    </row>
    <row r="96" spans="1:14" ht="80.099999999999994" customHeight="1">
      <c r="A96" s="28">
        <v>8803463007065</v>
      </c>
      <c r="B96" s="34" t="s">
        <v>121</v>
      </c>
      <c r="C96" s="29" t="s">
        <v>231</v>
      </c>
      <c r="D96" s="30">
        <v>48</v>
      </c>
      <c r="E96" s="31">
        <v>68000</v>
      </c>
      <c r="F96" s="32">
        <v>30939.700000000004</v>
      </c>
      <c r="G96" s="40">
        <f t="shared" si="9"/>
        <v>23.089328358208959</v>
      </c>
      <c r="H96" s="18"/>
      <c r="I96" s="18">
        <f t="shared" si="7"/>
        <v>0</v>
      </c>
      <c r="J96" s="45">
        <f t="shared" si="10"/>
        <v>0</v>
      </c>
      <c r="K96"/>
      <c r="L96" s="37">
        <f t="shared" si="8"/>
        <v>0</v>
      </c>
      <c r="M96" s="12"/>
      <c r="N96" s="50">
        <f t="shared" si="11"/>
        <v>0</v>
      </c>
    </row>
    <row r="97" spans="1:14" ht="80.099999999999994" customHeight="1">
      <c r="A97" s="28">
        <v>8803463007287</v>
      </c>
      <c r="B97" s="34" t="s">
        <v>122</v>
      </c>
      <c r="C97" s="29" t="s">
        <v>243</v>
      </c>
      <c r="D97" s="30">
        <v>12</v>
      </c>
      <c r="E97" s="31">
        <v>32000</v>
      </c>
      <c r="F97" s="32">
        <v>14559.6</v>
      </c>
      <c r="G97" s="40">
        <f t="shared" si="9"/>
        <v>10.865373134328358</v>
      </c>
      <c r="H97" s="18"/>
      <c r="I97" s="18">
        <f t="shared" si="7"/>
        <v>0</v>
      </c>
      <c r="J97" s="45">
        <f t="shared" si="10"/>
        <v>0</v>
      </c>
      <c r="K97"/>
      <c r="L97" s="37">
        <f t="shared" si="8"/>
        <v>0</v>
      </c>
      <c r="M97" s="12"/>
      <c r="N97" s="50">
        <f t="shared" si="11"/>
        <v>0</v>
      </c>
    </row>
    <row r="98" spans="1:14" ht="80.099999999999994" customHeight="1">
      <c r="A98" s="28">
        <v>8803463009687</v>
      </c>
      <c r="B98" s="34" t="s">
        <v>123</v>
      </c>
      <c r="C98" s="29" t="s">
        <v>244</v>
      </c>
      <c r="D98" s="30">
        <v>54</v>
      </c>
      <c r="E98" s="31">
        <v>32000</v>
      </c>
      <c r="F98" s="32">
        <v>14559.6</v>
      </c>
      <c r="G98" s="40">
        <f t="shared" si="9"/>
        <v>10.865373134328358</v>
      </c>
      <c r="H98" s="18"/>
      <c r="I98" s="18">
        <f t="shared" si="7"/>
        <v>0</v>
      </c>
      <c r="J98" s="45">
        <f t="shared" si="10"/>
        <v>0</v>
      </c>
      <c r="K98"/>
      <c r="L98" s="37">
        <f t="shared" si="8"/>
        <v>0</v>
      </c>
      <c r="M98" s="12"/>
      <c r="N98" s="50">
        <f t="shared" si="11"/>
        <v>0</v>
      </c>
    </row>
    <row r="99" spans="1:14" ht="80.099999999999994" customHeight="1">
      <c r="A99" s="28">
        <v>8803463010379</v>
      </c>
      <c r="B99" s="34" t="s">
        <v>124</v>
      </c>
      <c r="C99" s="29" t="s">
        <v>245</v>
      </c>
      <c r="D99" s="30">
        <v>12</v>
      </c>
      <c r="E99" s="31">
        <v>24000</v>
      </c>
      <c r="F99" s="32">
        <v>11640.200000000003</v>
      </c>
      <c r="G99" s="40">
        <f t="shared" si="9"/>
        <v>8.6867164179104499</v>
      </c>
      <c r="H99" s="18"/>
      <c r="I99" s="18">
        <f t="shared" si="7"/>
        <v>0</v>
      </c>
      <c r="J99" s="45">
        <f t="shared" si="10"/>
        <v>0</v>
      </c>
      <c r="K99"/>
      <c r="L99" s="37">
        <f t="shared" si="8"/>
        <v>0</v>
      </c>
      <c r="M99" s="12"/>
      <c r="N99" s="50">
        <f t="shared" si="11"/>
        <v>0</v>
      </c>
    </row>
    <row r="100" spans="1:14" ht="80.099999999999994" customHeight="1">
      <c r="A100" s="28" t="s">
        <v>26</v>
      </c>
      <c r="B100" s="34" t="s">
        <v>125</v>
      </c>
      <c r="C100" s="29" t="s">
        <v>246</v>
      </c>
      <c r="D100" s="30">
        <v>24</v>
      </c>
      <c r="E100" s="31">
        <v>25000</v>
      </c>
      <c r="F100" s="32">
        <v>11375.100000000002</v>
      </c>
      <c r="G100" s="40">
        <f t="shared" si="9"/>
        <v>8.4888805970149264</v>
      </c>
      <c r="H100" s="18"/>
      <c r="I100" s="18">
        <f t="shared" si="7"/>
        <v>0</v>
      </c>
      <c r="J100" s="45">
        <f t="shared" si="10"/>
        <v>0</v>
      </c>
      <c r="K100"/>
      <c r="L100" s="37">
        <f t="shared" si="8"/>
        <v>0</v>
      </c>
      <c r="M100" s="12"/>
      <c r="N100" s="50">
        <f t="shared" si="11"/>
        <v>0</v>
      </c>
    </row>
    <row r="101" spans="1:14" ht="80.099999999999994" customHeight="1">
      <c r="A101" s="28">
        <v>8803463006655</v>
      </c>
      <c r="B101" s="34" t="s">
        <v>126</v>
      </c>
      <c r="C101" s="29" t="s">
        <v>231</v>
      </c>
      <c r="D101" s="30">
        <v>72</v>
      </c>
      <c r="E101" s="31">
        <v>48000</v>
      </c>
      <c r="F101" s="32">
        <v>21840.500000000004</v>
      </c>
      <c r="G101" s="40">
        <f t="shared" si="9"/>
        <v>16.298880597014929</v>
      </c>
      <c r="H101" s="18"/>
      <c r="I101" s="18">
        <f t="shared" si="7"/>
        <v>0</v>
      </c>
      <c r="J101" s="45">
        <f t="shared" si="10"/>
        <v>0</v>
      </c>
      <c r="K101"/>
      <c r="L101" s="37">
        <f t="shared" si="8"/>
        <v>0</v>
      </c>
      <c r="M101" s="12"/>
      <c r="N101" s="50">
        <f t="shared" si="11"/>
        <v>0</v>
      </c>
    </row>
    <row r="102" spans="1:14" ht="80.099999999999994" customHeight="1">
      <c r="A102" s="28" t="s">
        <v>27</v>
      </c>
      <c r="B102" s="34" t="s">
        <v>127</v>
      </c>
      <c r="C102" s="29" t="s">
        <v>247</v>
      </c>
      <c r="D102" s="30">
        <v>80</v>
      </c>
      <c r="E102" s="31">
        <v>32000</v>
      </c>
      <c r="F102" s="32">
        <v>14559.6</v>
      </c>
      <c r="G102" s="40">
        <f t="shared" si="9"/>
        <v>10.865373134328358</v>
      </c>
      <c r="H102" s="18"/>
      <c r="I102" s="18">
        <f t="shared" ref="I102:I133" si="12">H102*D102</f>
        <v>0</v>
      </c>
      <c r="J102" s="45">
        <f t="shared" si="10"/>
        <v>0</v>
      </c>
      <c r="K102"/>
      <c r="L102" s="37">
        <f t="shared" ref="L102:L133" si="13">M102/D102</f>
        <v>0</v>
      </c>
      <c r="M102" s="12"/>
      <c r="N102" s="50">
        <f t="shared" si="11"/>
        <v>0</v>
      </c>
    </row>
    <row r="103" spans="1:14" ht="80.099999999999994" customHeight="1">
      <c r="A103" s="28" t="s">
        <v>28</v>
      </c>
      <c r="B103" s="34" t="s">
        <v>128</v>
      </c>
      <c r="C103" s="29" t="s">
        <v>248</v>
      </c>
      <c r="D103" s="30">
        <v>48</v>
      </c>
      <c r="E103" s="31">
        <v>32000</v>
      </c>
      <c r="F103" s="32">
        <v>14559.6</v>
      </c>
      <c r="G103" s="40">
        <f t="shared" si="9"/>
        <v>10.865373134328358</v>
      </c>
      <c r="H103" s="18"/>
      <c r="I103" s="18">
        <f t="shared" si="12"/>
        <v>0</v>
      </c>
      <c r="J103" s="45">
        <f t="shared" si="10"/>
        <v>0</v>
      </c>
      <c r="K103"/>
      <c r="L103" s="37">
        <f t="shared" si="13"/>
        <v>0</v>
      </c>
      <c r="M103" s="12"/>
      <c r="N103" s="50">
        <f t="shared" si="11"/>
        <v>0</v>
      </c>
    </row>
    <row r="104" spans="1:14" ht="80.099999999999994" customHeight="1">
      <c r="A104" s="28" t="s">
        <v>29</v>
      </c>
      <c r="B104" s="34" t="s">
        <v>129</v>
      </c>
      <c r="C104" s="29" t="s">
        <v>249</v>
      </c>
      <c r="D104" s="30">
        <v>96</v>
      </c>
      <c r="E104" s="31">
        <v>32000</v>
      </c>
      <c r="F104" s="32">
        <v>14559.6</v>
      </c>
      <c r="G104" s="40">
        <f t="shared" si="9"/>
        <v>10.865373134328358</v>
      </c>
      <c r="H104" s="18"/>
      <c r="I104" s="18">
        <f t="shared" si="12"/>
        <v>0</v>
      </c>
      <c r="J104" s="45">
        <f t="shared" si="10"/>
        <v>0</v>
      </c>
      <c r="K104"/>
      <c r="L104" s="37">
        <f t="shared" si="13"/>
        <v>0</v>
      </c>
      <c r="M104" s="12"/>
      <c r="N104" s="50">
        <f t="shared" si="11"/>
        <v>0</v>
      </c>
    </row>
    <row r="105" spans="1:14" ht="80.099999999999994" customHeight="1">
      <c r="A105" s="28">
        <v>8803463019792</v>
      </c>
      <c r="B105" s="34" t="s">
        <v>130</v>
      </c>
      <c r="C105" s="29" t="s">
        <v>215</v>
      </c>
      <c r="D105" s="30">
        <v>48</v>
      </c>
      <c r="E105" s="31">
        <v>34000</v>
      </c>
      <c r="F105" s="32">
        <v>15470.400000000001</v>
      </c>
      <c r="G105" s="40">
        <f t="shared" si="9"/>
        <v>11.545074626865672</v>
      </c>
      <c r="H105" s="18"/>
      <c r="I105" s="18">
        <f t="shared" si="12"/>
        <v>0</v>
      </c>
      <c r="J105" s="45">
        <f t="shared" si="10"/>
        <v>0</v>
      </c>
      <c r="K105"/>
      <c r="L105" s="37">
        <f t="shared" si="13"/>
        <v>0</v>
      </c>
      <c r="M105" s="12"/>
      <c r="N105" s="50">
        <f t="shared" si="11"/>
        <v>0</v>
      </c>
    </row>
    <row r="106" spans="1:14" ht="80.099999999999994" customHeight="1">
      <c r="A106" s="28" t="s">
        <v>30</v>
      </c>
      <c r="B106" s="34" t="s">
        <v>131</v>
      </c>
      <c r="C106" s="29" t="s">
        <v>250</v>
      </c>
      <c r="D106" s="30">
        <v>48</v>
      </c>
      <c r="E106" s="31">
        <v>18000</v>
      </c>
      <c r="F106" s="32">
        <v>8189.5000000000009</v>
      </c>
      <c r="G106" s="40">
        <f t="shared" si="9"/>
        <v>6.1115671641791049</v>
      </c>
      <c r="H106" s="18"/>
      <c r="I106" s="18">
        <f t="shared" si="12"/>
        <v>0</v>
      </c>
      <c r="J106" s="45">
        <f t="shared" si="10"/>
        <v>0</v>
      </c>
      <c r="K106"/>
      <c r="L106" s="37">
        <f t="shared" si="13"/>
        <v>0</v>
      </c>
      <c r="M106" s="12"/>
      <c r="N106" s="50">
        <f t="shared" si="11"/>
        <v>0</v>
      </c>
    </row>
    <row r="107" spans="1:14" ht="80.099999999999994" customHeight="1">
      <c r="A107" s="28">
        <v>8803463011659</v>
      </c>
      <c r="B107" s="34" t="s">
        <v>132</v>
      </c>
      <c r="C107" s="29" t="s">
        <v>223</v>
      </c>
      <c r="D107" s="30">
        <v>48</v>
      </c>
      <c r="E107" s="31">
        <v>32000</v>
      </c>
      <c r="F107" s="32">
        <v>14559.6</v>
      </c>
      <c r="G107" s="40">
        <f t="shared" si="9"/>
        <v>10.865373134328358</v>
      </c>
      <c r="H107" s="18"/>
      <c r="I107" s="18">
        <f t="shared" si="12"/>
        <v>0</v>
      </c>
      <c r="J107" s="45">
        <f t="shared" si="10"/>
        <v>0</v>
      </c>
      <c r="K107"/>
      <c r="L107" s="37">
        <f t="shared" si="13"/>
        <v>0</v>
      </c>
      <c r="M107" s="12"/>
      <c r="N107" s="50">
        <f t="shared" si="11"/>
        <v>0</v>
      </c>
    </row>
    <row r="108" spans="1:14" ht="80.099999999999994" customHeight="1">
      <c r="A108" s="28">
        <v>8803463010300</v>
      </c>
      <c r="B108" s="34" t="s">
        <v>133</v>
      </c>
      <c r="C108" s="29" t="s">
        <v>251</v>
      </c>
      <c r="D108" s="30">
        <v>48</v>
      </c>
      <c r="E108" s="31">
        <v>20000</v>
      </c>
      <c r="F108" s="32">
        <v>9100.2999999999993</v>
      </c>
      <c r="G108" s="40">
        <f t="shared" si="9"/>
        <v>6.7912686567164178</v>
      </c>
      <c r="H108" s="18"/>
      <c r="I108" s="18">
        <f t="shared" si="12"/>
        <v>0</v>
      </c>
      <c r="J108" s="45">
        <f t="shared" si="10"/>
        <v>0</v>
      </c>
      <c r="K108"/>
      <c r="L108" s="37">
        <f t="shared" si="13"/>
        <v>0</v>
      </c>
      <c r="M108" s="12"/>
      <c r="N108" s="50">
        <f t="shared" si="11"/>
        <v>0</v>
      </c>
    </row>
    <row r="109" spans="1:14" ht="80.099999999999994" customHeight="1">
      <c r="A109" s="28">
        <v>8803463008376</v>
      </c>
      <c r="B109" s="34" t="s">
        <v>134</v>
      </c>
      <c r="C109" s="29" t="s">
        <v>250</v>
      </c>
      <c r="D109" s="30">
        <v>60</v>
      </c>
      <c r="E109" s="31">
        <v>23000</v>
      </c>
      <c r="F109" s="32">
        <v>10465.400000000001</v>
      </c>
      <c r="G109" s="40">
        <f t="shared" si="9"/>
        <v>7.8100000000000014</v>
      </c>
      <c r="H109" s="18"/>
      <c r="I109" s="18">
        <f t="shared" si="12"/>
        <v>0</v>
      </c>
      <c r="J109" s="45">
        <f t="shared" si="10"/>
        <v>0</v>
      </c>
      <c r="K109"/>
      <c r="L109" s="37">
        <f t="shared" si="13"/>
        <v>0</v>
      </c>
      <c r="M109" s="12"/>
      <c r="N109" s="50">
        <f t="shared" si="11"/>
        <v>0</v>
      </c>
    </row>
    <row r="110" spans="1:14" ht="80.099999999999994" customHeight="1">
      <c r="A110" s="28">
        <v>8803463008383</v>
      </c>
      <c r="B110" s="34" t="s">
        <v>135</v>
      </c>
      <c r="C110" s="29" t="s">
        <v>250</v>
      </c>
      <c r="D110" s="30">
        <v>48</v>
      </c>
      <c r="E110" s="31">
        <v>25000</v>
      </c>
      <c r="F110" s="32">
        <v>11375.100000000002</v>
      </c>
      <c r="G110" s="40">
        <f t="shared" si="9"/>
        <v>8.4888805970149264</v>
      </c>
      <c r="H110" s="18"/>
      <c r="I110" s="18">
        <f t="shared" si="12"/>
        <v>0</v>
      </c>
      <c r="J110" s="45">
        <f t="shared" si="10"/>
        <v>0</v>
      </c>
      <c r="K110"/>
      <c r="L110" s="37">
        <f t="shared" si="13"/>
        <v>0</v>
      </c>
      <c r="M110" s="12"/>
      <c r="N110" s="50">
        <f t="shared" si="11"/>
        <v>0</v>
      </c>
    </row>
    <row r="111" spans="1:14" ht="80.099999999999994" customHeight="1">
      <c r="A111" s="28">
        <v>8803463008390</v>
      </c>
      <c r="B111" s="34" t="s">
        <v>136</v>
      </c>
      <c r="C111" s="29" t="s">
        <v>252</v>
      </c>
      <c r="D111" s="30">
        <v>420</v>
      </c>
      <c r="E111" s="31">
        <v>2000</v>
      </c>
      <c r="F111" s="32">
        <v>909.70000000000016</v>
      </c>
      <c r="G111" s="40">
        <f t="shared" si="9"/>
        <v>0.67888059701492554</v>
      </c>
      <c r="H111" s="18"/>
      <c r="I111" s="18">
        <f t="shared" si="12"/>
        <v>0</v>
      </c>
      <c r="J111" s="45">
        <f t="shared" si="10"/>
        <v>0</v>
      </c>
      <c r="K111"/>
      <c r="L111" s="37">
        <f t="shared" si="13"/>
        <v>0</v>
      </c>
      <c r="M111" s="12"/>
      <c r="N111" s="50">
        <f t="shared" si="11"/>
        <v>0</v>
      </c>
    </row>
    <row r="112" spans="1:14" ht="80.099999999999994" customHeight="1">
      <c r="A112" s="28">
        <v>8803463012113</v>
      </c>
      <c r="B112" s="34" t="s">
        <v>137</v>
      </c>
      <c r="C112" s="29" t="s">
        <v>231</v>
      </c>
      <c r="D112" s="30">
        <v>48</v>
      </c>
      <c r="E112" s="31">
        <v>25000</v>
      </c>
      <c r="F112" s="32">
        <v>11375.100000000002</v>
      </c>
      <c r="G112" s="40">
        <f t="shared" si="9"/>
        <v>8.4888805970149264</v>
      </c>
      <c r="H112" s="18"/>
      <c r="I112" s="18">
        <f t="shared" si="12"/>
        <v>0</v>
      </c>
      <c r="J112" s="45">
        <f t="shared" si="10"/>
        <v>0</v>
      </c>
      <c r="K112"/>
      <c r="L112" s="37">
        <f t="shared" si="13"/>
        <v>0</v>
      </c>
      <c r="M112" s="12"/>
      <c r="N112" s="50">
        <f t="shared" si="11"/>
        <v>0</v>
      </c>
    </row>
    <row r="113" spans="1:14" ht="80.099999999999994" customHeight="1">
      <c r="A113" s="28">
        <v>8803463007768</v>
      </c>
      <c r="B113" s="34" t="s">
        <v>138</v>
      </c>
      <c r="C113" s="29" t="s">
        <v>251</v>
      </c>
      <c r="D113" s="30">
        <v>48</v>
      </c>
      <c r="E113" s="31">
        <v>23000</v>
      </c>
      <c r="F113" s="32">
        <v>10465.400000000001</v>
      </c>
      <c r="G113" s="40">
        <f t="shared" si="9"/>
        <v>7.8100000000000014</v>
      </c>
      <c r="H113" s="18"/>
      <c r="I113" s="18">
        <f t="shared" si="12"/>
        <v>0</v>
      </c>
      <c r="J113" s="45">
        <f t="shared" si="10"/>
        <v>0</v>
      </c>
      <c r="K113"/>
      <c r="L113" s="37">
        <f t="shared" si="13"/>
        <v>0</v>
      </c>
      <c r="M113" s="12"/>
      <c r="N113" s="50">
        <f t="shared" si="11"/>
        <v>0</v>
      </c>
    </row>
    <row r="114" spans="1:14" ht="80.099999999999994" customHeight="1">
      <c r="A114" s="28">
        <v>8803463007454</v>
      </c>
      <c r="B114" s="34" t="s">
        <v>139</v>
      </c>
      <c r="C114" s="29" t="s">
        <v>221</v>
      </c>
      <c r="D114" s="30">
        <v>48</v>
      </c>
      <c r="E114" s="31">
        <v>28000</v>
      </c>
      <c r="F114" s="32">
        <v>12740.200000000003</v>
      </c>
      <c r="G114" s="40">
        <f t="shared" si="9"/>
        <v>9.50761194029851</v>
      </c>
      <c r="H114" s="18"/>
      <c r="I114" s="18">
        <f t="shared" si="12"/>
        <v>0</v>
      </c>
      <c r="J114" s="45">
        <f t="shared" si="10"/>
        <v>0</v>
      </c>
      <c r="K114"/>
      <c r="L114" s="37">
        <f t="shared" si="13"/>
        <v>0</v>
      </c>
      <c r="M114" s="12"/>
      <c r="N114" s="50">
        <f t="shared" si="11"/>
        <v>0</v>
      </c>
    </row>
    <row r="115" spans="1:14" ht="80.099999999999994" customHeight="1">
      <c r="A115" s="28">
        <v>8803463007478</v>
      </c>
      <c r="B115" s="34" t="s">
        <v>140</v>
      </c>
      <c r="C115" s="29" t="s">
        <v>221</v>
      </c>
      <c r="D115" s="30">
        <v>48</v>
      </c>
      <c r="E115" s="31">
        <v>32000</v>
      </c>
      <c r="F115" s="32">
        <v>14559.6</v>
      </c>
      <c r="G115" s="40">
        <f t="shared" si="9"/>
        <v>10.865373134328358</v>
      </c>
      <c r="H115" s="18"/>
      <c r="I115" s="18">
        <f t="shared" si="12"/>
        <v>0</v>
      </c>
      <c r="J115" s="45">
        <f t="shared" si="10"/>
        <v>0</v>
      </c>
      <c r="K115"/>
      <c r="L115" s="37">
        <f t="shared" si="13"/>
        <v>0</v>
      </c>
      <c r="M115" s="12"/>
      <c r="N115" s="50">
        <f t="shared" si="11"/>
        <v>0</v>
      </c>
    </row>
    <row r="116" spans="1:14" ht="80.099999999999994" customHeight="1">
      <c r="A116" s="28">
        <v>8803463007782</v>
      </c>
      <c r="B116" s="34" t="s">
        <v>141</v>
      </c>
      <c r="C116" s="29" t="s">
        <v>215</v>
      </c>
      <c r="D116" s="30">
        <v>72</v>
      </c>
      <c r="E116" s="31">
        <v>32000</v>
      </c>
      <c r="F116" s="32">
        <v>14559.6</v>
      </c>
      <c r="G116" s="40">
        <f t="shared" si="9"/>
        <v>10.865373134328358</v>
      </c>
      <c r="H116" s="18"/>
      <c r="I116" s="18">
        <f t="shared" si="12"/>
        <v>0</v>
      </c>
      <c r="J116" s="45">
        <f t="shared" si="10"/>
        <v>0</v>
      </c>
      <c r="K116"/>
      <c r="L116" s="37">
        <f t="shared" si="13"/>
        <v>0</v>
      </c>
      <c r="M116" s="12"/>
      <c r="N116" s="50">
        <f t="shared" si="11"/>
        <v>0</v>
      </c>
    </row>
    <row r="117" spans="1:14" ht="80.099999999999994" customHeight="1">
      <c r="A117" s="28">
        <v>8803463007485</v>
      </c>
      <c r="B117" s="34" t="s">
        <v>142</v>
      </c>
      <c r="C117" s="29" t="s">
        <v>253</v>
      </c>
      <c r="D117" s="30">
        <v>420</v>
      </c>
      <c r="E117" s="31">
        <v>3000</v>
      </c>
      <c r="F117" s="32">
        <v>1365.1000000000004</v>
      </c>
      <c r="G117" s="40">
        <f t="shared" si="9"/>
        <v>1.0187313432835823</v>
      </c>
      <c r="H117" s="18"/>
      <c r="I117" s="18">
        <f t="shared" si="12"/>
        <v>0</v>
      </c>
      <c r="J117" s="45">
        <f t="shared" si="10"/>
        <v>0</v>
      </c>
      <c r="K117"/>
      <c r="L117" s="37">
        <f t="shared" si="13"/>
        <v>0</v>
      </c>
      <c r="M117" s="12"/>
      <c r="N117" s="50">
        <f t="shared" si="11"/>
        <v>0</v>
      </c>
    </row>
    <row r="118" spans="1:14" ht="80.099999999999994" customHeight="1">
      <c r="A118" s="28">
        <v>8803463007737</v>
      </c>
      <c r="B118" s="34" t="s">
        <v>143</v>
      </c>
      <c r="C118" s="29" t="s">
        <v>254</v>
      </c>
      <c r="D118" s="30">
        <v>12</v>
      </c>
      <c r="E118" s="31">
        <v>26000</v>
      </c>
      <c r="F118" s="32">
        <v>12610.400000000001</v>
      </c>
      <c r="G118" s="40">
        <f t="shared" si="9"/>
        <v>9.4107462686567178</v>
      </c>
      <c r="H118" s="18"/>
      <c r="I118" s="18">
        <f t="shared" si="12"/>
        <v>0</v>
      </c>
      <c r="J118" s="45">
        <f t="shared" si="10"/>
        <v>0</v>
      </c>
      <c r="K118"/>
      <c r="L118" s="37">
        <f t="shared" si="13"/>
        <v>0</v>
      </c>
      <c r="M118" s="12"/>
      <c r="N118" s="50">
        <f t="shared" si="11"/>
        <v>0</v>
      </c>
    </row>
    <row r="119" spans="1:14" ht="80.099999999999994" customHeight="1">
      <c r="A119" s="28">
        <v>8803463010416</v>
      </c>
      <c r="B119" s="34" t="s">
        <v>144</v>
      </c>
      <c r="C119" s="29" t="s">
        <v>255</v>
      </c>
      <c r="D119" s="30">
        <v>32</v>
      </c>
      <c r="E119" s="31">
        <v>15000</v>
      </c>
      <c r="F119" s="32">
        <v>6825.5000000000009</v>
      </c>
      <c r="G119" s="40">
        <f t="shared" si="9"/>
        <v>5.093656716417911</v>
      </c>
      <c r="H119" s="18"/>
      <c r="I119" s="18">
        <f t="shared" si="12"/>
        <v>0</v>
      </c>
      <c r="J119" s="45">
        <f t="shared" si="10"/>
        <v>0</v>
      </c>
      <c r="K119"/>
      <c r="L119" s="37">
        <f t="shared" si="13"/>
        <v>0</v>
      </c>
      <c r="M119" s="12"/>
      <c r="N119" s="50">
        <f t="shared" si="11"/>
        <v>0</v>
      </c>
    </row>
    <row r="120" spans="1:14" ht="80.099999999999994" customHeight="1">
      <c r="A120" s="28">
        <v>8803463010423</v>
      </c>
      <c r="B120" s="34" t="s">
        <v>145</v>
      </c>
      <c r="C120" s="29" t="s">
        <v>255</v>
      </c>
      <c r="D120" s="30">
        <v>32</v>
      </c>
      <c r="E120" s="31">
        <v>15000</v>
      </c>
      <c r="F120" s="32">
        <v>6825.5000000000009</v>
      </c>
      <c r="G120" s="40">
        <f t="shared" si="9"/>
        <v>5.093656716417911</v>
      </c>
      <c r="H120" s="18"/>
      <c r="I120" s="18">
        <f t="shared" si="12"/>
        <v>0</v>
      </c>
      <c r="J120" s="45">
        <f t="shared" si="10"/>
        <v>0</v>
      </c>
      <c r="K120"/>
      <c r="L120" s="37">
        <f t="shared" si="13"/>
        <v>0</v>
      </c>
      <c r="M120" s="12"/>
      <c r="N120" s="50">
        <f t="shared" si="11"/>
        <v>0</v>
      </c>
    </row>
    <row r="121" spans="1:14" ht="80.099999999999994" customHeight="1">
      <c r="A121" s="28">
        <v>8803463010430</v>
      </c>
      <c r="B121" s="34" t="s">
        <v>146</v>
      </c>
      <c r="C121" s="29" t="s">
        <v>255</v>
      </c>
      <c r="D121" s="30">
        <v>32</v>
      </c>
      <c r="E121" s="31">
        <v>15000</v>
      </c>
      <c r="F121" s="32">
        <v>6825.5000000000009</v>
      </c>
      <c r="G121" s="40">
        <f t="shared" si="9"/>
        <v>5.093656716417911</v>
      </c>
      <c r="H121" s="18"/>
      <c r="I121" s="18">
        <f t="shared" si="12"/>
        <v>0</v>
      </c>
      <c r="J121" s="45">
        <f t="shared" si="10"/>
        <v>0</v>
      </c>
      <c r="K121"/>
      <c r="L121" s="37">
        <f t="shared" si="13"/>
        <v>0</v>
      </c>
      <c r="M121" s="12"/>
      <c r="N121" s="50">
        <f t="shared" si="11"/>
        <v>0</v>
      </c>
    </row>
    <row r="122" spans="1:14" ht="80.099999999999994" customHeight="1">
      <c r="A122" s="28">
        <v>8803463011963</v>
      </c>
      <c r="B122" s="34" t="s">
        <v>147</v>
      </c>
      <c r="C122" s="29" t="s">
        <v>256</v>
      </c>
      <c r="D122" s="30">
        <v>800</v>
      </c>
      <c r="E122" s="31">
        <v>7000</v>
      </c>
      <c r="F122" s="32">
        <v>3184.5</v>
      </c>
      <c r="G122" s="40">
        <f t="shared" si="9"/>
        <v>2.3764925373134327</v>
      </c>
      <c r="H122" s="18"/>
      <c r="I122" s="18">
        <f t="shared" si="12"/>
        <v>0</v>
      </c>
      <c r="J122" s="45">
        <f t="shared" si="10"/>
        <v>0</v>
      </c>
      <c r="K122"/>
      <c r="L122" s="37">
        <f t="shared" si="13"/>
        <v>0</v>
      </c>
      <c r="M122" s="12"/>
      <c r="N122" s="50">
        <f t="shared" si="11"/>
        <v>0</v>
      </c>
    </row>
    <row r="123" spans="1:14" ht="80.099999999999994" customHeight="1">
      <c r="A123" s="28">
        <v>8803463011970</v>
      </c>
      <c r="B123" s="34" t="s">
        <v>148</v>
      </c>
      <c r="C123" s="29" t="s">
        <v>257</v>
      </c>
      <c r="D123" s="30">
        <v>240</v>
      </c>
      <c r="E123" s="31">
        <v>9900</v>
      </c>
      <c r="F123" s="32">
        <v>4504.5000000000009</v>
      </c>
      <c r="G123" s="40">
        <f t="shared" si="9"/>
        <v>3.3615671641791049</v>
      </c>
      <c r="H123" s="18"/>
      <c r="I123" s="18">
        <f t="shared" si="12"/>
        <v>0</v>
      </c>
      <c r="J123" s="45">
        <f t="shared" si="10"/>
        <v>0</v>
      </c>
      <c r="K123"/>
      <c r="L123" s="37">
        <f t="shared" si="13"/>
        <v>0</v>
      </c>
      <c r="M123" s="12"/>
      <c r="N123" s="50">
        <f t="shared" si="11"/>
        <v>0</v>
      </c>
    </row>
    <row r="124" spans="1:14" ht="80.099999999999994" customHeight="1">
      <c r="A124" s="28">
        <v>8803463012106</v>
      </c>
      <c r="B124" s="34" t="s">
        <v>149</v>
      </c>
      <c r="C124" s="29" t="s">
        <v>232</v>
      </c>
      <c r="D124" s="30">
        <v>96</v>
      </c>
      <c r="E124" s="31">
        <v>19000</v>
      </c>
      <c r="F124" s="32">
        <v>8644.9000000000015</v>
      </c>
      <c r="G124" s="40">
        <f t="shared" si="9"/>
        <v>6.4514179104477627</v>
      </c>
      <c r="H124" s="18"/>
      <c r="I124" s="18">
        <f t="shared" si="12"/>
        <v>0</v>
      </c>
      <c r="J124" s="45">
        <f t="shared" si="10"/>
        <v>0</v>
      </c>
      <c r="K124"/>
      <c r="L124" s="37">
        <f t="shared" si="13"/>
        <v>0</v>
      </c>
      <c r="M124" s="12"/>
      <c r="N124" s="50">
        <f t="shared" si="11"/>
        <v>0</v>
      </c>
    </row>
    <row r="125" spans="1:14" ht="80.099999999999994" customHeight="1">
      <c r="A125" s="28">
        <v>8803463012090</v>
      </c>
      <c r="B125" s="34" t="s">
        <v>150</v>
      </c>
      <c r="C125" s="29" t="s">
        <v>231</v>
      </c>
      <c r="D125" s="30">
        <v>72</v>
      </c>
      <c r="E125" s="31">
        <v>26000</v>
      </c>
      <c r="F125" s="32">
        <v>11830.500000000002</v>
      </c>
      <c r="G125" s="40">
        <f t="shared" si="9"/>
        <v>8.8287313432835841</v>
      </c>
      <c r="H125" s="18"/>
      <c r="I125" s="18">
        <f t="shared" si="12"/>
        <v>0</v>
      </c>
      <c r="J125" s="45">
        <f t="shared" si="10"/>
        <v>0</v>
      </c>
      <c r="K125"/>
      <c r="L125" s="37">
        <f t="shared" si="13"/>
        <v>0</v>
      </c>
      <c r="M125" s="12"/>
      <c r="N125" s="50">
        <f t="shared" si="11"/>
        <v>0</v>
      </c>
    </row>
    <row r="126" spans="1:14" ht="80.099999999999994" customHeight="1">
      <c r="A126" s="28">
        <v>8803463011550</v>
      </c>
      <c r="B126" s="34" t="s">
        <v>151</v>
      </c>
      <c r="C126" s="29" t="s">
        <v>251</v>
      </c>
      <c r="D126" s="30">
        <v>36</v>
      </c>
      <c r="E126" s="31">
        <v>22000</v>
      </c>
      <c r="F126" s="32">
        <v>10010.000000000002</v>
      </c>
      <c r="G126" s="40">
        <f t="shared" si="9"/>
        <v>7.4701492537313445</v>
      </c>
      <c r="H126" s="18"/>
      <c r="I126" s="18">
        <f t="shared" si="12"/>
        <v>0</v>
      </c>
      <c r="J126" s="45">
        <f t="shared" si="10"/>
        <v>0</v>
      </c>
      <c r="K126"/>
      <c r="L126" s="37">
        <f t="shared" si="13"/>
        <v>0</v>
      </c>
      <c r="M126" s="12"/>
      <c r="N126" s="50">
        <f t="shared" si="11"/>
        <v>0</v>
      </c>
    </row>
    <row r="127" spans="1:14" ht="80.099999999999994" customHeight="1">
      <c r="A127" s="28">
        <v>8803463011567</v>
      </c>
      <c r="B127" s="34" t="s">
        <v>152</v>
      </c>
      <c r="C127" s="29" t="s">
        <v>258</v>
      </c>
      <c r="D127" s="30">
        <v>24</v>
      </c>
      <c r="E127" s="31">
        <v>21000</v>
      </c>
      <c r="F127" s="32">
        <v>9554.6000000000022</v>
      </c>
      <c r="G127" s="40">
        <f t="shared" si="9"/>
        <v>7.1302985074626886</v>
      </c>
      <c r="H127" s="18"/>
      <c r="I127" s="18">
        <f t="shared" si="12"/>
        <v>0</v>
      </c>
      <c r="J127" s="45">
        <f t="shared" si="10"/>
        <v>0</v>
      </c>
      <c r="K127"/>
      <c r="L127" s="37">
        <f t="shared" si="13"/>
        <v>0</v>
      </c>
      <c r="M127" s="12"/>
      <c r="N127" s="50">
        <f t="shared" si="11"/>
        <v>0</v>
      </c>
    </row>
    <row r="128" spans="1:14" ht="80.099999999999994" customHeight="1">
      <c r="A128" s="28">
        <v>8803463012625</v>
      </c>
      <c r="B128" s="34" t="s">
        <v>153</v>
      </c>
      <c r="C128" s="29" t="s">
        <v>250</v>
      </c>
      <c r="D128" s="30">
        <v>48</v>
      </c>
      <c r="E128" s="31">
        <v>18000</v>
      </c>
      <c r="F128" s="32">
        <v>8189.5000000000009</v>
      </c>
      <c r="G128" s="40">
        <f t="shared" si="9"/>
        <v>6.1115671641791049</v>
      </c>
      <c r="H128" s="18"/>
      <c r="I128" s="18">
        <f t="shared" si="12"/>
        <v>0</v>
      </c>
      <c r="J128" s="45">
        <f t="shared" si="10"/>
        <v>0</v>
      </c>
      <c r="K128"/>
      <c r="L128" s="37">
        <f t="shared" si="13"/>
        <v>0</v>
      </c>
      <c r="M128" s="12"/>
      <c r="N128" s="50">
        <f t="shared" si="11"/>
        <v>0</v>
      </c>
    </row>
    <row r="129" spans="1:14" ht="80.099999999999994" customHeight="1">
      <c r="A129" s="28">
        <v>8803463010478</v>
      </c>
      <c r="B129" s="34" t="s">
        <v>154</v>
      </c>
      <c r="C129" s="29" t="s">
        <v>234</v>
      </c>
      <c r="D129" s="30">
        <v>48</v>
      </c>
      <c r="E129" s="31">
        <v>25000</v>
      </c>
      <c r="F129" s="32">
        <v>11375.100000000002</v>
      </c>
      <c r="G129" s="40">
        <f t="shared" si="9"/>
        <v>8.4888805970149264</v>
      </c>
      <c r="H129" s="18"/>
      <c r="I129" s="18">
        <f t="shared" si="12"/>
        <v>0</v>
      </c>
      <c r="J129" s="45">
        <f t="shared" si="10"/>
        <v>0</v>
      </c>
      <c r="K129"/>
      <c r="L129" s="37">
        <f t="shared" si="13"/>
        <v>0</v>
      </c>
      <c r="M129" s="12"/>
      <c r="N129" s="50">
        <f t="shared" si="11"/>
        <v>0</v>
      </c>
    </row>
    <row r="130" spans="1:14" ht="80.099999999999994" customHeight="1">
      <c r="A130" s="28">
        <v>8803463010508</v>
      </c>
      <c r="B130" s="34" t="s">
        <v>155</v>
      </c>
      <c r="C130" s="29" t="s">
        <v>234</v>
      </c>
      <c r="D130" s="30">
        <v>48</v>
      </c>
      <c r="E130" s="31">
        <v>25000</v>
      </c>
      <c r="F130" s="32">
        <v>11375.100000000002</v>
      </c>
      <c r="G130" s="40">
        <f t="shared" si="9"/>
        <v>8.4888805970149264</v>
      </c>
      <c r="H130" s="18"/>
      <c r="I130" s="18">
        <f t="shared" si="12"/>
        <v>0</v>
      </c>
      <c r="J130" s="45">
        <f t="shared" si="10"/>
        <v>0</v>
      </c>
      <c r="K130"/>
      <c r="L130" s="37">
        <f t="shared" si="13"/>
        <v>0</v>
      </c>
      <c r="M130" s="12"/>
      <c r="N130" s="50">
        <f t="shared" si="11"/>
        <v>0</v>
      </c>
    </row>
    <row r="131" spans="1:14" ht="80.099999999999994" customHeight="1">
      <c r="A131" s="28">
        <v>8803463010515</v>
      </c>
      <c r="B131" s="34" t="s">
        <v>156</v>
      </c>
      <c r="C131" s="29" t="s">
        <v>234</v>
      </c>
      <c r="D131" s="30">
        <v>48</v>
      </c>
      <c r="E131" s="31">
        <v>25000</v>
      </c>
      <c r="F131" s="32">
        <v>11375.100000000002</v>
      </c>
      <c r="G131" s="40">
        <f t="shared" si="9"/>
        <v>8.4888805970149264</v>
      </c>
      <c r="H131" s="18"/>
      <c r="I131" s="18">
        <f t="shared" si="12"/>
        <v>0</v>
      </c>
      <c r="J131" s="45">
        <f t="shared" si="10"/>
        <v>0</v>
      </c>
      <c r="K131"/>
      <c r="L131" s="37">
        <f t="shared" si="13"/>
        <v>0</v>
      </c>
      <c r="M131" s="12"/>
      <c r="N131" s="50">
        <f t="shared" si="11"/>
        <v>0</v>
      </c>
    </row>
    <row r="132" spans="1:14" ht="80.099999999999994" customHeight="1">
      <c r="A132" s="28">
        <v>8803463010485</v>
      </c>
      <c r="B132" s="34" t="s">
        <v>157</v>
      </c>
      <c r="C132" s="29" t="s">
        <v>234</v>
      </c>
      <c r="D132" s="30">
        <v>48</v>
      </c>
      <c r="E132" s="31">
        <v>25000</v>
      </c>
      <c r="F132" s="32">
        <v>11375.100000000002</v>
      </c>
      <c r="G132" s="40">
        <f t="shared" si="9"/>
        <v>8.4888805970149264</v>
      </c>
      <c r="H132" s="18"/>
      <c r="I132" s="18">
        <f t="shared" si="12"/>
        <v>0</v>
      </c>
      <c r="J132" s="45">
        <f t="shared" si="10"/>
        <v>0</v>
      </c>
      <c r="K132"/>
      <c r="L132" s="37">
        <f t="shared" si="13"/>
        <v>0</v>
      </c>
      <c r="M132" s="12"/>
      <c r="N132" s="50">
        <f t="shared" si="11"/>
        <v>0</v>
      </c>
    </row>
    <row r="133" spans="1:14" ht="80.099999999999994" customHeight="1">
      <c r="A133" s="28">
        <v>8803463010492</v>
      </c>
      <c r="B133" s="34" t="s">
        <v>158</v>
      </c>
      <c r="C133" s="29" t="s">
        <v>234</v>
      </c>
      <c r="D133" s="30">
        <v>48</v>
      </c>
      <c r="E133" s="31">
        <v>25000</v>
      </c>
      <c r="F133" s="32">
        <v>11375.100000000002</v>
      </c>
      <c r="G133" s="40">
        <f t="shared" si="9"/>
        <v>8.4888805970149264</v>
      </c>
      <c r="H133" s="18"/>
      <c r="I133" s="18">
        <f t="shared" si="12"/>
        <v>0</v>
      </c>
      <c r="J133" s="45">
        <f t="shared" si="10"/>
        <v>0</v>
      </c>
      <c r="K133"/>
      <c r="L133" s="37">
        <f t="shared" si="13"/>
        <v>0</v>
      </c>
      <c r="M133" s="12"/>
      <c r="N133" s="50">
        <f t="shared" si="11"/>
        <v>0</v>
      </c>
    </row>
    <row r="134" spans="1:14" ht="80.099999999999994" customHeight="1">
      <c r="A134" s="28">
        <v>8803463012458</v>
      </c>
      <c r="B134" s="34" t="s">
        <v>159</v>
      </c>
      <c r="C134" s="29" t="s">
        <v>259</v>
      </c>
      <c r="D134" s="30">
        <v>12</v>
      </c>
      <c r="E134" s="31">
        <v>24000</v>
      </c>
      <c r="F134" s="32">
        <v>11640.200000000003</v>
      </c>
      <c r="G134" s="40">
        <f t="shared" si="9"/>
        <v>8.6867164179104499</v>
      </c>
      <c r="H134" s="18"/>
      <c r="I134" s="18">
        <f t="shared" ref="I134:I165" si="14">H134*D134</f>
        <v>0</v>
      </c>
      <c r="J134" s="45">
        <f t="shared" si="10"/>
        <v>0</v>
      </c>
      <c r="K134"/>
      <c r="L134" s="37">
        <f t="shared" ref="L134:L165" si="15">M134/D134</f>
        <v>0</v>
      </c>
      <c r="M134" s="12"/>
      <c r="N134" s="50">
        <f t="shared" si="11"/>
        <v>0</v>
      </c>
    </row>
    <row r="135" spans="1:14" ht="80.099999999999994" customHeight="1">
      <c r="A135" s="28">
        <v>8803463012229</v>
      </c>
      <c r="B135" s="34" t="s">
        <v>160</v>
      </c>
      <c r="C135" s="29" t="s">
        <v>260</v>
      </c>
      <c r="D135" s="30">
        <v>280</v>
      </c>
      <c r="E135" s="31">
        <v>3800</v>
      </c>
      <c r="F135" s="32">
        <v>1729.2000000000003</v>
      </c>
      <c r="G135" s="40">
        <f t="shared" ref="G135:G192" si="16">F135/1340</f>
        <v>1.2904477611940302</v>
      </c>
      <c r="H135" s="18"/>
      <c r="I135" s="18">
        <f t="shared" si="14"/>
        <v>0</v>
      </c>
      <c r="J135" s="45">
        <f t="shared" ref="J135:J192" si="17">G135*I135</f>
        <v>0</v>
      </c>
      <c r="K135"/>
      <c r="L135" s="37">
        <f t="shared" si="15"/>
        <v>0</v>
      </c>
      <c r="M135" s="12"/>
      <c r="N135" s="50">
        <f t="shared" ref="N135:N192" si="18">G135*M135</f>
        <v>0</v>
      </c>
    </row>
    <row r="136" spans="1:14" ht="80.099999999999994" customHeight="1">
      <c r="A136" s="28">
        <v>8803463012236</v>
      </c>
      <c r="B136" s="34" t="s">
        <v>161</v>
      </c>
      <c r="C136" s="29" t="s">
        <v>261</v>
      </c>
      <c r="D136" s="30">
        <v>180</v>
      </c>
      <c r="E136" s="31">
        <v>4800</v>
      </c>
      <c r="F136" s="32">
        <v>2183.5000000000005</v>
      </c>
      <c r="G136" s="40">
        <f t="shared" si="16"/>
        <v>1.6294776119402989</v>
      </c>
      <c r="H136" s="18"/>
      <c r="I136" s="18">
        <f t="shared" si="14"/>
        <v>0</v>
      </c>
      <c r="J136" s="45">
        <f t="shared" si="17"/>
        <v>0</v>
      </c>
      <c r="K136"/>
      <c r="L136" s="37">
        <f t="shared" si="15"/>
        <v>0</v>
      </c>
      <c r="M136" s="12"/>
      <c r="N136" s="50">
        <f t="shared" si="18"/>
        <v>0</v>
      </c>
    </row>
    <row r="137" spans="1:14" ht="80.099999999999994" customHeight="1">
      <c r="A137" s="28">
        <v>8803463012601</v>
      </c>
      <c r="B137" s="34" t="s">
        <v>162</v>
      </c>
      <c r="C137" s="29" t="s">
        <v>262</v>
      </c>
      <c r="D137" s="30">
        <v>48</v>
      </c>
      <c r="E137" s="31">
        <v>28000</v>
      </c>
      <c r="F137" s="32">
        <v>12740.200000000003</v>
      </c>
      <c r="G137" s="40">
        <f t="shared" si="16"/>
        <v>9.50761194029851</v>
      </c>
      <c r="H137" s="18"/>
      <c r="I137" s="18">
        <f t="shared" si="14"/>
        <v>0</v>
      </c>
      <c r="J137" s="45">
        <f t="shared" si="17"/>
        <v>0</v>
      </c>
      <c r="K137"/>
      <c r="L137" s="37">
        <f t="shared" si="15"/>
        <v>0</v>
      </c>
      <c r="M137" s="12"/>
      <c r="N137" s="50">
        <f t="shared" si="18"/>
        <v>0</v>
      </c>
    </row>
    <row r="138" spans="1:14" ht="80.099999999999994" customHeight="1">
      <c r="A138" s="28">
        <v>8803463010744</v>
      </c>
      <c r="B138" s="34" t="s">
        <v>163</v>
      </c>
      <c r="C138" s="29" t="s">
        <v>251</v>
      </c>
      <c r="D138" s="30">
        <v>48</v>
      </c>
      <c r="E138" s="31">
        <v>25000</v>
      </c>
      <c r="F138" s="32">
        <v>11375.100000000002</v>
      </c>
      <c r="G138" s="40">
        <f t="shared" si="16"/>
        <v>8.4888805970149264</v>
      </c>
      <c r="H138" s="18"/>
      <c r="I138" s="18">
        <f t="shared" si="14"/>
        <v>0</v>
      </c>
      <c r="J138" s="45">
        <f t="shared" si="17"/>
        <v>0</v>
      </c>
      <c r="K138"/>
      <c r="L138" s="37">
        <f t="shared" si="15"/>
        <v>0</v>
      </c>
      <c r="M138" s="12"/>
      <c r="N138" s="50">
        <f t="shared" si="18"/>
        <v>0</v>
      </c>
    </row>
    <row r="139" spans="1:14" ht="80.099999999999994" customHeight="1">
      <c r="A139" s="28">
        <v>8803463012199</v>
      </c>
      <c r="B139" s="34" t="s">
        <v>164</v>
      </c>
      <c r="C139" s="29" t="s">
        <v>232</v>
      </c>
      <c r="D139" s="30">
        <v>96</v>
      </c>
      <c r="E139" s="31">
        <v>42000</v>
      </c>
      <c r="F139" s="32">
        <v>19110.300000000003</v>
      </c>
      <c r="G139" s="40">
        <f t="shared" si="16"/>
        <v>14.261417910447763</v>
      </c>
      <c r="H139" s="18"/>
      <c r="I139" s="18">
        <f t="shared" si="14"/>
        <v>0</v>
      </c>
      <c r="J139" s="45">
        <f t="shared" si="17"/>
        <v>0</v>
      </c>
      <c r="K139"/>
      <c r="L139" s="37">
        <f t="shared" si="15"/>
        <v>0</v>
      </c>
      <c r="M139" s="12"/>
      <c r="N139" s="50">
        <f t="shared" si="18"/>
        <v>0</v>
      </c>
    </row>
    <row r="140" spans="1:14" ht="80.099999999999994" customHeight="1">
      <c r="A140" s="28">
        <v>8803463012823</v>
      </c>
      <c r="B140" s="34" t="s">
        <v>165</v>
      </c>
      <c r="C140" s="29" t="s">
        <v>231</v>
      </c>
      <c r="D140" s="30">
        <v>48</v>
      </c>
      <c r="E140" s="31">
        <v>28000</v>
      </c>
      <c r="F140" s="32">
        <v>12740.200000000003</v>
      </c>
      <c r="G140" s="40">
        <f t="shared" si="16"/>
        <v>9.50761194029851</v>
      </c>
      <c r="H140" s="18"/>
      <c r="I140" s="18">
        <f t="shared" si="14"/>
        <v>0</v>
      </c>
      <c r="J140" s="45">
        <f t="shared" si="17"/>
        <v>0</v>
      </c>
      <c r="K140"/>
      <c r="L140" s="37">
        <f t="shared" si="15"/>
        <v>0</v>
      </c>
      <c r="M140" s="12"/>
      <c r="N140" s="50">
        <f t="shared" si="18"/>
        <v>0</v>
      </c>
    </row>
    <row r="141" spans="1:14" ht="80.099999999999994" customHeight="1">
      <c r="A141" s="28">
        <v>8803463007461</v>
      </c>
      <c r="B141" s="34" t="s">
        <v>166</v>
      </c>
      <c r="C141" s="29" t="s">
        <v>250</v>
      </c>
      <c r="D141" s="30">
        <v>56</v>
      </c>
      <c r="E141" s="31">
        <v>36000</v>
      </c>
      <c r="F141" s="32">
        <v>16380.100000000002</v>
      </c>
      <c r="G141" s="40">
        <f t="shared" si="16"/>
        <v>12.2239552238806</v>
      </c>
      <c r="H141" s="18"/>
      <c r="I141" s="18">
        <f t="shared" si="14"/>
        <v>0</v>
      </c>
      <c r="J141" s="45">
        <f t="shared" si="17"/>
        <v>0</v>
      </c>
      <c r="K141"/>
      <c r="L141" s="37">
        <f t="shared" si="15"/>
        <v>0</v>
      </c>
      <c r="M141" s="12"/>
      <c r="N141" s="50">
        <f t="shared" si="18"/>
        <v>0</v>
      </c>
    </row>
    <row r="142" spans="1:14" ht="80.099999999999994" customHeight="1">
      <c r="A142" s="28">
        <v>8803463007508</v>
      </c>
      <c r="B142" s="34" t="s">
        <v>31</v>
      </c>
      <c r="C142" s="29" t="s">
        <v>221</v>
      </c>
      <c r="D142" s="30">
        <v>48</v>
      </c>
      <c r="E142" s="31">
        <v>14000</v>
      </c>
      <c r="F142" s="32">
        <v>6370.1000000000013</v>
      </c>
      <c r="G142" s="40">
        <f t="shared" si="16"/>
        <v>4.753805970149255</v>
      </c>
      <c r="H142" s="18"/>
      <c r="I142" s="18">
        <f t="shared" si="14"/>
        <v>0</v>
      </c>
      <c r="J142" s="45">
        <f t="shared" si="17"/>
        <v>0</v>
      </c>
      <c r="K142"/>
      <c r="L142" s="37">
        <f t="shared" si="15"/>
        <v>0</v>
      </c>
      <c r="M142" s="12"/>
      <c r="N142" s="50">
        <f t="shared" si="18"/>
        <v>0</v>
      </c>
    </row>
    <row r="143" spans="1:14" ht="80.099999999999994" customHeight="1">
      <c r="A143" s="28">
        <v>8803463009717</v>
      </c>
      <c r="B143" s="34" t="s">
        <v>167</v>
      </c>
      <c r="C143" s="29" t="s">
        <v>263</v>
      </c>
      <c r="D143" s="30">
        <v>48</v>
      </c>
      <c r="E143" s="31">
        <v>19000</v>
      </c>
      <c r="F143" s="32">
        <v>8644.9000000000015</v>
      </c>
      <c r="G143" s="40">
        <f t="shared" si="16"/>
        <v>6.4514179104477627</v>
      </c>
      <c r="H143" s="18"/>
      <c r="I143" s="18">
        <f t="shared" si="14"/>
        <v>0</v>
      </c>
      <c r="J143" s="45">
        <f t="shared" si="17"/>
        <v>0</v>
      </c>
      <c r="K143"/>
      <c r="L143" s="37">
        <f t="shared" si="15"/>
        <v>0</v>
      </c>
      <c r="M143" s="12"/>
      <c r="N143" s="50">
        <f t="shared" si="18"/>
        <v>0</v>
      </c>
    </row>
    <row r="144" spans="1:14" ht="80.099999999999994" customHeight="1">
      <c r="A144" s="28">
        <v>8803463009724</v>
      </c>
      <c r="B144" s="34" t="s">
        <v>168</v>
      </c>
      <c r="C144" s="29" t="s">
        <v>263</v>
      </c>
      <c r="D144" s="30">
        <v>48</v>
      </c>
      <c r="E144" s="31">
        <v>21000</v>
      </c>
      <c r="F144" s="32">
        <v>9554.6000000000022</v>
      </c>
      <c r="G144" s="40">
        <f t="shared" si="16"/>
        <v>7.1302985074626886</v>
      </c>
      <c r="H144" s="18"/>
      <c r="I144" s="18">
        <f t="shared" si="14"/>
        <v>0</v>
      </c>
      <c r="J144" s="45">
        <f t="shared" si="17"/>
        <v>0</v>
      </c>
      <c r="K144"/>
      <c r="L144" s="37">
        <f t="shared" si="15"/>
        <v>0</v>
      </c>
      <c r="M144" s="12"/>
      <c r="N144" s="50">
        <f t="shared" si="18"/>
        <v>0</v>
      </c>
    </row>
    <row r="145" spans="1:14" ht="80.099999999999994" customHeight="1">
      <c r="A145" s="28">
        <v>8803463009731</v>
      </c>
      <c r="B145" s="34" t="s">
        <v>169</v>
      </c>
      <c r="C145" s="29" t="s">
        <v>263</v>
      </c>
      <c r="D145" s="30">
        <v>48</v>
      </c>
      <c r="E145" s="31">
        <v>28000</v>
      </c>
      <c r="F145" s="32">
        <v>12740.200000000003</v>
      </c>
      <c r="G145" s="40">
        <f t="shared" si="16"/>
        <v>9.50761194029851</v>
      </c>
      <c r="H145" s="18"/>
      <c r="I145" s="18">
        <f t="shared" si="14"/>
        <v>0</v>
      </c>
      <c r="J145" s="45">
        <f t="shared" si="17"/>
        <v>0</v>
      </c>
      <c r="K145"/>
      <c r="L145" s="37">
        <f t="shared" si="15"/>
        <v>0</v>
      </c>
      <c r="M145" s="12"/>
      <c r="N145" s="50">
        <f t="shared" si="18"/>
        <v>0</v>
      </c>
    </row>
    <row r="146" spans="1:14" ht="80.099999999999994" customHeight="1">
      <c r="A146" s="28">
        <v>8803463010577</v>
      </c>
      <c r="B146" s="34" t="s">
        <v>170</v>
      </c>
      <c r="C146" s="29" t="s">
        <v>264</v>
      </c>
      <c r="D146" s="30">
        <v>36</v>
      </c>
      <c r="E146" s="31">
        <v>30000</v>
      </c>
      <c r="F146" s="32">
        <v>13649.9</v>
      </c>
      <c r="G146" s="40">
        <f t="shared" si="16"/>
        <v>10.186492537313432</v>
      </c>
      <c r="H146" s="18"/>
      <c r="I146" s="18">
        <f t="shared" si="14"/>
        <v>0</v>
      </c>
      <c r="J146" s="45">
        <f t="shared" si="17"/>
        <v>0</v>
      </c>
      <c r="K146"/>
      <c r="L146" s="37">
        <f t="shared" si="15"/>
        <v>0</v>
      </c>
      <c r="M146" s="12"/>
      <c r="N146" s="50">
        <f t="shared" si="18"/>
        <v>0</v>
      </c>
    </row>
    <row r="147" spans="1:14" ht="80.099999999999994" customHeight="1">
      <c r="A147" s="28">
        <v>8803463008109</v>
      </c>
      <c r="B147" s="34" t="s">
        <v>171</v>
      </c>
      <c r="C147" s="29" t="s">
        <v>265</v>
      </c>
      <c r="D147" s="30">
        <v>90</v>
      </c>
      <c r="E147" s="31">
        <v>28000</v>
      </c>
      <c r="F147" s="32">
        <v>12740.200000000003</v>
      </c>
      <c r="G147" s="40">
        <f t="shared" si="16"/>
        <v>9.50761194029851</v>
      </c>
      <c r="H147" s="18"/>
      <c r="I147" s="18">
        <f t="shared" si="14"/>
        <v>0</v>
      </c>
      <c r="J147" s="45">
        <f t="shared" si="17"/>
        <v>0</v>
      </c>
      <c r="K147"/>
      <c r="L147" s="37">
        <f t="shared" si="15"/>
        <v>0</v>
      </c>
      <c r="M147" s="12"/>
      <c r="N147" s="50">
        <f t="shared" si="18"/>
        <v>0</v>
      </c>
    </row>
    <row r="148" spans="1:14" ht="80.099999999999994" customHeight="1">
      <c r="A148" s="28">
        <v>8803463013288</v>
      </c>
      <c r="B148" s="34" t="s">
        <v>172</v>
      </c>
      <c r="C148" s="29" t="s">
        <v>266</v>
      </c>
      <c r="D148" s="30">
        <v>60</v>
      </c>
      <c r="E148" s="31">
        <v>23000</v>
      </c>
      <c r="F148" s="32">
        <v>10465.400000000001</v>
      </c>
      <c r="G148" s="40">
        <f t="shared" si="16"/>
        <v>7.8100000000000014</v>
      </c>
      <c r="H148" s="18"/>
      <c r="I148" s="18">
        <f t="shared" si="14"/>
        <v>0</v>
      </c>
      <c r="J148" s="45">
        <f t="shared" si="17"/>
        <v>0</v>
      </c>
      <c r="K148"/>
      <c r="L148" s="37">
        <f t="shared" si="15"/>
        <v>0</v>
      </c>
      <c r="M148" s="12"/>
      <c r="N148" s="50">
        <f t="shared" si="18"/>
        <v>0</v>
      </c>
    </row>
    <row r="149" spans="1:14" ht="80.099999999999994" customHeight="1">
      <c r="A149" s="28">
        <v>8803463013295</v>
      </c>
      <c r="B149" s="34" t="s">
        <v>173</v>
      </c>
      <c r="C149" s="29" t="s">
        <v>266</v>
      </c>
      <c r="D149" s="30">
        <v>60</v>
      </c>
      <c r="E149" s="31">
        <v>23000</v>
      </c>
      <c r="F149" s="32">
        <v>10465.400000000001</v>
      </c>
      <c r="G149" s="40">
        <f t="shared" si="16"/>
        <v>7.8100000000000014</v>
      </c>
      <c r="H149" s="18"/>
      <c r="I149" s="18">
        <f t="shared" si="14"/>
        <v>0</v>
      </c>
      <c r="J149" s="45">
        <f t="shared" si="17"/>
        <v>0</v>
      </c>
      <c r="K149"/>
      <c r="L149" s="37">
        <f t="shared" si="15"/>
        <v>0</v>
      </c>
      <c r="M149" s="12"/>
      <c r="N149" s="50">
        <f t="shared" si="18"/>
        <v>0</v>
      </c>
    </row>
    <row r="150" spans="1:14" ht="80.099999999999994" customHeight="1">
      <c r="A150" s="28">
        <v>8803463013301</v>
      </c>
      <c r="B150" s="34" t="s">
        <v>174</v>
      </c>
      <c r="C150" s="29" t="s">
        <v>266</v>
      </c>
      <c r="D150" s="30">
        <v>60</v>
      </c>
      <c r="E150" s="31">
        <v>23000</v>
      </c>
      <c r="F150" s="32">
        <v>10465.400000000001</v>
      </c>
      <c r="G150" s="40">
        <f t="shared" si="16"/>
        <v>7.8100000000000014</v>
      </c>
      <c r="H150" s="18"/>
      <c r="I150" s="18">
        <f t="shared" si="14"/>
        <v>0</v>
      </c>
      <c r="J150" s="45">
        <f t="shared" si="17"/>
        <v>0</v>
      </c>
      <c r="K150"/>
      <c r="L150" s="37">
        <f t="shared" si="15"/>
        <v>0</v>
      </c>
      <c r="M150" s="12"/>
      <c r="N150" s="50">
        <f t="shared" si="18"/>
        <v>0</v>
      </c>
    </row>
    <row r="151" spans="1:14" ht="80.099999999999994" customHeight="1">
      <c r="A151" s="28">
        <v>8803463013318</v>
      </c>
      <c r="B151" s="34" t="s">
        <v>175</v>
      </c>
      <c r="C151" s="29" t="s">
        <v>266</v>
      </c>
      <c r="D151" s="30">
        <v>60</v>
      </c>
      <c r="E151" s="31">
        <v>23000</v>
      </c>
      <c r="F151" s="32">
        <v>10465.400000000001</v>
      </c>
      <c r="G151" s="40">
        <f t="shared" si="16"/>
        <v>7.8100000000000014</v>
      </c>
      <c r="H151" s="18"/>
      <c r="I151" s="18">
        <f t="shared" si="14"/>
        <v>0</v>
      </c>
      <c r="J151" s="45">
        <f t="shared" si="17"/>
        <v>0</v>
      </c>
      <c r="K151"/>
      <c r="L151" s="37">
        <f t="shared" si="15"/>
        <v>0</v>
      </c>
      <c r="M151" s="12"/>
      <c r="N151" s="50">
        <f t="shared" si="18"/>
        <v>0</v>
      </c>
    </row>
    <row r="152" spans="1:14" ht="80.099999999999994" customHeight="1">
      <c r="A152" s="28">
        <v>8803463008987</v>
      </c>
      <c r="B152" s="34" t="s">
        <v>176</v>
      </c>
      <c r="C152" s="29" t="s">
        <v>267</v>
      </c>
      <c r="D152" s="30">
        <v>30</v>
      </c>
      <c r="E152" s="31">
        <v>35000</v>
      </c>
      <c r="F152" s="32">
        <v>15924.700000000003</v>
      </c>
      <c r="G152" s="40">
        <f t="shared" si="16"/>
        <v>11.884104477611942</v>
      </c>
      <c r="H152" s="18"/>
      <c r="I152" s="18">
        <f t="shared" si="14"/>
        <v>0</v>
      </c>
      <c r="J152" s="45">
        <f t="shared" si="17"/>
        <v>0</v>
      </c>
      <c r="K152"/>
      <c r="L152" s="37">
        <f t="shared" si="15"/>
        <v>0</v>
      </c>
      <c r="M152" s="12"/>
      <c r="N152" s="50">
        <f t="shared" si="18"/>
        <v>0</v>
      </c>
    </row>
    <row r="153" spans="1:14" ht="80.099999999999994" customHeight="1">
      <c r="A153" s="28">
        <v>8803463009762</v>
      </c>
      <c r="B153" s="34" t="s">
        <v>177</v>
      </c>
      <c r="C153" s="29" t="s">
        <v>268</v>
      </c>
      <c r="D153" s="30">
        <v>48</v>
      </c>
      <c r="E153" s="31">
        <v>32000</v>
      </c>
      <c r="F153" s="32">
        <v>14559.6</v>
      </c>
      <c r="G153" s="40">
        <f t="shared" si="16"/>
        <v>10.865373134328358</v>
      </c>
      <c r="H153" s="18"/>
      <c r="I153" s="18">
        <f t="shared" si="14"/>
        <v>0</v>
      </c>
      <c r="J153" s="45">
        <f t="shared" si="17"/>
        <v>0</v>
      </c>
      <c r="K153"/>
      <c r="L153" s="37">
        <f t="shared" si="15"/>
        <v>0</v>
      </c>
      <c r="M153" s="12"/>
      <c r="N153" s="50">
        <f t="shared" si="18"/>
        <v>0</v>
      </c>
    </row>
    <row r="154" spans="1:14" ht="80.099999999999994" customHeight="1">
      <c r="A154" s="28">
        <v>8803463009779</v>
      </c>
      <c r="B154" s="34" t="s">
        <v>178</v>
      </c>
      <c r="C154" s="29" t="s">
        <v>268</v>
      </c>
      <c r="D154" s="30">
        <v>48</v>
      </c>
      <c r="E154" s="31">
        <v>42000</v>
      </c>
      <c r="F154" s="32">
        <v>19110.300000000003</v>
      </c>
      <c r="G154" s="40">
        <f t="shared" si="16"/>
        <v>14.261417910447763</v>
      </c>
      <c r="H154" s="18"/>
      <c r="I154" s="18">
        <f t="shared" si="14"/>
        <v>0</v>
      </c>
      <c r="J154" s="45">
        <f t="shared" si="17"/>
        <v>0</v>
      </c>
      <c r="K154"/>
      <c r="L154" s="37">
        <f t="shared" si="15"/>
        <v>0</v>
      </c>
      <c r="M154" s="12"/>
      <c r="N154" s="50">
        <f t="shared" si="18"/>
        <v>0</v>
      </c>
    </row>
    <row r="155" spans="1:14" ht="80.099999999999994" customHeight="1">
      <c r="A155" s="28">
        <v>8803463009960</v>
      </c>
      <c r="B155" s="34" t="s">
        <v>179</v>
      </c>
      <c r="C155" s="29" t="s">
        <v>268</v>
      </c>
      <c r="D155" s="30">
        <v>48</v>
      </c>
      <c r="E155" s="31">
        <v>52000</v>
      </c>
      <c r="F155" s="32">
        <v>23659.900000000005</v>
      </c>
      <c r="G155" s="40">
        <f t="shared" si="16"/>
        <v>17.65664179104478</v>
      </c>
      <c r="H155" s="18"/>
      <c r="I155" s="18">
        <f t="shared" si="14"/>
        <v>0</v>
      </c>
      <c r="J155" s="45">
        <f t="shared" si="17"/>
        <v>0</v>
      </c>
      <c r="K155"/>
      <c r="L155" s="37">
        <f t="shared" si="15"/>
        <v>0</v>
      </c>
      <c r="M155" s="12"/>
      <c r="N155" s="50">
        <f t="shared" si="18"/>
        <v>0</v>
      </c>
    </row>
    <row r="156" spans="1:14" ht="80.099999999999994" customHeight="1">
      <c r="A156" s="28">
        <v>8803463008567</v>
      </c>
      <c r="B156" s="34" t="s">
        <v>180</v>
      </c>
      <c r="C156" s="29" t="s">
        <v>241</v>
      </c>
      <c r="D156" s="30">
        <v>96</v>
      </c>
      <c r="E156" s="31">
        <v>15000</v>
      </c>
      <c r="F156" s="32">
        <v>6825.5000000000009</v>
      </c>
      <c r="G156" s="40">
        <f t="shared" si="16"/>
        <v>5.093656716417911</v>
      </c>
      <c r="H156" s="18"/>
      <c r="I156" s="18">
        <f t="shared" si="14"/>
        <v>0</v>
      </c>
      <c r="J156" s="45">
        <f t="shared" si="17"/>
        <v>0</v>
      </c>
      <c r="K156"/>
      <c r="L156" s="37">
        <f t="shared" si="15"/>
        <v>0</v>
      </c>
      <c r="M156" s="12"/>
      <c r="N156" s="50">
        <f t="shared" si="18"/>
        <v>0</v>
      </c>
    </row>
    <row r="157" spans="1:14" ht="80.099999999999994" customHeight="1">
      <c r="A157" s="28">
        <v>8803463008598</v>
      </c>
      <c r="B157" s="34" t="s">
        <v>181</v>
      </c>
      <c r="C157" s="29" t="s">
        <v>241</v>
      </c>
      <c r="D157" s="30">
        <v>96</v>
      </c>
      <c r="E157" s="31">
        <v>15000</v>
      </c>
      <c r="F157" s="32">
        <v>6825.5000000000009</v>
      </c>
      <c r="G157" s="40">
        <f t="shared" si="16"/>
        <v>5.093656716417911</v>
      </c>
      <c r="H157" s="18"/>
      <c r="I157" s="18">
        <f t="shared" si="14"/>
        <v>0</v>
      </c>
      <c r="J157" s="45">
        <f t="shared" si="17"/>
        <v>0</v>
      </c>
      <c r="K157"/>
      <c r="L157" s="37">
        <f t="shared" si="15"/>
        <v>0</v>
      </c>
      <c r="M157" s="12"/>
      <c r="N157" s="50">
        <f t="shared" si="18"/>
        <v>0</v>
      </c>
    </row>
    <row r="158" spans="1:14" ht="80.099999999999994" customHeight="1">
      <c r="A158" s="28">
        <v>8803463009366</v>
      </c>
      <c r="B158" s="34" t="s">
        <v>182</v>
      </c>
      <c r="C158" s="29" t="s">
        <v>241</v>
      </c>
      <c r="D158" s="30">
        <v>96</v>
      </c>
      <c r="E158" s="31">
        <v>15000</v>
      </c>
      <c r="F158" s="32">
        <v>6825.5000000000009</v>
      </c>
      <c r="G158" s="40">
        <f t="shared" si="16"/>
        <v>5.093656716417911</v>
      </c>
      <c r="H158" s="18"/>
      <c r="I158" s="18">
        <f t="shared" si="14"/>
        <v>0</v>
      </c>
      <c r="J158" s="45">
        <f t="shared" si="17"/>
        <v>0</v>
      </c>
      <c r="K158"/>
      <c r="L158" s="37">
        <f t="shared" si="15"/>
        <v>0</v>
      </c>
      <c r="M158" s="12"/>
      <c r="N158" s="50">
        <f t="shared" si="18"/>
        <v>0</v>
      </c>
    </row>
    <row r="159" spans="1:14" ht="80.099999999999994" customHeight="1">
      <c r="A159" s="28">
        <v>8803463009373</v>
      </c>
      <c r="B159" s="34" t="s">
        <v>183</v>
      </c>
      <c r="C159" s="29" t="s">
        <v>241</v>
      </c>
      <c r="D159" s="30">
        <v>96</v>
      </c>
      <c r="E159" s="31">
        <v>15000</v>
      </c>
      <c r="F159" s="32">
        <v>6825.5000000000009</v>
      </c>
      <c r="G159" s="40">
        <f t="shared" si="16"/>
        <v>5.093656716417911</v>
      </c>
      <c r="H159" s="18"/>
      <c r="I159" s="18">
        <f t="shared" si="14"/>
        <v>0</v>
      </c>
      <c r="J159" s="45">
        <f t="shared" si="17"/>
        <v>0</v>
      </c>
      <c r="K159"/>
      <c r="L159" s="37">
        <f t="shared" si="15"/>
        <v>0</v>
      </c>
      <c r="M159" s="12"/>
      <c r="N159" s="50">
        <f t="shared" si="18"/>
        <v>0</v>
      </c>
    </row>
    <row r="160" spans="1:14" ht="80.099999999999994" customHeight="1">
      <c r="A160" s="28">
        <v>8803463014407</v>
      </c>
      <c r="B160" s="34" t="s">
        <v>184</v>
      </c>
      <c r="C160" s="29" t="s">
        <v>269</v>
      </c>
      <c r="D160" s="30">
        <v>24</v>
      </c>
      <c r="E160" s="31">
        <v>25000</v>
      </c>
      <c r="F160" s="32">
        <v>11375.100000000002</v>
      </c>
      <c r="G160" s="40">
        <f t="shared" si="16"/>
        <v>8.4888805970149264</v>
      </c>
      <c r="H160" s="18"/>
      <c r="I160" s="18">
        <f t="shared" si="14"/>
        <v>0</v>
      </c>
      <c r="J160" s="45">
        <f t="shared" si="17"/>
        <v>0</v>
      </c>
      <c r="K160"/>
      <c r="L160" s="37">
        <f t="shared" si="15"/>
        <v>0</v>
      </c>
      <c r="M160" s="12"/>
      <c r="N160" s="50">
        <f t="shared" si="18"/>
        <v>0</v>
      </c>
    </row>
    <row r="161" spans="1:14" ht="80.099999999999994" customHeight="1">
      <c r="A161" s="28">
        <v>8803463014070</v>
      </c>
      <c r="B161" s="34" t="s">
        <v>185</v>
      </c>
      <c r="C161" s="29" t="s">
        <v>270</v>
      </c>
      <c r="D161" s="30">
        <v>48</v>
      </c>
      <c r="E161" s="31">
        <v>22000</v>
      </c>
      <c r="F161" s="32">
        <v>10010.000000000002</v>
      </c>
      <c r="G161" s="40">
        <f t="shared" si="16"/>
        <v>7.4701492537313445</v>
      </c>
      <c r="H161" s="18"/>
      <c r="I161" s="18">
        <f t="shared" si="14"/>
        <v>0</v>
      </c>
      <c r="J161" s="45">
        <f t="shared" si="17"/>
        <v>0</v>
      </c>
      <c r="K161"/>
      <c r="L161" s="37">
        <f t="shared" si="15"/>
        <v>0</v>
      </c>
      <c r="M161" s="12"/>
      <c r="N161" s="50">
        <f t="shared" si="18"/>
        <v>0</v>
      </c>
    </row>
    <row r="162" spans="1:14" ht="80.099999999999994" customHeight="1">
      <c r="A162" s="28">
        <v>8803463015442</v>
      </c>
      <c r="B162" s="34" t="s">
        <v>186</v>
      </c>
      <c r="C162" s="29" t="s">
        <v>271</v>
      </c>
      <c r="D162" s="30">
        <v>36</v>
      </c>
      <c r="E162" s="31">
        <v>22000</v>
      </c>
      <c r="F162" s="32">
        <v>10010.000000000002</v>
      </c>
      <c r="G162" s="40">
        <f t="shared" si="16"/>
        <v>7.4701492537313445</v>
      </c>
      <c r="H162" s="18"/>
      <c r="I162" s="18">
        <f t="shared" si="14"/>
        <v>0</v>
      </c>
      <c r="J162" s="45">
        <f t="shared" si="17"/>
        <v>0</v>
      </c>
      <c r="K162"/>
      <c r="L162" s="37">
        <f t="shared" si="15"/>
        <v>0</v>
      </c>
      <c r="M162" s="12"/>
      <c r="N162" s="50">
        <f t="shared" si="18"/>
        <v>0</v>
      </c>
    </row>
    <row r="163" spans="1:14" ht="80.099999999999994" customHeight="1">
      <c r="A163" s="28">
        <v>8803463015435</v>
      </c>
      <c r="B163" s="34" t="s">
        <v>187</v>
      </c>
      <c r="C163" s="29" t="s">
        <v>271</v>
      </c>
      <c r="D163" s="30">
        <v>36</v>
      </c>
      <c r="E163" s="31">
        <v>22000</v>
      </c>
      <c r="F163" s="32">
        <v>10010.000000000002</v>
      </c>
      <c r="G163" s="40">
        <f t="shared" si="16"/>
        <v>7.4701492537313445</v>
      </c>
      <c r="H163" s="18"/>
      <c r="I163" s="18">
        <f t="shared" si="14"/>
        <v>0</v>
      </c>
      <c r="J163" s="45">
        <f t="shared" si="17"/>
        <v>0</v>
      </c>
      <c r="K163"/>
      <c r="L163" s="37">
        <f t="shared" si="15"/>
        <v>0</v>
      </c>
      <c r="M163" s="12"/>
      <c r="N163" s="50">
        <f t="shared" si="18"/>
        <v>0</v>
      </c>
    </row>
    <row r="164" spans="1:14" ht="80.099999999999994" customHeight="1">
      <c r="A164" s="28">
        <v>8803463011314</v>
      </c>
      <c r="B164" s="34" t="s">
        <v>188</v>
      </c>
      <c r="C164" s="29" t="s">
        <v>272</v>
      </c>
      <c r="D164" s="30">
        <v>90</v>
      </c>
      <c r="E164" s="31">
        <v>39000</v>
      </c>
      <c r="F164" s="32">
        <v>17745.2</v>
      </c>
      <c r="G164" s="40">
        <f t="shared" si="16"/>
        <v>13.24268656716418</v>
      </c>
      <c r="H164" s="18"/>
      <c r="I164" s="18">
        <f t="shared" si="14"/>
        <v>0</v>
      </c>
      <c r="J164" s="45">
        <f t="shared" si="17"/>
        <v>0</v>
      </c>
      <c r="K164"/>
      <c r="L164" s="37">
        <f t="shared" si="15"/>
        <v>0</v>
      </c>
      <c r="M164" s="12"/>
      <c r="N164" s="50">
        <f t="shared" si="18"/>
        <v>0</v>
      </c>
    </row>
    <row r="165" spans="1:14" ht="80.099999999999994" customHeight="1">
      <c r="A165" s="28">
        <v>8803463011420</v>
      </c>
      <c r="B165" s="34" t="s">
        <v>189</v>
      </c>
      <c r="C165" s="29" t="s">
        <v>273</v>
      </c>
      <c r="D165" s="30">
        <v>20</v>
      </c>
      <c r="E165" s="31">
        <v>76000</v>
      </c>
      <c r="F165" s="32">
        <v>34579.600000000006</v>
      </c>
      <c r="G165" s="40">
        <f t="shared" si="16"/>
        <v>25.805671641791051</v>
      </c>
      <c r="H165" s="18"/>
      <c r="I165" s="18">
        <f t="shared" si="14"/>
        <v>0</v>
      </c>
      <c r="J165" s="45">
        <f t="shared" si="17"/>
        <v>0</v>
      </c>
      <c r="K165"/>
      <c r="L165" s="37">
        <f t="shared" si="15"/>
        <v>0</v>
      </c>
      <c r="M165" s="12"/>
      <c r="N165" s="50">
        <f t="shared" si="18"/>
        <v>0</v>
      </c>
    </row>
    <row r="166" spans="1:14" ht="80.099999999999994" customHeight="1">
      <c r="A166" s="28">
        <v>8803463013202</v>
      </c>
      <c r="B166" s="34" t="s">
        <v>190</v>
      </c>
      <c r="C166" s="29" t="s">
        <v>234</v>
      </c>
      <c r="D166" s="30">
        <v>48</v>
      </c>
      <c r="E166" s="31">
        <v>52000</v>
      </c>
      <c r="F166" s="32">
        <v>23659.900000000005</v>
      </c>
      <c r="G166" s="40">
        <f t="shared" si="16"/>
        <v>17.65664179104478</v>
      </c>
      <c r="H166" s="18"/>
      <c r="I166" s="18">
        <f t="shared" ref="I166:I197" si="19">H166*D166</f>
        <v>0</v>
      </c>
      <c r="J166" s="45">
        <f t="shared" si="17"/>
        <v>0</v>
      </c>
      <c r="K166"/>
      <c r="L166" s="37">
        <f t="shared" ref="L166:L197" si="20">M166/D166</f>
        <v>0</v>
      </c>
      <c r="M166" s="12"/>
      <c r="N166" s="50">
        <f t="shared" si="18"/>
        <v>0</v>
      </c>
    </row>
    <row r="167" spans="1:14" ht="80.099999999999994" customHeight="1">
      <c r="A167" s="28">
        <v>8803463013219</v>
      </c>
      <c r="B167" s="34" t="s">
        <v>191</v>
      </c>
      <c r="C167" s="29" t="s">
        <v>231</v>
      </c>
      <c r="D167" s="30">
        <v>48</v>
      </c>
      <c r="E167" s="31">
        <v>68000</v>
      </c>
      <c r="F167" s="32">
        <v>30939.700000000004</v>
      </c>
      <c r="G167" s="40">
        <f t="shared" si="16"/>
        <v>23.089328358208959</v>
      </c>
      <c r="H167" s="18"/>
      <c r="I167" s="18">
        <f t="shared" si="19"/>
        <v>0</v>
      </c>
      <c r="J167" s="45">
        <f t="shared" si="17"/>
        <v>0</v>
      </c>
      <c r="K167"/>
      <c r="L167" s="37">
        <f t="shared" si="20"/>
        <v>0</v>
      </c>
      <c r="M167" s="12"/>
      <c r="N167" s="50">
        <f t="shared" si="18"/>
        <v>0</v>
      </c>
    </row>
    <row r="168" spans="1:14" ht="80.099999999999994" customHeight="1">
      <c r="A168" s="28">
        <v>8803463016753</v>
      </c>
      <c r="B168" s="34" t="s">
        <v>192</v>
      </c>
      <c r="C168" s="29" t="s">
        <v>234</v>
      </c>
      <c r="D168" s="30">
        <v>48</v>
      </c>
      <c r="E168" s="31">
        <v>30000</v>
      </c>
      <c r="F168" s="32">
        <v>13649.9</v>
      </c>
      <c r="G168" s="40">
        <f t="shared" si="16"/>
        <v>10.186492537313432</v>
      </c>
      <c r="H168" s="18"/>
      <c r="I168" s="18">
        <f t="shared" si="19"/>
        <v>0</v>
      </c>
      <c r="J168" s="45">
        <f t="shared" si="17"/>
        <v>0</v>
      </c>
      <c r="K168"/>
      <c r="L168" s="37">
        <f t="shared" si="20"/>
        <v>0</v>
      </c>
      <c r="M168" s="12"/>
      <c r="N168" s="50">
        <f t="shared" si="18"/>
        <v>0</v>
      </c>
    </row>
    <row r="169" spans="1:14" ht="80.099999999999994" customHeight="1">
      <c r="A169" s="28">
        <v>8803463016746</v>
      </c>
      <c r="B169" s="34" t="s">
        <v>193</v>
      </c>
      <c r="C169" s="29" t="s">
        <v>234</v>
      </c>
      <c r="D169" s="30">
        <v>48</v>
      </c>
      <c r="E169" s="31">
        <v>30000</v>
      </c>
      <c r="F169" s="32">
        <v>13649.9</v>
      </c>
      <c r="G169" s="40">
        <f t="shared" si="16"/>
        <v>10.186492537313432</v>
      </c>
      <c r="H169" s="18"/>
      <c r="I169" s="18">
        <f t="shared" si="19"/>
        <v>0</v>
      </c>
      <c r="J169" s="45">
        <f t="shared" si="17"/>
        <v>0</v>
      </c>
      <c r="K169"/>
      <c r="L169" s="37">
        <f t="shared" si="20"/>
        <v>0</v>
      </c>
      <c r="M169" s="12"/>
      <c r="N169" s="50">
        <f t="shared" si="18"/>
        <v>0</v>
      </c>
    </row>
    <row r="170" spans="1:14" ht="80.099999999999994" customHeight="1">
      <c r="A170" s="28">
        <v>8803463016739</v>
      </c>
      <c r="B170" s="34" t="s">
        <v>194</v>
      </c>
      <c r="C170" s="29" t="s">
        <v>234</v>
      </c>
      <c r="D170" s="30">
        <v>48</v>
      </c>
      <c r="E170" s="31">
        <v>30000</v>
      </c>
      <c r="F170" s="32">
        <v>13649.9</v>
      </c>
      <c r="G170" s="40">
        <f t="shared" si="16"/>
        <v>10.186492537313432</v>
      </c>
      <c r="H170" s="18"/>
      <c r="I170" s="18">
        <f t="shared" si="19"/>
        <v>0</v>
      </c>
      <c r="J170" s="45">
        <f t="shared" si="17"/>
        <v>0</v>
      </c>
      <c r="K170"/>
      <c r="L170" s="37">
        <f t="shared" si="20"/>
        <v>0</v>
      </c>
      <c r="M170" s="12"/>
      <c r="N170" s="50">
        <f t="shared" si="18"/>
        <v>0</v>
      </c>
    </row>
    <row r="171" spans="1:14" ht="80.099999999999994" customHeight="1">
      <c r="A171" s="28">
        <v>8803463016593</v>
      </c>
      <c r="B171" s="34" t="s">
        <v>195</v>
      </c>
      <c r="C171" s="29" t="s">
        <v>246</v>
      </c>
      <c r="D171" s="30">
        <v>24</v>
      </c>
      <c r="E171" s="31">
        <v>23000</v>
      </c>
      <c r="F171" s="32">
        <v>10465.400000000001</v>
      </c>
      <c r="G171" s="40">
        <f t="shared" si="16"/>
        <v>7.8100000000000014</v>
      </c>
      <c r="H171" s="18"/>
      <c r="I171" s="18">
        <f t="shared" si="19"/>
        <v>0</v>
      </c>
      <c r="J171" s="45">
        <f t="shared" si="17"/>
        <v>0</v>
      </c>
      <c r="K171"/>
      <c r="L171" s="37">
        <f t="shared" si="20"/>
        <v>0</v>
      </c>
      <c r="M171" s="12"/>
      <c r="N171" s="50">
        <f t="shared" si="18"/>
        <v>0</v>
      </c>
    </row>
    <row r="172" spans="1:14" ht="80.099999999999994" customHeight="1">
      <c r="A172" s="28">
        <v>8803463012717</v>
      </c>
      <c r="B172" s="34" t="s">
        <v>196</v>
      </c>
      <c r="C172" s="29" t="s">
        <v>274</v>
      </c>
      <c r="D172" s="30">
        <v>48</v>
      </c>
      <c r="E172" s="31">
        <v>23000</v>
      </c>
      <c r="F172" s="32">
        <v>10465.400000000001</v>
      </c>
      <c r="G172" s="40">
        <f t="shared" si="16"/>
        <v>7.8100000000000014</v>
      </c>
      <c r="H172" s="18"/>
      <c r="I172" s="18">
        <f t="shared" si="19"/>
        <v>0</v>
      </c>
      <c r="J172" s="45">
        <f t="shared" si="17"/>
        <v>0</v>
      </c>
      <c r="K172"/>
      <c r="L172" s="37">
        <f t="shared" si="20"/>
        <v>0</v>
      </c>
      <c r="M172" s="12"/>
      <c r="N172" s="50">
        <f t="shared" si="18"/>
        <v>0</v>
      </c>
    </row>
    <row r="173" spans="1:14" ht="80.099999999999994" customHeight="1">
      <c r="A173" s="28">
        <v>8803463013325</v>
      </c>
      <c r="B173" s="34" t="s">
        <v>197</v>
      </c>
      <c r="C173" s="29" t="s">
        <v>234</v>
      </c>
      <c r="D173" s="30">
        <v>90</v>
      </c>
      <c r="E173" s="31">
        <v>23000</v>
      </c>
      <c r="F173" s="32">
        <v>10465.400000000001</v>
      </c>
      <c r="G173" s="40">
        <f t="shared" si="16"/>
        <v>7.8100000000000014</v>
      </c>
      <c r="H173" s="18"/>
      <c r="I173" s="18">
        <f t="shared" si="19"/>
        <v>0</v>
      </c>
      <c r="J173" s="45">
        <f t="shared" si="17"/>
        <v>0</v>
      </c>
      <c r="K173"/>
      <c r="L173" s="37">
        <f t="shared" si="20"/>
        <v>0</v>
      </c>
      <c r="M173" s="12"/>
      <c r="N173" s="50">
        <f t="shared" si="18"/>
        <v>0</v>
      </c>
    </row>
    <row r="174" spans="1:14" ht="80.099999999999994" customHeight="1">
      <c r="A174" s="28">
        <v>8803463007416</v>
      </c>
      <c r="B174" s="34" t="s">
        <v>89</v>
      </c>
      <c r="C174" s="29" t="s">
        <v>236</v>
      </c>
      <c r="D174" s="30">
        <v>200</v>
      </c>
      <c r="E174" s="31">
        <v>6000</v>
      </c>
      <c r="F174" s="32">
        <v>2730.2000000000007</v>
      </c>
      <c r="G174" s="40">
        <f t="shared" si="16"/>
        <v>2.0374626865671646</v>
      </c>
      <c r="H174" s="18"/>
      <c r="I174" s="18">
        <f t="shared" si="19"/>
        <v>0</v>
      </c>
      <c r="J174" s="45">
        <f t="shared" si="17"/>
        <v>0</v>
      </c>
      <c r="K174"/>
      <c r="L174" s="37">
        <f t="shared" si="20"/>
        <v>0</v>
      </c>
      <c r="M174" s="12"/>
      <c r="N174" s="50">
        <f t="shared" si="18"/>
        <v>0</v>
      </c>
    </row>
    <row r="175" spans="1:14" ht="80.099999999999994" customHeight="1">
      <c r="A175" s="28">
        <v>8803463007409</v>
      </c>
      <c r="B175" s="34" t="s">
        <v>198</v>
      </c>
      <c r="C175" s="29" t="s">
        <v>236</v>
      </c>
      <c r="D175" s="30">
        <v>200</v>
      </c>
      <c r="E175" s="31">
        <v>6000</v>
      </c>
      <c r="F175" s="32">
        <v>2730.2000000000007</v>
      </c>
      <c r="G175" s="40">
        <f t="shared" si="16"/>
        <v>2.0374626865671646</v>
      </c>
      <c r="H175" s="18"/>
      <c r="I175" s="18">
        <f t="shared" si="19"/>
        <v>0</v>
      </c>
      <c r="J175" s="45">
        <f t="shared" si="17"/>
        <v>0</v>
      </c>
      <c r="K175"/>
      <c r="L175" s="37">
        <f t="shared" si="20"/>
        <v>0</v>
      </c>
      <c r="M175" s="12"/>
      <c r="N175" s="50">
        <f t="shared" si="18"/>
        <v>0</v>
      </c>
    </row>
    <row r="176" spans="1:14" ht="80.099999999999994" customHeight="1">
      <c r="A176" s="28">
        <v>8803463007386</v>
      </c>
      <c r="B176" s="34" t="s">
        <v>199</v>
      </c>
      <c r="C176" s="29" t="s">
        <v>236</v>
      </c>
      <c r="D176" s="30">
        <v>200</v>
      </c>
      <c r="E176" s="31">
        <v>6000</v>
      </c>
      <c r="F176" s="32">
        <v>2730.2000000000007</v>
      </c>
      <c r="G176" s="40">
        <f t="shared" si="16"/>
        <v>2.0374626865671646</v>
      </c>
      <c r="H176" s="18"/>
      <c r="I176" s="18">
        <f t="shared" si="19"/>
        <v>0</v>
      </c>
      <c r="J176" s="45">
        <f t="shared" si="17"/>
        <v>0</v>
      </c>
      <c r="K176"/>
      <c r="L176" s="37">
        <f t="shared" si="20"/>
        <v>0</v>
      </c>
      <c r="M176" s="12"/>
      <c r="N176" s="50">
        <f t="shared" si="18"/>
        <v>0</v>
      </c>
    </row>
    <row r="177" spans="1:14" ht="80.099999999999994" customHeight="1">
      <c r="A177" s="28">
        <v>8803463007379</v>
      </c>
      <c r="B177" s="34" t="s">
        <v>200</v>
      </c>
      <c r="C177" s="29" t="s">
        <v>236</v>
      </c>
      <c r="D177" s="30">
        <v>200</v>
      </c>
      <c r="E177" s="31">
        <v>6000</v>
      </c>
      <c r="F177" s="32">
        <v>2730.2000000000007</v>
      </c>
      <c r="G177" s="40">
        <f t="shared" si="16"/>
        <v>2.0374626865671646</v>
      </c>
      <c r="H177" s="18"/>
      <c r="I177" s="18">
        <f t="shared" si="19"/>
        <v>0</v>
      </c>
      <c r="J177" s="45">
        <f t="shared" si="17"/>
        <v>0</v>
      </c>
      <c r="K177"/>
      <c r="L177" s="37">
        <f t="shared" si="20"/>
        <v>0</v>
      </c>
      <c r="M177" s="12"/>
      <c r="N177" s="50">
        <f t="shared" si="18"/>
        <v>0</v>
      </c>
    </row>
    <row r="178" spans="1:14" ht="80.099999999999994" customHeight="1">
      <c r="A178" s="28">
        <v>8803463020040</v>
      </c>
      <c r="B178" s="34" t="s">
        <v>126</v>
      </c>
      <c r="C178" s="29" t="s">
        <v>272</v>
      </c>
      <c r="D178" s="30">
        <v>72</v>
      </c>
      <c r="E178" s="31">
        <v>48000</v>
      </c>
      <c r="F178" s="32">
        <v>21840.500000000004</v>
      </c>
      <c r="G178" s="40">
        <f t="shared" si="16"/>
        <v>16.298880597014929</v>
      </c>
      <c r="H178" s="18"/>
      <c r="I178" s="18">
        <f t="shared" si="19"/>
        <v>0</v>
      </c>
      <c r="J178" s="45">
        <f t="shared" si="17"/>
        <v>0</v>
      </c>
      <c r="K178"/>
      <c r="L178" s="37">
        <f t="shared" si="20"/>
        <v>0</v>
      </c>
      <c r="M178" s="12"/>
      <c r="N178" s="50">
        <f t="shared" si="18"/>
        <v>0</v>
      </c>
    </row>
    <row r="179" spans="1:14" ht="80.099999999999994" customHeight="1">
      <c r="A179" s="28">
        <v>8803463017491</v>
      </c>
      <c r="B179" s="34" t="s">
        <v>201</v>
      </c>
      <c r="C179" s="29" t="s">
        <v>250</v>
      </c>
      <c r="D179" s="30">
        <v>60</v>
      </c>
      <c r="E179" s="31">
        <v>26000</v>
      </c>
      <c r="F179" s="32">
        <v>11830.500000000002</v>
      </c>
      <c r="G179" s="40">
        <f t="shared" si="16"/>
        <v>8.8287313432835841</v>
      </c>
      <c r="H179" s="18"/>
      <c r="I179" s="18">
        <f t="shared" si="19"/>
        <v>0</v>
      </c>
      <c r="J179" s="45">
        <f t="shared" si="17"/>
        <v>0</v>
      </c>
      <c r="K179"/>
      <c r="L179" s="37">
        <f t="shared" si="20"/>
        <v>0</v>
      </c>
      <c r="M179" s="12"/>
      <c r="N179" s="50">
        <f t="shared" si="18"/>
        <v>0</v>
      </c>
    </row>
    <row r="180" spans="1:14" ht="80.099999999999994" customHeight="1">
      <c r="A180" s="28">
        <v>8803463016883</v>
      </c>
      <c r="B180" s="34" t="s">
        <v>202</v>
      </c>
      <c r="C180" s="29" t="s">
        <v>275</v>
      </c>
      <c r="D180" s="30">
        <v>24</v>
      </c>
      <c r="E180" s="31">
        <v>26000</v>
      </c>
      <c r="F180" s="32">
        <v>11830.500000000002</v>
      </c>
      <c r="G180" s="40">
        <f t="shared" si="16"/>
        <v>8.8287313432835841</v>
      </c>
      <c r="H180" s="18"/>
      <c r="I180" s="18">
        <f t="shared" si="19"/>
        <v>0</v>
      </c>
      <c r="J180" s="45">
        <f t="shared" si="17"/>
        <v>0</v>
      </c>
      <c r="K180"/>
      <c r="L180" s="37">
        <f t="shared" si="20"/>
        <v>0</v>
      </c>
      <c r="M180" s="12"/>
      <c r="N180" s="50">
        <f t="shared" si="18"/>
        <v>0</v>
      </c>
    </row>
    <row r="181" spans="1:14" ht="80.099999999999994" customHeight="1">
      <c r="A181" s="28">
        <v>8803463017903</v>
      </c>
      <c r="B181" s="34" t="s">
        <v>203</v>
      </c>
      <c r="C181" s="29" t="s">
        <v>234</v>
      </c>
      <c r="D181" s="30">
        <v>48</v>
      </c>
      <c r="E181" s="31">
        <v>26000</v>
      </c>
      <c r="F181" s="32">
        <v>11830.500000000002</v>
      </c>
      <c r="G181" s="40">
        <f t="shared" si="16"/>
        <v>8.8287313432835841</v>
      </c>
      <c r="H181" s="18"/>
      <c r="I181" s="18">
        <f t="shared" si="19"/>
        <v>0</v>
      </c>
      <c r="J181" s="45">
        <f t="shared" si="17"/>
        <v>0</v>
      </c>
      <c r="K181"/>
      <c r="L181" s="37">
        <f t="shared" si="20"/>
        <v>0</v>
      </c>
      <c r="M181" s="12"/>
      <c r="N181" s="50">
        <f t="shared" si="18"/>
        <v>0</v>
      </c>
    </row>
    <row r="182" spans="1:14" ht="80.099999999999994" customHeight="1">
      <c r="A182" s="28">
        <v>8803463017910</v>
      </c>
      <c r="B182" s="34" t="s">
        <v>204</v>
      </c>
      <c r="C182" s="29" t="s">
        <v>234</v>
      </c>
      <c r="D182" s="30">
        <v>48</v>
      </c>
      <c r="E182" s="31">
        <v>25000</v>
      </c>
      <c r="F182" s="32">
        <v>11375.100000000002</v>
      </c>
      <c r="G182" s="40">
        <f t="shared" si="16"/>
        <v>8.4888805970149264</v>
      </c>
      <c r="H182" s="18"/>
      <c r="I182" s="18">
        <f t="shared" si="19"/>
        <v>0</v>
      </c>
      <c r="J182" s="45">
        <f t="shared" si="17"/>
        <v>0</v>
      </c>
      <c r="K182"/>
      <c r="L182" s="37">
        <f t="shared" si="20"/>
        <v>0</v>
      </c>
      <c r="M182" s="12"/>
      <c r="N182" s="50">
        <f t="shared" si="18"/>
        <v>0</v>
      </c>
    </row>
    <row r="183" spans="1:14" ht="80.099999999999994" customHeight="1">
      <c r="A183" s="28">
        <v>8803463015718</v>
      </c>
      <c r="B183" s="34" t="s">
        <v>205</v>
      </c>
      <c r="C183" s="29" t="s">
        <v>234</v>
      </c>
      <c r="D183" s="30">
        <v>48</v>
      </c>
      <c r="E183" s="31">
        <v>26000</v>
      </c>
      <c r="F183" s="32">
        <v>11830.500000000002</v>
      </c>
      <c r="G183" s="40">
        <f t="shared" si="16"/>
        <v>8.8287313432835841</v>
      </c>
      <c r="H183" s="18"/>
      <c r="I183" s="18">
        <f t="shared" si="19"/>
        <v>0</v>
      </c>
      <c r="J183" s="45">
        <f t="shared" si="17"/>
        <v>0</v>
      </c>
      <c r="K183"/>
      <c r="L183" s="37">
        <f t="shared" si="20"/>
        <v>0</v>
      </c>
      <c r="M183" s="12"/>
      <c r="N183" s="50">
        <f t="shared" si="18"/>
        <v>0</v>
      </c>
    </row>
    <row r="184" spans="1:14" ht="80.099999999999994" customHeight="1">
      <c r="A184" s="28">
        <v>8803463018719</v>
      </c>
      <c r="B184" s="34" t="s">
        <v>206</v>
      </c>
      <c r="C184" s="29" t="s">
        <v>234</v>
      </c>
      <c r="D184" s="30">
        <v>48</v>
      </c>
      <c r="E184" s="31">
        <v>28000</v>
      </c>
      <c r="F184" s="32">
        <v>12740.200000000003</v>
      </c>
      <c r="G184" s="40">
        <f t="shared" si="16"/>
        <v>9.50761194029851</v>
      </c>
      <c r="H184" s="18"/>
      <c r="I184" s="18">
        <f t="shared" si="19"/>
        <v>0</v>
      </c>
      <c r="J184" s="45">
        <f t="shared" si="17"/>
        <v>0</v>
      </c>
      <c r="K184"/>
      <c r="L184" s="37">
        <f t="shared" si="20"/>
        <v>0</v>
      </c>
      <c r="M184" s="12"/>
      <c r="N184" s="50">
        <f t="shared" si="18"/>
        <v>0</v>
      </c>
    </row>
    <row r="185" spans="1:14" ht="80.099999999999994" customHeight="1">
      <c r="A185" s="28">
        <v>8803463016333</v>
      </c>
      <c r="B185" s="34" t="s">
        <v>207</v>
      </c>
      <c r="C185" s="29" t="s">
        <v>276</v>
      </c>
      <c r="D185" s="30">
        <v>40</v>
      </c>
      <c r="E185" s="31">
        <v>19800</v>
      </c>
      <c r="F185" s="32">
        <v>9009.0000000000018</v>
      </c>
      <c r="G185" s="40">
        <f t="shared" si="16"/>
        <v>6.7231343283582099</v>
      </c>
      <c r="H185" s="18"/>
      <c r="I185" s="18">
        <f t="shared" si="19"/>
        <v>0</v>
      </c>
      <c r="J185" s="45">
        <f t="shared" si="17"/>
        <v>0</v>
      </c>
      <c r="K185"/>
      <c r="L185" s="37">
        <f t="shared" si="20"/>
        <v>0</v>
      </c>
      <c r="M185" s="12"/>
      <c r="N185" s="50">
        <f t="shared" si="18"/>
        <v>0</v>
      </c>
    </row>
    <row r="186" spans="1:14" ht="80.099999999999994" customHeight="1">
      <c r="A186" s="28">
        <v>8803463017880</v>
      </c>
      <c r="B186" s="34" t="s">
        <v>208</v>
      </c>
      <c r="C186" s="29" t="s">
        <v>231</v>
      </c>
      <c r="D186" s="30">
        <v>48</v>
      </c>
      <c r="E186" s="31">
        <v>34000</v>
      </c>
      <c r="F186" s="32">
        <v>15470.400000000001</v>
      </c>
      <c r="G186" s="40">
        <f t="shared" si="16"/>
        <v>11.545074626865672</v>
      </c>
      <c r="H186" s="18"/>
      <c r="I186" s="18">
        <f t="shared" si="19"/>
        <v>0</v>
      </c>
      <c r="J186" s="45">
        <f t="shared" si="17"/>
        <v>0</v>
      </c>
      <c r="K186"/>
      <c r="L186" s="37">
        <f t="shared" si="20"/>
        <v>0</v>
      </c>
      <c r="M186" s="12"/>
      <c r="N186" s="50">
        <f t="shared" si="18"/>
        <v>0</v>
      </c>
    </row>
    <row r="187" spans="1:14" ht="80.099999999999994" customHeight="1">
      <c r="A187" s="28">
        <v>8803463018726</v>
      </c>
      <c r="B187" s="34" t="s">
        <v>209</v>
      </c>
      <c r="C187" s="29" t="s">
        <v>271</v>
      </c>
      <c r="D187" s="30">
        <v>36</v>
      </c>
      <c r="E187" s="31">
        <v>23000</v>
      </c>
      <c r="F187" s="32">
        <v>10465.400000000001</v>
      </c>
      <c r="G187" s="40">
        <f t="shared" si="16"/>
        <v>7.8100000000000014</v>
      </c>
      <c r="H187" s="18"/>
      <c r="I187" s="18">
        <f t="shared" si="19"/>
        <v>0</v>
      </c>
      <c r="J187" s="45">
        <f t="shared" si="17"/>
        <v>0</v>
      </c>
      <c r="K187"/>
      <c r="L187" s="37">
        <f t="shared" si="20"/>
        <v>0</v>
      </c>
      <c r="M187" s="12"/>
      <c r="N187" s="50">
        <f t="shared" si="18"/>
        <v>0</v>
      </c>
    </row>
    <row r="188" spans="1:14" ht="80.099999999999994" customHeight="1">
      <c r="A188" s="28">
        <v>8803463017934</v>
      </c>
      <c r="B188" s="34" t="s">
        <v>210</v>
      </c>
      <c r="C188" s="29" t="s">
        <v>277</v>
      </c>
      <c r="D188" s="30">
        <v>48</v>
      </c>
      <c r="E188" s="31">
        <v>23000</v>
      </c>
      <c r="F188" s="32">
        <v>10465.400000000001</v>
      </c>
      <c r="G188" s="40">
        <f t="shared" si="16"/>
        <v>7.8100000000000014</v>
      </c>
      <c r="H188" s="18"/>
      <c r="I188" s="18">
        <f t="shared" si="19"/>
        <v>0</v>
      </c>
      <c r="J188" s="45">
        <f t="shared" si="17"/>
        <v>0</v>
      </c>
      <c r="K188"/>
      <c r="L188" s="37">
        <f t="shared" si="20"/>
        <v>0</v>
      </c>
      <c r="M188" s="12"/>
      <c r="N188" s="50">
        <f t="shared" si="18"/>
        <v>0</v>
      </c>
    </row>
    <row r="189" spans="1:14" ht="80.099999999999994" customHeight="1">
      <c r="A189" s="28">
        <v>8803463017712</v>
      </c>
      <c r="B189" s="34" t="s">
        <v>211</v>
      </c>
      <c r="C189" s="29" t="s">
        <v>231</v>
      </c>
      <c r="D189" s="30">
        <v>48</v>
      </c>
      <c r="E189" s="31">
        <v>34000</v>
      </c>
      <c r="F189" s="32">
        <v>15470.400000000001</v>
      </c>
      <c r="G189" s="40">
        <f t="shared" si="16"/>
        <v>11.545074626865672</v>
      </c>
      <c r="H189" s="18"/>
      <c r="I189" s="18">
        <f t="shared" si="19"/>
        <v>0</v>
      </c>
      <c r="J189" s="45">
        <f t="shared" si="17"/>
        <v>0</v>
      </c>
      <c r="K189"/>
      <c r="L189" s="37">
        <f t="shared" si="20"/>
        <v>0</v>
      </c>
      <c r="M189" s="12"/>
      <c r="N189" s="50">
        <f t="shared" si="18"/>
        <v>0</v>
      </c>
    </row>
    <row r="190" spans="1:14" ht="80.099999999999994" customHeight="1">
      <c r="A190" s="28">
        <v>8803463018108</v>
      </c>
      <c r="B190" s="34" t="s">
        <v>212</v>
      </c>
      <c r="C190" s="29" t="s">
        <v>231</v>
      </c>
      <c r="D190" s="30">
        <v>48</v>
      </c>
      <c r="E190" s="31">
        <v>34000</v>
      </c>
      <c r="F190" s="32">
        <v>15470.400000000001</v>
      </c>
      <c r="G190" s="40">
        <f t="shared" si="16"/>
        <v>11.545074626865672</v>
      </c>
      <c r="H190" s="18"/>
      <c r="I190" s="18">
        <f t="shared" si="19"/>
        <v>0</v>
      </c>
      <c r="J190" s="45">
        <f t="shared" si="17"/>
        <v>0</v>
      </c>
      <c r="K190"/>
      <c r="L190" s="37">
        <f t="shared" si="20"/>
        <v>0</v>
      </c>
      <c r="M190" s="12"/>
      <c r="N190" s="50">
        <f t="shared" si="18"/>
        <v>0</v>
      </c>
    </row>
    <row r="191" spans="1:14" ht="80.099999999999994" customHeight="1">
      <c r="A191" s="28">
        <v>8803463017859</v>
      </c>
      <c r="B191" s="34" t="s">
        <v>213</v>
      </c>
      <c r="C191" s="29" t="s">
        <v>231</v>
      </c>
      <c r="D191" s="30">
        <v>48</v>
      </c>
      <c r="E191" s="31">
        <v>34000</v>
      </c>
      <c r="F191" s="32">
        <v>15470.400000000001</v>
      </c>
      <c r="G191" s="40">
        <f t="shared" si="16"/>
        <v>11.545074626865672</v>
      </c>
      <c r="H191" s="18"/>
      <c r="I191" s="18">
        <f t="shared" si="19"/>
        <v>0</v>
      </c>
      <c r="J191" s="45">
        <f t="shared" si="17"/>
        <v>0</v>
      </c>
      <c r="K191"/>
      <c r="L191" s="37">
        <f t="shared" si="20"/>
        <v>0</v>
      </c>
      <c r="M191" s="12"/>
      <c r="N191" s="50">
        <f t="shared" si="18"/>
        <v>0</v>
      </c>
    </row>
    <row r="192" spans="1:14" ht="80.099999999999994" customHeight="1">
      <c r="A192" s="28">
        <v>8803463017927</v>
      </c>
      <c r="B192" s="34" t="s">
        <v>214</v>
      </c>
      <c r="C192" s="29" t="s">
        <v>278</v>
      </c>
      <c r="D192" s="30">
        <v>12</v>
      </c>
      <c r="E192" s="31">
        <v>24000</v>
      </c>
      <c r="F192" s="32">
        <v>11640.200000000003</v>
      </c>
      <c r="G192" s="40">
        <f t="shared" si="16"/>
        <v>8.6867164179104499</v>
      </c>
      <c r="H192" s="18"/>
      <c r="I192" s="18">
        <f t="shared" si="19"/>
        <v>0</v>
      </c>
      <c r="J192" s="45">
        <f t="shared" si="17"/>
        <v>0</v>
      </c>
      <c r="K192"/>
      <c r="L192" s="37">
        <f t="shared" si="20"/>
        <v>0</v>
      </c>
      <c r="M192" s="12"/>
      <c r="N192" s="50">
        <f t="shared" si="18"/>
        <v>0</v>
      </c>
    </row>
  </sheetData>
  <autoFilter ref="A5:N100" xr:uid="{4D9730E6-7D22-4D7B-BBF9-F2A94541C08D}"/>
  <mergeCells count="6">
    <mergeCell ref="N2:N3"/>
    <mergeCell ref="I2:I3"/>
    <mergeCell ref="J2:J3"/>
    <mergeCell ref="H2:H3"/>
    <mergeCell ref="L2:L3"/>
    <mergeCell ref="M2:M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2026-08-25T03:00:37Z</dcterms:modified>
</cp:coreProperties>
</file>
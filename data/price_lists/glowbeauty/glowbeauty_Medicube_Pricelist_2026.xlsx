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T-USER\Desktop\igor\fin ceny\"/>
    </mc:Choice>
  </mc:AlternateContent>
  <xr:revisionPtr revIDLastSave="0" documentId="13_ncr:1_{1BEF023A-BBD4-408A-845C-E3D006D29213}" xr6:coauthVersionLast="47" xr6:coauthVersionMax="47" xr10:uidLastSave="{00000000-0000-0000-0000-000000000000}"/>
  <bookViews>
    <workbookView xWindow="2565" yWindow="1035" windowWidth="20970" windowHeight="13875" xr2:uid="{4A226BA7-0E30-4CB4-93DB-6FA4132782E6}"/>
  </bookViews>
  <sheets>
    <sheet name="Sheet1" sheetId="1" r:id="rId1"/>
  </sheets>
  <definedNames>
    <definedName name="_xlnm._FilterDatabase" localSheetId="0" hidden="1">Sheet1!$A$5:$M$188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6" i="1"/>
  <c r="K97" i="1"/>
  <c r="K98" i="1"/>
  <c r="K99" i="1"/>
  <c r="K100" i="1"/>
  <c r="K101" i="1"/>
  <c r="K102" i="1"/>
  <c r="K103" i="1"/>
  <c r="K104" i="1"/>
  <c r="K105" i="1"/>
  <c r="K106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4" i="1"/>
  <c r="K155" i="1"/>
  <c r="K156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81" i="1"/>
  <c r="K182" i="1"/>
  <c r="K183" i="1"/>
  <c r="K184" i="1"/>
  <c r="K185" i="1"/>
  <c r="K186" i="1"/>
  <c r="K187" i="1"/>
  <c r="K188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4" i="1"/>
  <c r="K95" i="1"/>
  <c r="K96" i="1"/>
  <c r="K6" i="1"/>
  <c r="K2" i="1" l="1"/>
  <c r="G2" i="1"/>
  <c r="L2" i="1" l="1"/>
  <c r="H2" i="1"/>
  <c r="I2" i="1" l="1"/>
  <c r="M2" i="1"/>
</calcChain>
</file>

<file path=xl/sharedStrings.xml><?xml version="1.0" encoding="utf-8"?>
<sst xmlns="http://schemas.openxmlformats.org/spreadsheetml/2006/main" count="208" uniqueCount="202">
  <si>
    <t>금액</t>
    <phoneticPr fontId="2" type="noConversion"/>
  </si>
  <si>
    <t>ZERO PORE ONE DAY PEPTIDE SERUM 30ml</t>
  </si>
  <si>
    <t>ZERO PORE ONE DAY CREAM 50ml</t>
  </si>
  <si>
    <t>ONE DAY EXOSOME SHOT PORE SERUM 2000 30ml</t>
  </si>
  <si>
    <t>ONE DAY EXOSOME SHOT PORE SERUM 7500 30ml</t>
  </si>
  <si>
    <t>ONE DAY EXOSOME SHOT PORE SERUM 25000 13ml</t>
  </si>
  <si>
    <t>ZERO PORE BLACKHEAD MUD MASK 100g</t>
  </si>
  <si>
    <t>2024 ZERO PORE PAD 2.0/PMEKR60005R01</t>
  </si>
  <si>
    <t>2024 ZERO PORE PAD 2.0</t>
  </si>
  <si>
    <t>2024 ZERO PORE PAD MILD</t>
  </si>
  <si>
    <t>ZERO PORE PEEL PAD (8EA)</t>
  </si>
  <si>
    <t>ZERO PORE SERUM 2.0 37ML</t>
  </si>
  <si>
    <t>ZERO PORE CREAM 2.0 50ml</t>
  </si>
  <si>
    <t>ZERO FOAM CLEANSER 120ml</t>
  </si>
  <si>
    <t>ZERO PORE CLEARING CAPSULE CLEANSING FOAM</t>
  </si>
  <si>
    <t>ZERO PORE TONER 250ml</t>
  </si>
  <si>
    <t>ZERO PORE BLACKHEAD DEEP CLEANSING OIL 205ml</t>
  </si>
  <si>
    <t>ZERO PORE HYDRATING SUN SERUM 50ml</t>
  </si>
  <si>
    <t>2024 DEEP VITA C PAD</t>
  </si>
  <si>
    <t>DEEP LIFTING PEPTIDE EYE CREAM FOR FACE 30ml</t>
  </si>
  <si>
    <t>DEEP VITA C AMPOULE</t>
  </si>
  <si>
    <t>DEEP VITA C CAPSULE CREAM 55g</t>
  </si>
  <si>
    <t>DEEP VITA C DAILY QUICK MASK</t>
  </si>
  <si>
    <t>DEEP LIFTING AGE REPAIR CREAM 30ml</t>
  </si>
  <si>
    <t>DEEP VITA A RETINOL SERUM 30ml</t>
  </si>
  <si>
    <t>DEEP VITA C CAPSULE SERUM 30ml</t>
  </si>
  <si>
    <t>DEEP VITA C PATCH</t>
  </si>
  <si>
    <t>KOJIC ACID TURMERIC NIGHT WRAPPING MASK 75ml</t>
  </si>
  <si>
    <t>KOJIC ACID TURMERIC RESURFACING TONER 250ml</t>
  </si>
  <si>
    <t>KOJIC ACID TURMERIC NIACINAMIDE SERUM 30ml</t>
  </si>
  <si>
    <t>KOJIC ACID TURMERIC TONING CLEANSER 120g</t>
  </si>
  <si>
    <t>KOJIC ACID TURMERIC VITA CAPSULE CLEANSING FOAM 120g</t>
  </si>
  <si>
    <t>KOJIC ACID TURMERIC PAD</t>
  </si>
  <si>
    <t>KOJIC ACID TURMERIC VITA BRIGHTENING BODY WASH 400ml</t>
  </si>
  <si>
    <t>KOJIC ACID TURMERIC VITA JELLY MIST SERUM 100ml</t>
  </si>
  <si>
    <t>KOJIC ACID TURMERIC VITA CAPSULE CREAM 53g</t>
  </si>
  <si>
    <t>KOJIC ACID TURMERIC VITA EYE GEL SERUM 30ml</t>
  </si>
  <si>
    <t>KOJIC ACID TURMERIC PEEL SHOT 80ml</t>
  </si>
  <si>
    <t>KOJIC ACID TURMERIC BODY PEEL SHOT 280ml</t>
  </si>
  <si>
    <t>KOJIC ACID TURMERIC GEL TO FOAM CLEANSER 500ml</t>
  </si>
  <si>
    <t>VANILLA &amp; PISTACHO DEODORANT 83g</t>
  </si>
  <si>
    <t>VANILLA HAIR BODY FRAGRANCE MIST 30ml</t>
  </si>
  <si>
    <t>VANILLA HAIR BODY FRAGRANCE MIST 100ml</t>
  </si>
  <si>
    <t>VANILLA HAIR BODY FRAGRANCE MIST 250ml</t>
  </si>
  <si>
    <t>TRIPLE COLLAGEN TONER 4.0 140ml</t>
  </si>
  <si>
    <t>TRIPLE COLLAGEN SERUM 4.0 55ml</t>
  </si>
  <si>
    <t>TRIPLE COLLAGEN CREAM 4.0 50ml</t>
  </si>
  <si>
    <t>COLLAGEN NIGHT WRAPPING MASK</t>
  </si>
  <si>
    <t>COLLAGEN JELLY CREAM 110ml</t>
  </si>
  <si>
    <t>COLLAGEN JELLY CREAM 50ml</t>
  </si>
  <si>
    <t>COLLAGEN GLOW BOOSTER SERUM 15ml</t>
  </si>
  <si>
    <t>COLLAGEN FIRMING SUNCREAM 50ml</t>
  </si>
  <si>
    <t>(SEA FREIGHT ONLY) COLLAGEN GLOW BUBBLE SERUM 100ml</t>
  </si>
  <si>
    <t>COLLAGEN MILK TONING WRAPPING MASK 75ml</t>
  </si>
  <si>
    <t>(US ONLY) COLLAGEN GLOW SUNSCREEN 50ml</t>
  </si>
  <si>
    <t>COLLAGEN GLOW SUNSCREEN 50ml</t>
  </si>
  <si>
    <t>SUPER CICA DEEP CLEANSING BALM 100ml</t>
  </si>
  <si>
    <t>SUPER CICA DAILY QUICK MASK</t>
  </si>
  <si>
    <t>EXOSOME CICA TONER 210ml</t>
  </si>
  <si>
    <t>RED ACNE BODY WASH 2.0</t>
  </si>
  <si>
    <t>RED ACNE BODY WASH 3.0</t>
  </si>
  <si>
    <t>RED ACNE BODY PEELING SHOT</t>
  </si>
  <si>
    <t>RED CLEAR CICA BODY MIST 200ml</t>
  </si>
  <si>
    <t>SOYXIDIL SHAMPOO 490ml</t>
  </si>
  <si>
    <t>SOYXIDILL 2IN1 TREATMENT 265ml</t>
  </si>
  <si>
    <t>SOYMINT SCALING SHAMPOO 490ml</t>
  </si>
  <si>
    <t>RED TONER 2.0 100ml</t>
  </si>
  <si>
    <t>RED TONER 2.0 PLUS 200ml</t>
  </si>
  <si>
    <t>RED CREAM 2.0 PLUS 100ml</t>
  </si>
  <si>
    <t>RED FOAM CLEANSER 2020 120ml</t>
  </si>
  <si>
    <t>RED FOAM CLEANSER 2020 230ml</t>
  </si>
  <si>
    <t>RED ERASING CREAM 2.0 50ml</t>
  </si>
  <si>
    <t>RED ERASING CREAM 2.0 100ml</t>
  </si>
  <si>
    <t>RED SUCCINIC PEELING PAD 2024</t>
  </si>
  <si>
    <t>RED ACNE SUCCINIC ACID PEEL</t>
  </si>
  <si>
    <t>RED SUCCINIC ACID CLARIFYING SERUM 30ml</t>
  </si>
  <si>
    <t>PDRN PINK ONE DAY SERUM 1.5ml x 10pcs</t>
  </si>
  <si>
    <t>PDRN PINK PEPTIDE SERUM 30ml</t>
  </si>
  <si>
    <t>PDRN PINK PEPTIE SERUM ULTRA LIGHT 30ml</t>
  </si>
  <si>
    <t>PDRN PINK PEPTIE SERUM ULTRA LIGHT 110ml</t>
  </si>
  <si>
    <t>PDRN PINK CICA SOOTHING TONER 250ml</t>
  </si>
  <si>
    <t>PDRN PINK HYALURONIC MOISTURIZING CREAM 50ml</t>
  </si>
  <si>
    <t>PDRN PINK GLUTATHIONE SERUM MIST 100ml</t>
  </si>
  <si>
    <t>PDRN BOOSTER GEL 300ml</t>
  </si>
  <si>
    <t>PDRN PINK EXOSOME SHOT SERUM 2000 30ml</t>
  </si>
  <si>
    <t>PDRN PINK EXOSOME SHOT SERUM 7500 30ml</t>
  </si>
  <si>
    <t>PDRN PINK COLLAGEN TONING GEL PAD 70pcs</t>
  </si>
  <si>
    <t>PDRN PINK TONE UP SUN CREAM 50ml</t>
  </si>
  <si>
    <t>PDRN PINK PEPTIDE EYE CREAM 30ml</t>
  </si>
  <si>
    <t>PDRN PINK COLLAGEN CAPSULE CREAM 55g</t>
  </si>
  <si>
    <t>PDRN LIP SLEEPING MASK 10g</t>
  </si>
  <si>
    <t>PDRN PINK NIACINAMAIDE MILKY TONER 150ml</t>
  </si>
  <si>
    <t>PDRN PINK NIACINAMIDE WHIP CLEANSER 120g</t>
  </si>
  <si>
    <t>PDRN PINK CAFFEINE NIGHT WRAPPING MASK 75ml</t>
  </si>
  <si>
    <t>PDRN PINK GLUTATHIONE CAPSULE CLEANSING FOAM 120g</t>
  </si>
  <si>
    <t>(사용중지) PDRN PEPTIDE GLOSSY LIP BALM</t>
  </si>
  <si>
    <t>PDRN HYDRATING GEL CLEANSER 200ml</t>
  </si>
  <si>
    <t>PDRN PINK COLLAGEN GLOW JELLY MIST SERUM 100ml</t>
  </si>
  <si>
    <t>PDRN PINK COLLAGEN BUBBLE SERUM 95ml</t>
  </si>
  <si>
    <t>PDRN COLLAGEN GLOW JELLY SERUM 30ml</t>
  </si>
  <si>
    <t>PDRN PINK CAFFEINE COLLAGEN EYE PATCH 60pcs</t>
  </si>
  <si>
    <t>PDRN PINK COLLAGEN JELLY EYE MASK 6 POUCH</t>
  </si>
  <si>
    <t>PDRN PINK COLLAGEN JELLY EYE MASK 28 POUCH</t>
  </si>
  <si>
    <t>PDRN PINK COLLAGEN JELLY EYE MASK 50 POUCH</t>
  </si>
  <si>
    <t>PDRN PINK COLLAGEN VOLUME MULTI BALM 10g</t>
  </si>
  <si>
    <t>PDRN HYDRATING UV SERUM 50ml</t>
  </si>
  <si>
    <t>PDRN MILD CLEANSING OIL 195ml</t>
  </si>
  <si>
    <t>PDRN PINK COLLAGEN AIRY SUN STICK 20g</t>
  </si>
  <si>
    <t>PDRN COLLAGEN GUA SHA NECK WRINKLE CREAM</t>
  </si>
  <si>
    <t>AZELAIC ACID EXOSOME SHOT 2000 30ml</t>
  </si>
  <si>
    <t>AZELAIC ACID EXOSOME SHOT 7500 30ml</t>
  </si>
  <si>
    <t>AZELAIC ACID NIACINAMIDE DEEP CLEAN FOAM CLEANSER 120g</t>
  </si>
  <si>
    <t>AZELAIC ACID CAPSULE CLEANSING FOAM 120g</t>
  </si>
  <si>
    <t>AZELAIC ACID NIACINAMIDE CLEAR TONER 250ml</t>
  </si>
  <si>
    <t>AZELAIC ACID 16 BB SOOTHING SERUM 30ml</t>
  </si>
  <si>
    <t>HYALURONIC MOISTURIZING CAPSULE CREAM 55g</t>
  </si>
  <si>
    <t>HYALURONIC CERAMIDE JELLY CREAM 50ml</t>
  </si>
  <si>
    <t>HYALURONIC MULTI PEPTIDE SERUM 30ml</t>
  </si>
  <si>
    <t>HYPOCHLOROUS ACID DAILY FACIAL SPRAY 125ml</t>
  </si>
  <si>
    <t>HYPOCHLOROUS ACID DAILY FACIAL SPRAY 50ml</t>
  </si>
  <si>
    <t>HYPOCHLOROUS ACID PEEL SHOT 80ml</t>
  </si>
  <si>
    <t>HYPOCHLOROUS ACID BODY PEEL SHOT 280ml</t>
  </si>
  <si>
    <t>HYPOCHLOROUS 3H RELIEF CREAM 50ml</t>
  </si>
  <si>
    <t>3H DRYING LOTION 20ml</t>
  </si>
  <si>
    <t>SOS INVISIBLE PATCH 36pcs</t>
  </si>
  <si>
    <t>TXA NIACINAMIDE 15 SERUM 30ml</t>
  </si>
  <si>
    <t>TXA NIACINAMIDE CAPSULE CREAM 55g</t>
  </si>
  <si>
    <t>EGF NAD FIRMING SERUM 30ml</t>
  </si>
  <si>
    <t>RETINOL BOOSTING SERUM 30ml</t>
  </si>
  <si>
    <t>(US) AGE-R BOOSTER PRO X2 WHITE</t>
  </si>
  <si>
    <t>(US) AGE-R BOOSTER PRO X2 PINK</t>
  </si>
  <si>
    <t>(US) AGE-R BOOSTER PRO MINI PLUS IVORY</t>
  </si>
  <si>
    <t>(US) AGE-R BOOSTER PRO MINI PLUS PINK</t>
  </si>
  <si>
    <t>(US) AGE-R BOOSTER CLEANSER HEAD (PINK)</t>
  </si>
  <si>
    <t>(US) AGE-R BOOSTER CLEANSER HEAD (BEIGE)</t>
  </si>
  <si>
    <t>(US) AGE-R V ROLLER BEIGE</t>
  </si>
  <si>
    <t>(US) AGE-R V ROLLER PINK</t>
  </si>
  <si>
    <t>(KR) AGE-R ULTRA TUNE 40.68</t>
  </si>
  <si>
    <t>(KR) AGE-R HIGH FOCUS SHOT PLUS WHITE</t>
  </si>
  <si>
    <t>(KR) AGE-R HIGH FOCUS SHOT PLUS PINK</t>
  </si>
  <si>
    <t>(KR) AGE-R BOOSTER GLOW GRAY</t>
  </si>
  <si>
    <t>(KR) AGE-R BOOSTER GLOW PINK</t>
  </si>
  <si>
    <t>GLUTATHIONE GLOW SERUM</t>
  </si>
  <si>
    <t>AGE-R VITA C PRO AMPOULE</t>
  </si>
  <si>
    <t>GLUTATHIONE GLOW CAPSULE CREAM</t>
  </si>
  <si>
    <t>AGE-R GLUTATHIONE GLOW TONER 140ml</t>
  </si>
  <si>
    <t>AGE-R SANITIZING WIPE</t>
  </si>
  <si>
    <t>ROSEMARY PDRN COOLING THICKENING SHAMPOO 400ml</t>
  </si>
  <si>
    <t>ROSEMARY PDRN HAIR&amp;SCALP CONDITIONER 250ml</t>
  </si>
  <si>
    <t>ROSEYMARY PDRN SCALP SERUM 20ml</t>
  </si>
  <si>
    <t>ROSEMARY PDRN DAMAGE CARE HAIR MASK 200ml</t>
  </si>
  <si>
    <t>DEOXYRIBOSE SCALP SERUM 20ml</t>
  </si>
  <si>
    <t>CHERRY GLASS HAIR BRUSH PINK</t>
  </si>
  <si>
    <t>MEDICUBE JELLY BRUSH</t>
  </si>
  <si>
    <t>MEDICUBE MULTI BLACKHEAD PORE BRUSH</t>
  </si>
  <si>
    <t>BOOSTER PRO HEAD CASE (PINK)</t>
  </si>
  <si>
    <t>BOOSTER PRO HEAD CASE (BLACK)</t>
  </si>
  <si>
    <t>BOOSTER PRO PINK BEAR HEAD CASE</t>
  </si>
  <si>
    <t>BOOSTER PRO YELLOW BEAR HEAD CASE</t>
  </si>
  <si>
    <t>BOOSTER PRO SKY BLUE BEAR HEAD CASE</t>
  </si>
  <si>
    <t>BOOSTER PRO BUNNY HEAD CASE</t>
  </si>
  <si>
    <t>BOOSTER PRO PANDA HEAD CASE</t>
  </si>
  <si>
    <t>BOOSTER PRO MINI VELVET POUCH</t>
  </si>
  <si>
    <t>PDRN PINK COLLAGEN GEL MASK 1pc / PMEKR02060</t>
  </si>
  <si>
    <t>PDRN PINK COLLAGEN GEL MASK (4EA)</t>
  </si>
  <si>
    <t>PDRN PINK VITA COATING MASK 1pc / PMEKR53009R00</t>
  </si>
  <si>
    <t>PDRN PINK VITA COATING MASK (10EA)</t>
  </si>
  <si>
    <t>PDRN PINK LIFT UP MASK SET</t>
  </si>
  <si>
    <t>PDRN PINK PEPTIDE SERUM MASK 1pc</t>
  </si>
  <si>
    <t>PDRN PINK PEPTIDE SERUM MASK (6EA)</t>
  </si>
  <si>
    <t>PDRN PINK PEPTIDE SERUM MASK (10EA)</t>
  </si>
  <si>
    <t>EGF NAD FIRMNG GEL MASK 1pc</t>
  </si>
  <si>
    <t>EGF NAD FIRMNG GEL MASK (4EA)</t>
  </si>
  <si>
    <t>EGF NAD FIRMING SERUM MASK 1pc</t>
  </si>
  <si>
    <t>EGF NAD FIRMING SERUM MASK (10EA)</t>
  </si>
  <si>
    <t>HYPOCHLOROUS ACID PEEL MASK (3EA)</t>
  </si>
  <si>
    <t>KOJIC ACID TURMERIC BRIGHTENING GEL MASK 1pc / PMEKR54002R02</t>
  </si>
  <si>
    <t>KOJIC ACID TURMERIC BRIGHTENING GEL MASK (4EA)</t>
  </si>
  <si>
    <t>DEEP VITA C GLUTATHIONE BRIGHTENING MASK 1pc</t>
  </si>
  <si>
    <t>DEEP PEPTIDE RADIANCE MASK 1pc</t>
  </si>
  <si>
    <t>AZELAIC ACID 16 BB CLAMING SERUM MASK 1pc</t>
  </si>
  <si>
    <t>ZERO PORE COOLING MASK 1pc</t>
  </si>
  <si>
    <t>COLLAGEN LIFTING MASK 1pc</t>
  </si>
  <si>
    <t>메디큐브(medicube)</t>
    <phoneticPr fontId="2" type="noConversion"/>
  </si>
  <si>
    <t>수식 적용 됨
5000개이상 205,000원
1000개 이상 209,000원
100이상  210,000원
100이하 215,000원</t>
    <phoneticPr fontId="2" type="noConversion"/>
  </si>
  <si>
    <t>소량 85,000원
500개 이상 80,000원
1,000개 이상 70,000원</t>
    <phoneticPr fontId="2" type="noConversion"/>
  </si>
  <si>
    <t>소량 190,000원
500개 이상 185,000원</t>
    <phoneticPr fontId="2" type="noConversion"/>
  </si>
  <si>
    <t>MOA: 1000(만원)  / Lead Time: 2 Weeks</t>
    <phoneticPr fontId="2" type="noConversion"/>
  </si>
  <si>
    <t>Other</t>
    <phoneticPr fontId="2" type="noConversion"/>
  </si>
  <si>
    <t>Supply Price</t>
    <phoneticPr fontId="2" type="noConversion"/>
  </si>
  <si>
    <t>Quantity in box</t>
    <phoneticPr fontId="2" type="noConversion"/>
  </si>
  <si>
    <t>Product name</t>
    <phoneticPr fontId="2" type="noConversion"/>
  </si>
  <si>
    <t>Barcode</t>
    <phoneticPr fontId="2" type="noConversion"/>
  </si>
  <si>
    <t>Box</t>
    <phoneticPr fontId="2" type="noConversion"/>
  </si>
  <si>
    <t>Quantity</t>
    <phoneticPr fontId="2" type="noConversion"/>
  </si>
  <si>
    <t>Amount</t>
    <phoneticPr fontId="2" type="noConversion"/>
  </si>
  <si>
    <t>Total Amount</t>
    <phoneticPr fontId="2" type="noConversion"/>
  </si>
  <si>
    <t>Total quantity</t>
    <phoneticPr fontId="2" type="noConversion"/>
  </si>
  <si>
    <t>Total box</t>
    <phoneticPr fontId="2" type="noConversion"/>
  </si>
  <si>
    <t>Final Box</t>
    <phoneticPr fontId="2" type="noConversion"/>
  </si>
  <si>
    <t>Final Quantity</t>
    <phoneticPr fontId="2" type="noConversion"/>
  </si>
  <si>
    <t>Final Amount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</si>
</sst>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7" formatCode="#,##0_ "/>
    <numFmt numFmtId="178" formatCode="[$₩-412]#,##0"/>
    <numFmt numFmtId="179" formatCode="0_);[Red]\(0\)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2"/>
      <name val="宋体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3" fillId="0" borderId="0"/>
  </cellStyleXfs>
  <cellXfs count="5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7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177" fontId="3" fillId="5" borderId="0" xfId="0" applyNumberFormat="1" applyFont="1" applyFill="1" applyAlignment="1">
      <alignment horizontal="center" vertical="center" wrapText="1"/>
    </xf>
    <xf numFmtId="0" fontId="0" fillId="5" borderId="0" xfId="0" applyFill="1">
      <alignment vertical="center"/>
    </xf>
    <xf numFmtId="41" fontId="3" fillId="5" borderId="0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8" fontId="4" fillId="5" borderId="1" xfId="0" applyNumberFormat="1" applyFont="1" applyFill="1" applyBorder="1">
      <alignment vertical="center"/>
    </xf>
    <xf numFmtId="0" fontId="10" fillId="5" borderId="2" xfId="0" applyFont="1" applyFill="1" applyBorder="1" applyAlignment="1">
      <alignment horizontal="center" vertical="center" wrapText="1" shrinkToFi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 shrinkToFit="1"/>
    </xf>
    <xf numFmtId="0" fontId="10" fillId="5" borderId="2" xfId="0" quotePrefix="1" applyFont="1" applyFill="1" applyBorder="1" applyAlignment="1">
      <alignment horizontal="center" vertical="center" wrapText="1" shrinkToFit="1"/>
    </xf>
    <xf numFmtId="0" fontId="3" fillId="0" borderId="1" xfId="1" applyNumberFormat="1" applyFont="1" applyBorder="1" applyAlignment="1">
      <alignment horizontal="center" vertical="center"/>
    </xf>
    <xf numFmtId="179" fontId="6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179" fontId="7" fillId="0" borderId="0" xfId="0" applyNumberFormat="1" applyFont="1">
      <alignment vertical="center"/>
    </xf>
    <xf numFmtId="179" fontId="3" fillId="0" borderId="0" xfId="0" applyNumberFormat="1" applyFont="1">
      <alignment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10" fillId="5" borderId="1" xfId="0" applyNumberFormat="1" applyFont="1" applyFill="1" applyBorder="1" applyAlignment="1">
      <alignment horizontal="center" vertical="center"/>
    </xf>
    <xf numFmtId="179" fontId="12" fillId="5" borderId="1" xfId="0" applyNumberFormat="1" applyFont="1" applyFill="1" applyBorder="1" applyAlignment="1">
      <alignment horizontal="center" vertical="center"/>
    </xf>
    <xf numFmtId="179" fontId="0" fillId="5" borderId="1" xfId="0" applyNumberFormat="1" applyFill="1" applyBorder="1">
      <alignment vertical="center"/>
    </xf>
    <xf numFmtId="179" fontId="3" fillId="5" borderId="0" xfId="0" applyNumberFormat="1" applyFont="1" applyFill="1" applyAlignment="1">
      <alignment horizontal="center" vertical="center" wrapText="1"/>
    </xf>
    <xf numFmtId="178" fontId="4" fillId="6" borderId="1" xfId="0" applyNumberFormat="1" applyFont="1" applyFill="1" applyBorder="1" applyAlignment="1">
      <alignment vertical="center" wrapText="1"/>
    </xf>
    <xf numFmtId="41" fontId="5" fillId="3" borderId="1" xfId="1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26" fontId="3" fillId="0" borderId="0" xfId="0" applyNumberFormat="1" applyFont="1">
      <alignment vertical="center"/>
    </xf>
    <xf numFmtId="26" fontId="4" fillId="2" borderId="1" xfId="0" applyNumberFormat="1" applyFont="1" applyFill="1" applyBorder="1" applyAlignment="1">
      <alignment horizontal="center" vertical="center"/>
    </xf>
    <xf numFmtId="26" fontId="4" fillId="5" borderId="1" xfId="0" applyNumberFormat="1" applyFont="1" applyFill="1" applyBorder="1">
      <alignment vertical="center"/>
    </xf>
    <xf numFmtId="26" fontId="0" fillId="5" borderId="0" xfId="0" applyNumberFormat="1" applyFill="1">
      <alignment vertical="center"/>
    </xf>
    <xf numFmtId="26" fontId="5" fillId="4" borderId="1" xfId="0" applyNumberFormat="1" applyFont="1" applyFill="1" applyBorder="1" applyAlignment="1">
      <alignment horizontal="center" vertical="center"/>
    </xf>
    <xf numFmtId="26" fontId="5" fillId="4" borderId="1" xfId="1" applyNumberFormat="1" applyFont="1" applyFill="1" applyBorder="1" applyAlignment="1">
      <alignment horizontal="center" vertical="center"/>
    </xf>
    <xf numFmtId="26" fontId="3" fillId="4" borderId="0" xfId="0" applyNumberFormat="1" applyFont="1" applyFill="1" applyAlignment="1">
      <alignment horizontal="center" vertical="center"/>
    </xf>
    <xf numFmtId="26" fontId="4" fillId="4" borderId="1" xfId="0" applyNumberFormat="1" applyFont="1" applyFill="1" applyBorder="1" applyAlignment="1">
      <alignment horizontal="center" vertical="center" wrapText="1"/>
    </xf>
    <xf numFmtId="26" fontId="3" fillId="4" borderId="1" xfId="2" applyNumberFormat="1" applyFont="1" applyFill="1" applyBorder="1" applyAlignment="1">
      <alignment horizontal="center" vertical="center"/>
    </xf>
    <xf numFmtId="26" fontId="0" fillId="5" borderId="0" xfId="0" applyNumberFormat="1" applyFill="1" applyAlignment="1">
      <alignment horizontal="center" vertical="center"/>
    </xf>
    <xf numFmtId="26" fontId="5" fillId="3" borderId="1" xfId="0" applyNumberFormat="1" applyFont="1" applyFill="1" applyBorder="1" applyAlignment="1">
      <alignment horizontal="center" vertical="center"/>
    </xf>
    <xf numFmtId="26" fontId="5" fillId="3" borderId="1" xfId="1" applyNumberFormat="1" applyFont="1" applyFill="1" applyBorder="1" applyAlignment="1">
      <alignment horizontal="center" vertical="center"/>
    </xf>
    <xf numFmtId="26" fontId="3" fillId="0" borderId="0" xfId="0" applyNumberFormat="1" applyFont="1" applyAlignment="1">
      <alignment horizontal="center" vertical="center"/>
    </xf>
    <xf numFmtId="26" fontId="4" fillId="2" borderId="1" xfId="0" applyNumberFormat="1" applyFont="1" applyFill="1" applyBorder="1" applyAlignment="1">
      <alignment horizontal="center" vertical="center" wrapText="1"/>
    </xf>
    <xf numFmtId="26" fontId="3" fillId="0" borderId="1" xfId="2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6">
    <cellStyle name="쉼표 [0]" xfId="1" builtinId="6"/>
    <cellStyle name="통화 [0]" xfId="2" builtinId="7"/>
    <cellStyle name="표준" xfId="0" builtinId="0"/>
    <cellStyle name="표준 2" xfId="5" xr:uid="{17964BFB-3E94-444A-8C5F-D320BFD87945}"/>
    <cellStyle name="표준 3" xfId="3" xr:uid="{884AF9A2-B824-479A-9DD7-548E9C3E6AA0}"/>
    <cellStyle name="표준 4" xfId="4" xr:uid="{1206423A-B157-45DF-8CCA-040FA2BD09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0E6-7D22-4D7B-BBF9-F2A94541C08D}">
  <dimension ref="A1:M189"/>
  <sheetViews>
    <sheetView tabSelected="1" zoomScale="70" zoomScaleNormal="70" workbookViewId="0">
      <pane ySplit="5" topLeftCell="A9" activePane="bottomLeft" state="frozen"/>
      <selection pane="bottomLeft" activeCell="B10" sqref="B10"/>
    </sheetView>
  </sheetViews>
  <sheetFormatPr defaultRowHeight="16.5"/>
  <cols>
    <col min="1" max="1" width="21.125" style="34" customWidth="1"/>
    <col min="2" max="2" width="57.375" style="14" customWidth="1"/>
    <col min="3" max="3" width="15.125" style="15" customWidth="1"/>
    <col min="4" max="4" width="10.375" style="16" customWidth="1"/>
    <col min="5" max="5" width="10.375" style="41" customWidth="1"/>
    <col min="6" max="6" width="19.75" style="16" customWidth="1"/>
    <col min="7" max="7" width="13.25" style="17" bestFit="1" customWidth="1"/>
    <col min="8" max="8" width="12.125" style="18" bestFit="1" customWidth="1"/>
    <col min="9" max="9" width="15.25" style="47" bestFit="1" customWidth="1"/>
    <col min="10" max="10" width="4.625" style="16" customWidth="1"/>
    <col min="11" max="11" width="13.25" style="17" bestFit="1" customWidth="1"/>
    <col min="12" max="12" width="13.25" style="16" bestFit="1" customWidth="1"/>
    <col min="13" max="13" width="12.625" style="41" bestFit="1" customWidth="1"/>
    <col min="14" max="16384" width="9" style="16"/>
  </cols>
  <sheetData>
    <row r="1" spans="1:13" customFormat="1" ht="31.5">
      <c r="A1" s="26" t="s">
        <v>183</v>
      </c>
      <c r="B1" s="2"/>
      <c r="C1" s="1"/>
      <c r="D1" s="1"/>
      <c r="E1" s="38"/>
      <c r="F1" s="1"/>
      <c r="G1" s="9" t="s">
        <v>198</v>
      </c>
      <c r="H1" s="9" t="s">
        <v>197</v>
      </c>
      <c r="I1" s="42" t="s">
        <v>196</v>
      </c>
      <c r="K1" s="7" t="s">
        <v>199</v>
      </c>
      <c r="L1" s="7" t="s">
        <v>200</v>
      </c>
      <c r="M1" s="48" t="s">
        <v>201</v>
      </c>
    </row>
    <row r="2" spans="1:13" customFormat="1">
      <c r="A2" s="27" t="s">
        <v>187</v>
      </c>
      <c r="B2" s="2"/>
      <c r="C2" s="1"/>
      <c r="D2" s="1"/>
      <c r="E2" s="38"/>
      <c r="F2" s="1"/>
      <c r="G2" s="37">
        <f>SUM(G6:G1048576)</f>
        <v>0</v>
      </c>
      <c r="H2" s="37">
        <f>SUM(H6:H1048576)</f>
        <v>0</v>
      </c>
      <c r="I2" s="43">
        <f>SUM(I6:I1048576)</f>
        <v>0</v>
      </c>
      <c r="K2" s="36">
        <f>SUM(K6:K1048576)</f>
        <v>0</v>
      </c>
      <c r="L2" s="36">
        <f>SUM(L6:L1048576)</f>
        <v>0</v>
      </c>
      <c r="M2" s="49">
        <f>SUM(M6:M1048576)</f>
        <v>0</v>
      </c>
    </row>
    <row r="3" spans="1:13" customFormat="1">
      <c r="A3" s="28"/>
      <c r="B3" s="2"/>
      <c r="C3" s="1"/>
      <c r="D3" s="1"/>
      <c r="E3" s="38"/>
      <c r="F3" s="1"/>
      <c r="G3" s="37"/>
      <c r="H3" s="37"/>
      <c r="I3" s="43"/>
      <c r="K3" s="36"/>
      <c r="L3" s="36"/>
      <c r="M3" s="49"/>
    </row>
    <row r="4" spans="1:13" customFormat="1">
      <c r="A4" s="29"/>
      <c r="B4" s="2"/>
      <c r="C4" s="1"/>
      <c r="D4" s="1"/>
      <c r="E4" s="38"/>
      <c r="F4" s="1"/>
      <c r="G4" s="10"/>
      <c r="H4" s="10"/>
      <c r="I4" s="44"/>
      <c r="K4" s="6"/>
      <c r="L4" s="6"/>
      <c r="M4" s="50"/>
    </row>
    <row r="5" spans="1:13" customFormat="1">
      <c r="A5" s="30" t="s">
        <v>192</v>
      </c>
      <c r="B5" s="53" t="s">
        <v>191</v>
      </c>
      <c r="C5" s="3" t="s">
        <v>190</v>
      </c>
      <c r="D5" s="4" t="s">
        <v>189</v>
      </c>
      <c r="E5" s="39" t="s">
        <v>189</v>
      </c>
      <c r="F5" s="4" t="s">
        <v>188</v>
      </c>
      <c r="G5" s="11" t="s">
        <v>193</v>
      </c>
      <c r="H5" s="12" t="s">
        <v>194</v>
      </c>
      <c r="I5" s="45" t="s">
        <v>195</v>
      </c>
      <c r="K5" s="5" t="s">
        <v>193</v>
      </c>
      <c r="L5" s="3" t="s">
        <v>194</v>
      </c>
      <c r="M5" s="51" t="s">
        <v>0</v>
      </c>
    </row>
    <row r="6" spans="1:13" ht="80.099999999999994" customHeight="1">
      <c r="A6" s="31">
        <v>8800289467240</v>
      </c>
      <c r="B6" s="24" t="s">
        <v>1</v>
      </c>
      <c r="C6" s="19">
        <v>80</v>
      </c>
      <c r="D6" s="20">
        <v>12815</v>
      </c>
      <c r="E6" s="40">
        <f>D6/1340</f>
        <v>9.5634328358208958</v>
      </c>
      <c r="F6" s="20"/>
      <c r="G6" s="13"/>
      <c r="H6" s="13"/>
      <c r="I6" s="46">
        <f>E6*H6</f>
        <v>0</v>
      </c>
      <c r="J6"/>
      <c r="K6" s="25">
        <f>L6/C6</f>
        <v>0</v>
      </c>
      <c r="L6" s="8"/>
      <c r="M6" s="52">
        <f>E6*L6</f>
        <v>0</v>
      </c>
    </row>
    <row r="7" spans="1:13" ht="80.099999999999994" customHeight="1">
      <c r="A7" s="31">
        <v>8800289467240</v>
      </c>
      <c r="B7" s="21" t="s">
        <v>2</v>
      </c>
      <c r="C7" s="19">
        <v>80</v>
      </c>
      <c r="D7" s="20">
        <v>15378</v>
      </c>
      <c r="E7" s="40">
        <f t="shared" ref="E7:E66" si="0">D7/1340</f>
        <v>11.476119402985075</v>
      </c>
      <c r="F7" s="20"/>
      <c r="G7" s="13"/>
      <c r="H7" s="13"/>
      <c r="I7" s="46">
        <f t="shared" ref="I7:I70" si="1">E7*H7</f>
        <v>0</v>
      </c>
      <c r="J7"/>
      <c r="K7" s="25">
        <f>L7/C7</f>
        <v>0</v>
      </c>
      <c r="L7" s="8"/>
      <c r="M7" s="52">
        <f t="shared" ref="M7:M70" si="2">E7*L7</f>
        <v>0</v>
      </c>
    </row>
    <row r="8" spans="1:13" ht="80.099999999999994" customHeight="1">
      <c r="A8" s="31">
        <v>8800289467240</v>
      </c>
      <c r="B8" s="21" t="s">
        <v>3</v>
      </c>
      <c r="C8" s="19">
        <v>100</v>
      </c>
      <c r="D8" s="20">
        <v>14102</v>
      </c>
      <c r="E8" s="40">
        <f t="shared" si="0"/>
        <v>10.523880597014925</v>
      </c>
      <c r="F8" s="20"/>
      <c r="G8" s="13"/>
      <c r="H8" s="13"/>
      <c r="I8" s="46">
        <f t="shared" si="1"/>
        <v>0</v>
      </c>
      <c r="J8"/>
      <c r="K8" s="25">
        <f>L8/C8</f>
        <v>0</v>
      </c>
      <c r="L8" s="8"/>
      <c r="M8" s="52">
        <f t="shared" si="2"/>
        <v>0</v>
      </c>
    </row>
    <row r="9" spans="1:13" ht="80.099999999999994" customHeight="1">
      <c r="A9" s="31">
        <v>8800289467240</v>
      </c>
      <c r="B9" s="21" t="s">
        <v>4</v>
      </c>
      <c r="C9" s="19">
        <v>100</v>
      </c>
      <c r="D9" s="20">
        <v>14740</v>
      </c>
      <c r="E9" s="40">
        <f t="shared" si="0"/>
        <v>11</v>
      </c>
      <c r="F9" s="20"/>
      <c r="G9" s="13"/>
      <c r="H9" s="13"/>
      <c r="I9" s="46">
        <f t="shared" si="1"/>
        <v>0</v>
      </c>
      <c r="J9"/>
      <c r="K9" s="25">
        <f>L9/C9</f>
        <v>0</v>
      </c>
      <c r="L9" s="8"/>
      <c r="M9" s="52">
        <f t="shared" si="2"/>
        <v>0</v>
      </c>
    </row>
    <row r="10" spans="1:13" ht="80.099999999999994" customHeight="1">
      <c r="A10" s="31">
        <v>8800289467240</v>
      </c>
      <c r="B10" s="21" t="s">
        <v>5</v>
      </c>
      <c r="C10" s="19">
        <v>200</v>
      </c>
      <c r="D10" s="20">
        <v>9614</v>
      </c>
      <c r="E10" s="40">
        <f t="shared" si="0"/>
        <v>7.1746268656716419</v>
      </c>
      <c r="F10" s="20"/>
      <c r="G10" s="13"/>
      <c r="H10" s="13"/>
      <c r="I10" s="46">
        <f t="shared" si="1"/>
        <v>0</v>
      </c>
      <c r="J10"/>
      <c r="K10" s="25">
        <f>L10/C10</f>
        <v>0</v>
      </c>
      <c r="L10" s="8"/>
      <c r="M10" s="52">
        <f t="shared" si="2"/>
        <v>0</v>
      </c>
    </row>
    <row r="11" spans="1:13" ht="80.099999999999994" customHeight="1">
      <c r="A11" s="31">
        <v>8800289467240</v>
      </c>
      <c r="B11" s="21" t="s">
        <v>6</v>
      </c>
      <c r="C11" s="19">
        <v>80</v>
      </c>
      <c r="D11" s="20">
        <v>9614</v>
      </c>
      <c r="E11" s="40">
        <f t="shared" si="0"/>
        <v>7.1746268656716419</v>
      </c>
      <c r="F11" s="20"/>
      <c r="G11" s="13"/>
      <c r="H11" s="13"/>
      <c r="I11" s="46">
        <f t="shared" si="1"/>
        <v>0</v>
      </c>
      <c r="J11"/>
      <c r="K11" s="25">
        <f>L11/C11</f>
        <v>0</v>
      </c>
      <c r="L11" s="8"/>
      <c r="M11" s="52">
        <f t="shared" si="2"/>
        <v>0</v>
      </c>
    </row>
    <row r="12" spans="1:13" ht="80.099999999999994" customHeight="1">
      <c r="A12" s="31">
        <v>8800289467240</v>
      </c>
      <c r="B12" s="21" t="s">
        <v>7</v>
      </c>
      <c r="C12" s="19">
        <v>20</v>
      </c>
      <c r="D12" s="20">
        <v>12815</v>
      </c>
      <c r="E12" s="40">
        <f t="shared" si="0"/>
        <v>9.5634328358208958</v>
      </c>
      <c r="F12" s="20"/>
      <c r="G12" s="13"/>
      <c r="H12" s="13"/>
      <c r="I12" s="46">
        <f t="shared" si="1"/>
        <v>0</v>
      </c>
      <c r="J12"/>
      <c r="K12" s="25">
        <f>L12/C12</f>
        <v>0</v>
      </c>
      <c r="L12" s="8"/>
      <c r="M12" s="52">
        <f t="shared" si="2"/>
        <v>0</v>
      </c>
    </row>
    <row r="13" spans="1:13" ht="80.099999999999994" customHeight="1">
      <c r="A13" s="31">
        <v>8800289467240</v>
      </c>
      <c r="B13" s="21" t="s">
        <v>8</v>
      </c>
      <c r="C13" s="19">
        <v>20</v>
      </c>
      <c r="D13" s="20">
        <v>12815</v>
      </c>
      <c r="E13" s="40">
        <f t="shared" si="0"/>
        <v>9.5634328358208958</v>
      </c>
      <c r="F13" s="20"/>
      <c r="G13" s="13"/>
      <c r="H13" s="13"/>
      <c r="I13" s="46">
        <f t="shared" si="1"/>
        <v>0</v>
      </c>
      <c r="J13"/>
      <c r="K13" s="25">
        <f>L13/C13</f>
        <v>0</v>
      </c>
      <c r="L13" s="8"/>
      <c r="M13" s="52">
        <f t="shared" si="2"/>
        <v>0</v>
      </c>
    </row>
    <row r="14" spans="1:13" ht="80.099999999999994" customHeight="1">
      <c r="A14" s="31">
        <v>8800289467240</v>
      </c>
      <c r="B14" s="21" t="s">
        <v>9</v>
      </c>
      <c r="C14" s="19">
        <v>20</v>
      </c>
      <c r="D14" s="20">
        <v>12815</v>
      </c>
      <c r="E14" s="40">
        <f t="shared" si="0"/>
        <v>9.5634328358208958</v>
      </c>
      <c r="F14" s="20"/>
      <c r="G14" s="13"/>
      <c r="H14" s="13"/>
      <c r="I14" s="46">
        <f t="shared" si="1"/>
        <v>0</v>
      </c>
      <c r="J14"/>
      <c r="K14" s="25">
        <f>L14/C14</f>
        <v>0</v>
      </c>
      <c r="L14" s="8"/>
      <c r="M14" s="52">
        <f t="shared" si="2"/>
        <v>0</v>
      </c>
    </row>
    <row r="15" spans="1:13" ht="80.099999999999994" customHeight="1">
      <c r="A15" s="31">
        <v>8800289467240</v>
      </c>
      <c r="B15" s="22" t="s">
        <v>10</v>
      </c>
      <c r="C15" s="19">
        <v>640</v>
      </c>
      <c r="D15" s="20">
        <v>10252</v>
      </c>
      <c r="E15" s="40">
        <f t="shared" si="0"/>
        <v>7.6507462686567163</v>
      </c>
      <c r="F15" s="20"/>
      <c r="G15" s="13"/>
      <c r="H15" s="13"/>
      <c r="I15" s="46">
        <f t="shared" si="1"/>
        <v>0</v>
      </c>
      <c r="J15"/>
      <c r="K15" s="25">
        <f>L15/C15</f>
        <v>0</v>
      </c>
      <c r="L15" s="8"/>
      <c r="M15" s="52">
        <f t="shared" si="2"/>
        <v>0</v>
      </c>
    </row>
    <row r="16" spans="1:13" ht="80.099999999999994" customHeight="1">
      <c r="A16" s="31">
        <v>8800289467240</v>
      </c>
      <c r="B16" s="21" t="s">
        <v>11</v>
      </c>
      <c r="C16" s="19">
        <v>100</v>
      </c>
      <c r="D16" s="20">
        <v>14102</v>
      </c>
      <c r="E16" s="40">
        <f t="shared" si="0"/>
        <v>10.523880597014925</v>
      </c>
      <c r="F16" s="20"/>
      <c r="G16" s="13"/>
      <c r="H16" s="13"/>
      <c r="I16" s="46">
        <f t="shared" si="1"/>
        <v>0</v>
      </c>
      <c r="J16"/>
      <c r="K16" s="25">
        <f>L16/C16</f>
        <v>0</v>
      </c>
      <c r="L16" s="8"/>
      <c r="M16" s="52">
        <f t="shared" si="2"/>
        <v>0</v>
      </c>
    </row>
    <row r="17" spans="1:13" ht="80.099999999999994" customHeight="1">
      <c r="A17" s="31">
        <v>8800289467240</v>
      </c>
      <c r="B17" s="21" t="s">
        <v>12</v>
      </c>
      <c r="C17" s="19">
        <v>80</v>
      </c>
      <c r="D17" s="20">
        <v>15378</v>
      </c>
      <c r="E17" s="40">
        <f t="shared" si="0"/>
        <v>11.476119402985075</v>
      </c>
      <c r="F17" s="20"/>
      <c r="G17" s="13"/>
      <c r="H17" s="13"/>
      <c r="I17" s="46">
        <f t="shared" si="1"/>
        <v>0</v>
      </c>
      <c r="J17"/>
      <c r="K17" s="25">
        <f>L17/C17</f>
        <v>0</v>
      </c>
      <c r="L17" s="8"/>
      <c r="M17" s="52">
        <f t="shared" si="2"/>
        <v>0</v>
      </c>
    </row>
    <row r="18" spans="1:13" ht="80.099999999999994" customHeight="1">
      <c r="A18" s="31">
        <v>8800289467240</v>
      </c>
      <c r="B18" s="21" t="s">
        <v>13</v>
      </c>
      <c r="C18" s="19">
        <v>50</v>
      </c>
      <c r="D18" s="20">
        <v>8976</v>
      </c>
      <c r="E18" s="40">
        <f t="shared" si="0"/>
        <v>6.6985074626865675</v>
      </c>
      <c r="F18" s="20"/>
      <c r="G18" s="13"/>
      <c r="H18" s="13"/>
      <c r="I18" s="46">
        <f t="shared" si="1"/>
        <v>0</v>
      </c>
      <c r="J18"/>
      <c r="K18" s="25">
        <f>L18/C18</f>
        <v>0</v>
      </c>
      <c r="L18" s="8"/>
      <c r="M18" s="52">
        <f t="shared" si="2"/>
        <v>0</v>
      </c>
    </row>
    <row r="19" spans="1:13" ht="80.099999999999994" customHeight="1">
      <c r="A19" s="31">
        <v>8800289467240</v>
      </c>
      <c r="B19" s="21" t="s">
        <v>14</v>
      </c>
      <c r="C19" s="19">
        <v>50</v>
      </c>
      <c r="D19" s="20">
        <v>9614</v>
      </c>
      <c r="E19" s="40">
        <f t="shared" si="0"/>
        <v>7.1746268656716419</v>
      </c>
      <c r="F19" s="20"/>
      <c r="G19" s="13"/>
      <c r="H19" s="13"/>
      <c r="I19" s="46">
        <f t="shared" si="1"/>
        <v>0</v>
      </c>
      <c r="J19"/>
      <c r="K19" s="25">
        <f>L19/C19</f>
        <v>0</v>
      </c>
      <c r="L19" s="8"/>
      <c r="M19" s="52">
        <f t="shared" si="2"/>
        <v>0</v>
      </c>
    </row>
    <row r="20" spans="1:13" ht="80.099999999999994" customHeight="1">
      <c r="A20" s="31">
        <v>8800289467240</v>
      </c>
      <c r="B20" s="21" t="s">
        <v>15</v>
      </c>
      <c r="C20" s="19">
        <v>40</v>
      </c>
      <c r="D20" s="20">
        <v>9614</v>
      </c>
      <c r="E20" s="40">
        <f t="shared" si="0"/>
        <v>7.1746268656716419</v>
      </c>
      <c r="F20" s="20"/>
      <c r="G20" s="13"/>
      <c r="H20" s="13"/>
      <c r="I20" s="46">
        <f t="shared" si="1"/>
        <v>0</v>
      </c>
      <c r="J20"/>
      <c r="K20" s="25">
        <f>L20/C20</f>
        <v>0</v>
      </c>
      <c r="L20" s="8"/>
      <c r="M20" s="52">
        <f t="shared" si="2"/>
        <v>0</v>
      </c>
    </row>
    <row r="21" spans="1:13" ht="80.099999999999994" customHeight="1">
      <c r="A21" s="31">
        <v>8800289467240</v>
      </c>
      <c r="B21" s="21" t="s">
        <v>16</v>
      </c>
      <c r="C21" s="19">
        <v>40</v>
      </c>
      <c r="D21" s="20">
        <v>10901</v>
      </c>
      <c r="E21" s="40">
        <f t="shared" si="0"/>
        <v>8.1350746268656717</v>
      </c>
      <c r="F21" s="20"/>
      <c r="G21" s="13"/>
      <c r="H21" s="13"/>
      <c r="I21" s="46">
        <f t="shared" si="1"/>
        <v>0</v>
      </c>
      <c r="J21"/>
      <c r="K21" s="25">
        <f>L21/C21</f>
        <v>0</v>
      </c>
      <c r="L21" s="8"/>
      <c r="M21" s="52">
        <f t="shared" si="2"/>
        <v>0</v>
      </c>
    </row>
    <row r="22" spans="1:13" ht="80.099999999999994" customHeight="1">
      <c r="A22" s="31">
        <v>8800289467240</v>
      </c>
      <c r="B22" s="21" t="s">
        <v>17</v>
      </c>
      <c r="C22" s="19">
        <v>100</v>
      </c>
      <c r="D22" s="20">
        <v>8976</v>
      </c>
      <c r="E22" s="40">
        <f t="shared" si="0"/>
        <v>6.6985074626865675</v>
      </c>
      <c r="F22" s="20"/>
      <c r="G22" s="13"/>
      <c r="H22" s="13"/>
      <c r="I22" s="46">
        <f t="shared" si="1"/>
        <v>0</v>
      </c>
      <c r="J22"/>
      <c r="K22" s="25">
        <f>L22/C22</f>
        <v>0</v>
      </c>
      <c r="L22" s="8"/>
      <c r="M22" s="52">
        <f t="shared" si="2"/>
        <v>0</v>
      </c>
    </row>
    <row r="23" spans="1:13" ht="80.099999999999994" customHeight="1">
      <c r="A23" s="31">
        <v>8800289467240</v>
      </c>
      <c r="B23" s="23" t="s">
        <v>18</v>
      </c>
      <c r="C23" s="19">
        <v>20</v>
      </c>
      <c r="D23" s="20">
        <v>15378</v>
      </c>
      <c r="E23" s="40">
        <f t="shared" si="0"/>
        <v>11.476119402985075</v>
      </c>
      <c r="F23" s="20"/>
      <c r="G23" s="13"/>
      <c r="H23" s="13"/>
      <c r="I23" s="46">
        <f t="shared" si="1"/>
        <v>0</v>
      </c>
      <c r="J23"/>
      <c r="K23" s="25">
        <f>L23/C23</f>
        <v>0</v>
      </c>
      <c r="L23" s="8"/>
      <c r="M23" s="52">
        <f t="shared" si="2"/>
        <v>0</v>
      </c>
    </row>
    <row r="24" spans="1:13" ht="80.099999999999994" customHeight="1">
      <c r="A24" s="31">
        <v>8800289467240</v>
      </c>
      <c r="B24" s="23" t="s">
        <v>19</v>
      </c>
      <c r="C24" s="19">
        <v>100</v>
      </c>
      <c r="D24" s="20">
        <v>17303</v>
      </c>
      <c r="E24" s="40">
        <f t="shared" si="0"/>
        <v>12.91268656716418</v>
      </c>
      <c r="F24" s="20"/>
      <c r="G24" s="13"/>
      <c r="H24" s="13"/>
      <c r="I24" s="46">
        <f t="shared" si="1"/>
        <v>0</v>
      </c>
      <c r="J24"/>
      <c r="K24" s="25">
        <f>L24/C24</f>
        <v>0</v>
      </c>
      <c r="L24" s="8"/>
      <c r="M24" s="52">
        <f t="shared" si="2"/>
        <v>0</v>
      </c>
    </row>
    <row r="25" spans="1:13" ht="80.099999999999994" customHeight="1">
      <c r="A25" s="31">
        <v>8800289467240</v>
      </c>
      <c r="B25" s="23" t="s">
        <v>20</v>
      </c>
      <c r="C25" s="19">
        <v>50</v>
      </c>
      <c r="D25" s="20">
        <v>18579</v>
      </c>
      <c r="E25" s="40">
        <f t="shared" si="0"/>
        <v>13.864925373134328</v>
      </c>
      <c r="F25" s="20"/>
      <c r="G25" s="13"/>
      <c r="H25" s="13"/>
      <c r="I25" s="46">
        <f t="shared" si="1"/>
        <v>0</v>
      </c>
      <c r="J25"/>
      <c r="K25" s="25">
        <f>L25/C25</f>
        <v>0</v>
      </c>
      <c r="L25" s="8"/>
      <c r="M25" s="52">
        <f t="shared" si="2"/>
        <v>0</v>
      </c>
    </row>
    <row r="26" spans="1:13" ht="80.099999999999994" customHeight="1">
      <c r="A26" s="31">
        <v>8800289467240</v>
      </c>
      <c r="B26" s="23" t="s">
        <v>21</v>
      </c>
      <c r="C26" s="19">
        <v>80</v>
      </c>
      <c r="D26" s="20">
        <v>16665</v>
      </c>
      <c r="E26" s="40">
        <f t="shared" si="0"/>
        <v>12.436567164179104</v>
      </c>
      <c r="F26" s="20"/>
      <c r="G26" s="13"/>
      <c r="H26" s="13"/>
      <c r="I26" s="46">
        <f t="shared" si="1"/>
        <v>0</v>
      </c>
      <c r="J26"/>
      <c r="K26" s="25">
        <f>L26/C26</f>
        <v>0</v>
      </c>
      <c r="L26" s="8"/>
      <c r="M26" s="52">
        <f t="shared" si="2"/>
        <v>0</v>
      </c>
    </row>
    <row r="27" spans="1:13" ht="80.099999999999994" customHeight="1">
      <c r="A27" s="31">
        <v>8800289467240</v>
      </c>
      <c r="B27" s="23" t="s">
        <v>22</v>
      </c>
      <c r="C27" s="19">
        <v>16</v>
      </c>
      <c r="D27" s="20">
        <v>16016</v>
      </c>
      <c r="E27" s="40">
        <f t="shared" si="0"/>
        <v>11.952238805970149</v>
      </c>
      <c r="F27" s="20"/>
      <c r="G27" s="13"/>
      <c r="H27" s="13"/>
      <c r="I27" s="46">
        <f t="shared" si="1"/>
        <v>0</v>
      </c>
      <c r="J27"/>
      <c r="K27" s="25">
        <f>L27/C27</f>
        <v>0</v>
      </c>
      <c r="L27" s="8"/>
      <c r="M27" s="52">
        <f t="shared" si="2"/>
        <v>0</v>
      </c>
    </row>
    <row r="28" spans="1:13" ht="80.099999999999994" customHeight="1">
      <c r="A28" s="31">
        <v>8800289467240</v>
      </c>
      <c r="B28" s="23" t="s">
        <v>23</v>
      </c>
      <c r="C28" s="19">
        <v>104</v>
      </c>
      <c r="D28" s="20">
        <v>10901</v>
      </c>
      <c r="E28" s="40">
        <f t="shared" si="0"/>
        <v>8.1350746268656717</v>
      </c>
      <c r="F28" s="20"/>
      <c r="G28" s="13"/>
      <c r="H28" s="13"/>
      <c r="I28" s="46">
        <f t="shared" si="1"/>
        <v>0</v>
      </c>
      <c r="J28"/>
      <c r="K28" s="25">
        <f>L28/C28</f>
        <v>0</v>
      </c>
      <c r="L28" s="8"/>
      <c r="M28" s="52">
        <f t="shared" si="2"/>
        <v>0</v>
      </c>
    </row>
    <row r="29" spans="1:13" ht="80.099999999999994" customHeight="1">
      <c r="A29" s="31">
        <v>8800289467240</v>
      </c>
      <c r="B29" s="21" t="s">
        <v>24</v>
      </c>
      <c r="C29" s="19">
        <v>120</v>
      </c>
      <c r="D29" s="20">
        <v>16016</v>
      </c>
      <c r="E29" s="40">
        <f t="shared" si="0"/>
        <v>11.952238805970149</v>
      </c>
      <c r="F29" s="20"/>
      <c r="G29" s="13"/>
      <c r="H29" s="13"/>
      <c r="I29" s="46">
        <f t="shared" si="1"/>
        <v>0</v>
      </c>
      <c r="J29"/>
      <c r="K29" s="25">
        <f>L29/C29</f>
        <v>0</v>
      </c>
      <c r="L29" s="8"/>
      <c r="M29" s="52">
        <f t="shared" si="2"/>
        <v>0</v>
      </c>
    </row>
    <row r="30" spans="1:13" ht="80.099999999999994" customHeight="1">
      <c r="A30" s="31">
        <v>8800289467240</v>
      </c>
      <c r="B30" s="21" t="s">
        <v>25</v>
      </c>
      <c r="C30" s="19">
        <v>80</v>
      </c>
      <c r="D30" s="20">
        <v>11539</v>
      </c>
      <c r="E30" s="40">
        <f t="shared" si="0"/>
        <v>8.611194029850747</v>
      </c>
      <c r="F30" s="20"/>
      <c r="G30" s="13"/>
      <c r="H30" s="13"/>
      <c r="I30" s="46">
        <f t="shared" si="1"/>
        <v>0</v>
      </c>
      <c r="J30"/>
      <c r="K30" s="25">
        <f>L30/C30</f>
        <v>0</v>
      </c>
      <c r="L30" s="8"/>
      <c r="M30" s="52">
        <f t="shared" si="2"/>
        <v>0</v>
      </c>
    </row>
    <row r="31" spans="1:13" ht="80.099999999999994" customHeight="1">
      <c r="A31" s="31">
        <v>8800289467240</v>
      </c>
      <c r="B31" s="21" t="s">
        <v>26</v>
      </c>
      <c r="C31" s="19">
        <v>40</v>
      </c>
      <c r="D31" s="20">
        <v>11539</v>
      </c>
      <c r="E31" s="40">
        <f t="shared" si="0"/>
        <v>8.611194029850747</v>
      </c>
      <c r="F31" s="20"/>
      <c r="G31" s="13"/>
      <c r="H31" s="13"/>
      <c r="I31" s="46">
        <f t="shared" si="1"/>
        <v>0</v>
      </c>
      <c r="J31"/>
      <c r="K31" s="25">
        <f>L31/C31</f>
        <v>0</v>
      </c>
      <c r="L31" s="8"/>
      <c r="M31" s="52">
        <f t="shared" si="2"/>
        <v>0</v>
      </c>
    </row>
    <row r="32" spans="1:13" ht="80.099999999999994" customHeight="1">
      <c r="A32" s="31">
        <v>8800289467240</v>
      </c>
      <c r="B32" s="21" t="s">
        <v>27</v>
      </c>
      <c r="C32" s="19">
        <v>80</v>
      </c>
      <c r="D32" s="20">
        <v>16016</v>
      </c>
      <c r="E32" s="40">
        <f t="shared" si="0"/>
        <v>11.952238805970149</v>
      </c>
      <c r="F32" s="20"/>
      <c r="G32" s="13"/>
      <c r="H32" s="13"/>
      <c r="I32" s="46">
        <f t="shared" si="1"/>
        <v>0</v>
      </c>
      <c r="J32"/>
      <c r="K32" s="25">
        <f>L32/C32</f>
        <v>0</v>
      </c>
      <c r="L32" s="8"/>
      <c r="M32" s="52">
        <f t="shared" si="2"/>
        <v>0</v>
      </c>
    </row>
    <row r="33" spans="1:13" ht="80.099999999999994" customHeight="1">
      <c r="A33" s="31">
        <v>8800289467240</v>
      </c>
      <c r="B33" s="21" t="s">
        <v>28</v>
      </c>
      <c r="C33" s="19">
        <v>30</v>
      </c>
      <c r="D33" s="20">
        <v>10252</v>
      </c>
      <c r="E33" s="40">
        <f t="shared" si="0"/>
        <v>7.6507462686567163</v>
      </c>
      <c r="F33" s="20"/>
      <c r="G33" s="13"/>
      <c r="H33" s="13"/>
      <c r="I33" s="46">
        <f t="shared" si="1"/>
        <v>0</v>
      </c>
      <c r="J33"/>
      <c r="K33" s="25">
        <f>L33/C33</f>
        <v>0</v>
      </c>
      <c r="L33" s="8"/>
      <c r="M33" s="52">
        <f t="shared" si="2"/>
        <v>0</v>
      </c>
    </row>
    <row r="34" spans="1:13" ht="80.099999999999994" customHeight="1">
      <c r="A34" s="31">
        <v>8800289467240</v>
      </c>
      <c r="B34" s="21" t="s">
        <v>29</v>
      </c>
      <c r="C34" s="19">
        <v>80</v>
      </c>
      <c r="D34" s="20">
        <v>11539</v>
      </c>
      <c r="E34" s="40">
        <f t="shared" si="0"/>
        <v>8.611194029850747</v>
      </c>
      <c r="F34" s="20"/>
      <c r="G34" s="13"/>
      <c r="H34" s="13"/>
      <c r="I34" s="46">
        <f t="shared" si="1"/>
        <v>0</v>
      </c>
      <c r="J34"/>
      <c r="K34" s="25">
        <f>L34/C34</f>
        <v>0</v>
      </c>
      <c r="L34" s="8"/>
      <c r="M34" s="52">
        <f t="shared" si="2"/>
        <v>0</v>
      </c>
    </row>
    <row r="35" spans="1:13" ht="80.099999999999994" customHeight="1">
      <c r="A35" s="31">
        <v>8800289467240</v>
      </c>
      <c r="B35" s="21" t="s">
        <v>30</v>
      </c>
      <c r="C35" s="19">
        <v>80</v>
      </c>
      <c r="D35" s="20">
        <v>9614</v>
      </c>
      <c r="E35" s="40">
        <f t="shared" si="0"/>
        <v>7.1746268656716419</v>
      </c>
      <c r="F35" s="20"/>
      <c r="G35" s="13"/>
      <c r="H35" s="13"/>
      <c r="I35" s="46">
        <f t="shared" si="1"/>
        <v>0</v>
      </c>
      <c r="J35"/>
      <c r="K35" s="25">
        <f>L35/C35</f>
        <v>0</v>
      </c>
      <c r="L35" s="8"/>
      <c r="M35" s="52">
        <f t="shared" si="2"/>
        <v>0</v>
      </c>
    </row>
    <row r="36" spans="1:13" ht="80.099999999999994" customHeight="1">
      <c r="A36" s="31">
        <v>8800289467240</v>
      </c>
      <c r="B36" s="21" t="s">
        <v>31</v>
      </c>
      <c r="C36" s="19">
        <v>50</v>
      </c>
      <c r="D36" s="20">
        <v>9614</v>
      </c>
      <c r="E36" s="40">
        <f t="shared" si="0"/>
        <v>7.1746268656716419</v>
      </c>
      <c r="F36" s="20"/>
      <c r="G36" s="13"/>
      <c r="H36" s="13"/>
      <c r="I36" s="46">
        <f t="shared" si="1"/>
        <v>0</v>
      </c>
      <c r="J36"/>
      <c r="K36" s="25">
        <f>L36/C36</f>
        <v>0</v>
      </c>
      <c r="L36" s="8"/>
      <c r="M36" s="52">
        <f t="shared" si="2"/>
        <v>0</v>
      </c>
    </row>
    <row r="37" spans="1:13" ht="80.099999999999994" customHeight="1">
      <c r="A37" s="31">
        <v>8800289467240</v>
      </c>
      <c r="B37" s="21" t="s">
        <v>32</v>
      </c>
      <c r="C37" s="19">
        <v>20</v>
      </c>
      <c r="D37" s="20">
        <v>16016</v>
      </c>
      <c r="E37" s="40">
        <f t="shared" si="0"/>
        <v>11.952238805970149</v>
      </c>
      <c r="F37" s="20"/>
      <c r="G37" s="13"/>
      <c r="H37" s="13"/>
      <c r="I37" s="46">
        <f t="shared" si="1"/>
        <v>0</v>
      </c>
      <c r="J37"/>
      <c r="K37" s="25">
        <f>L37/C37</f>
        <v>0</v>
      </c>
      <c r="L37" s="8"/>
      <c r="M37" s="52">
        <f t="shared" si="2"/>
        <v>0</v>
      </c>
    </row>
    <row r="38" spans="1:13" ht="80.099999999999994" customHeight="1">
      <c r="A38" s="31">
        <v>8800289467240</v>
      </c>
      <c r="B38" s="21" t="s">
        <v>33</v>
      </c>
      <c r="C38" s="19">
        <v>30</v>
      </c>
      <c r="D38" s="20">
        <v>13464</v>
      </c>
      <c r="E38" s="40">
        <f t="shared" si="0"/>
        <v>10.047761194029851</v>
      </c>
      <c r="F38" s="20"/>
      <c r="G38" s="13"/>
      <c r="H38" s="13"/>
      <c r="I38" s="46">
        <f t="shared" si="1"/>
        <v>0</v>
      </c>
      <c r="J38"/>
      <c r="K38" s="25">
        <f>L38/C38</f>
        <v>0</v>
      </c>
      <c r="L38" s="8"/>
      <c r="M38" s="52">
        <f t="shared" si="2"/>
        <v>0</v>
      </c>
    </row>
    <row r="39" spans="1:13" ht="80.099999999999994" customHeight="1">
      <c r="A39" s="31">
        <v>8800289467240</v>
      </c>
      <c r="B39" s="21" t="s">
        <v>34</v>
      </c>
      <c r="C39" s="19">
        <v>40</v>
      </c>
      <c r="D39" s="20">
        <v>12177</v>
      </c>
      <c r="E39" s="40">
        <f t="shared" si="0"/>
        <v>9.0873134328358205</v>
      </c>
      <c r="F39" s="20"/>
      <c r="G39" s="13"/>
      <c r="H39" s="13"/>
      <c r="I39" s="46">
        <f t="shared" si="1"/>
        <v>0</v>
      </c>
      <c r="J39"/>
      <c r="K39" s="25">
        <f>L39/C39</f>
        <v>0</v>
      </c>
      <c r="L39" s="8"/>
      <c r="M39" s="52">
        <f t="shared" si="2"/>
        <v>0</v>
      </c>
    </row>
    <row r="40" spans="1:13" ht="80.099999999999994" customHeight="1">
      <c r="A40" s="31">
        <v>8800289467240</v>
      </c>
      <c r="B40" s="21" t="s">
        <v>35</v>
      </c>
      <c r="C40" s="19">
        <v>80</v>
      </c>
      <c r="D40" s="20">
        <v>16665</v>
      </c>
      <c r="E40" s="40">
        <f t="shared" si="0"/>
        <v>12.436567164179104</v>
      </c>
      <c r="F40" s="20"/>
      <c r="G40" s="13"/>
      <c r="H40" s="13"/>
      <c r="I40" s="46">
        <f t="shared" si="1"/>
        <v>0</v>
      </c>
      <c r="J40"/>
      <c r="K40" s="25">
        <f>L40/C40</f>
        <v>0</v>
      </c>
      <c r="L40" s="8"/>
      <c r="M40" s="52">
        <f t="shared" si="2"/>
        <v>0</v>
      </c>
    </row>
    <row r="41" spans="1:13" ht="80.099999999999994" customHeight="1">
      <c r="A41" s="31">
        <v>8800289467240</v>
      </c>
      <c r="B41" s="21" t="s">
        <v>36</v>
      </c>
      <c r="C41" s="19">
        <v>100</v>
      </c>
      <c r="D41" s="20">
        <v>10252</v>
      </c>
      <c r="E41" s="40">
        <f t="shared" si="0"/>
        <v>7.6507462686567163</v>
      </c>
      <c r="F41" s="20"/>
      <c r="G41" s="13"/>
      <c r="H41" s="13"/>
      <c r="I41" s="46">
        <f t="shared" si="1"/>
        <v>0</v>
      </c>
      <c r="J41"/>
      <c r="K41" s="25">
        <f>L41/C41</f>
        <v>0</v>
      </c>
      <c r="L41" s="8"/>
      <c r="M41" s="52">
        <f t="shared" si="2"/>
        <v>0</v>
      </c>
    </row>
    <row r="42" spans="1:13" ht="80.099999999999994" customHeight="1">
      <c r="A42" s="31">
        <v>8800289467240</v>
      </c>
      <c r="B42" s="21" t="s">
        <v>37</v>
      </c>
      <c r="C42" s="19">
        <v>50</v>
      </c>
      <c r="D42" s="20">
        <v>11539</v>
      </c>
      <c r="E42" s="40">
        <f t="shared" si="0"/>
        <v>8.611194029850747</v>
      </c>
      <c r="F42" s="20"/>
      <c r="G42" s="13"/>
      <c r="H42" s="13"/>
      <c r="I42" s="46">
        <f t="shared" si="1"/>
        <v>0</v>
      </c>
      <c r="J42"/>
      <c r="K42" s="25">
        <f>L42/C42</f>
        <v>0</v>
      </c>
      <c r="L42" s="8"/>
      <c r="M42" s="52">
        <f t="shared" si="2"/>
        <v>0</v>
      </c>
    </row>
    <row r="43" spans="1:13" ht="80.099999999999994" customHeight="1">
      <c r="A43" s="31">
        <v>8800289467240</v>
      </c>
      <c r="B43" s="21" t="s">
        <v>38</v>
      </c>
      <c r="C43" s="19">
        <v>20</v>
      </c>
      <c r="D43" s="20">
        <v>12177</v>
      </c>
      <c r="E43" s="40">
        <f t="shared" si="0"/>
        <v>9.0873134328358205</v>
      </c>
      <c r="F43" s="20"/>
      <c r="G43" s="13"/>
      <c r="H43" s="13"/>
      <c r="I43" s="46">
        <f t="shared" si="1"/>
        <v>0</v>
      </c>
      <c r="J43"/>
      <c r="K43" s="25">
        <f>L43/C43</f>
        <v>0</v>
      </c>
      <c r="L43" s="8"/>
      <c r="M43" s="52">
        <f t="shared" si="2"/>
        <v>0</v>
      </c>
    </row>
    <row r="44" spans="1:13" ht="80.099999999999994" customHeight="1">
      <c r="A44" s="31">
        <v>8800289467240</v>
      </c>
      <c r="B44" s="22" t="s">
        <v>39</v>
      </c>
      <c r="C44" s="19">
        <v>10</v>
      </c>
      <c r="D44" s="20">
        <v>14102</v>
      </c>
      <c r="E44" s="40">
        <f t="shared" si="0"/>
        <v>10.523880597014925</v>
      </c>
      <c r="F44" s="20"/>
      <c r="G44" s="13"/>
      <c r="H44" s="13"/>
      <c r="I44" s="46">
        <f t="shared" si="1"/>
        <v>0</v>
      </c>
      <c r="J44"/>
      <c r="K44" s="25">
        <f>L44/C44</f>
        <v>0</v>
      </c>
      <c r="L44" s="8"/>
      <c r="M44" s="52">
        <f t="shared" si="2"/>
        <v>0</v>
      </c>
    </row>
    <row r="45" spans="1:13" ht="80.099999999999994" customHeight="1">
      <c r="A45" s="31">
        <v>8800366240544</v>
      </c>
      <c r="B45" s="21" t="s">
        <v>40</v>
      </c>
      <c r="C45" s="19">
        <v>40</v>
      </c>
      <c r="D45" s="20">
        <v>13464</v>
      </c>
      <c r="E45" s="40">
        <f t="shared" si="0"/>
        <v>10.047761194029851</v>
      </c>
      <c r="F45" s="20"/>
      <c r="G45" s="13"/>
      <c r="H45" s="13"/>
      <c r="I45" s="46">
        <f t="shared" si="1"/>
        <v>0</v>
      </c>
      <c r="J45"/>
      <c r="K45" s="25">
        <f>L45/C45</f>
        <v>0</v>
      </c>
      <c r="L45" s="8"/>
      <c r="M45" s="52">
        <f t="shared" si="2"/>
        <v>0</v>
      </c>
    </row>
    <row r="46" spans="1:13" ht="80.099999999999994" customHeight="1">
      <c r="A46" s="31">
        <v>8800289468827</v>
      </c>
      <c r="B46" s="21" t="s">
        <v>41</v>
      </c>
      <c r="C46" s="19">
        <v>240</v>
      </c>
      <c r="D46" s="20">
        <v>7051</v>
      </c>
      <c r="E46" s="40">
        <f t="shared" si="0"/>
        <v>5.2619402985074624</v>
      </c>
      <c r="F46" s="20"/>
      <c r="G46" s="13"/>
      <c r="H46" s="13"/>
      <c r="I46" s="46">
        <f t="shared" si="1"/>
        <v>0</v>
      </c>
      <c r="J46"/>
      <c r="K46" s="25">
        <f>L46/C46</f>
        <v>0</v>
      </c>
      <c r="L46" s="8"/>
      <c r="M46" s="52">
        <f t="shared" si="2"/>
        <v>0</v>
      </c>
    </row>
    <row r="47" spans="1:13" ht="80.099999999999994" customHeight="1">
      <c r="A47" s="31">
        <v>8800366241060</v>
      </c>
      <c r="B47" s="21" t="s">
        <v>42</v>
      </c>
      <c r="C47" s="19">
        <v>40</v>
      </c>
      <c r="D47" s="20">
        <v>12815</v>
      </c>
      <c r="E47" s="40">
        <f t="shared" si="0"/>
        <v>9.5634328358208958</v>
      </c>
      <c r="F47" s="20"/>
      <c r="G47" s="13"/>
      <c r="H47" s="13"/>
      <c r="I47" s="46">
        <f t="shared" si="1"/>
        <v>0</v>
      </c>
      <c r="J47"/>
      <c r="K47" s="25">
        <f>L47/C47</f>
        <v>0</v>
      </c>
      <c r="L47" s="8"/>
      <c r="M47" s="52">
        <f t="shared" si="2"/>
        <v>0</v>
      </c>
    </row>
    <row r="48" spans="1:13" ht="80.099999999999994" customHeight="1">
      <c r="A48" s="31">
        <v>8800366241077</v>
      </c>
      <c r="B48" s="21" t="s">
        <v>43</v>
      </c>
      <c r="C48" s="19">
        <v>30</v>
      </c>
      <c r="D48" s="20">
        <v>15378</v>
      </c>
      <c r="E48" s="40">
        <f t="shared" si="0"/>
        <v>11.476119402985075</v>
      </c>
      <c r="F48" s="20"/>
      <c r="G48" s="13"/>
      <c r="H48" s="13"/>
      <c r="I48" s="46">
        <f t="shared" si="1"/>
        <v>0</v>
      </c>
      <c r="J48"/>
      <c r="K48" s="25">
        <f>L48/C48</f>
        <v>0</v>
      </c>
      <c r="L48" s="8"/>
      <c r="M48" s="52">
        <f t="shared" si="2"/>
        <v>0</v>
      </c>
    </row>
    <row r="49" spans="1:13" ht="80.099999999999994" customHeight="1">
      <c r="A49" s="31">
        <v>8800256114320</v>
      </c>
      <c r="B49" s="21" t="s">
        <v>44</v>
      </c>
      <c r="C49" s="19">
        <v>60</v>
      </c>
      <c r="D49" s="20">
        <v>10252</v>
      </c>
      <c r="E49" s="40">
        <f t="shared" si="0"/>
        <v>7.6507462686567163</v>
      </c>
      <c r="F49" s="20"/>
      <c r="G49" s="13"/>
      <c r="H49" s="13"/>
      <c r="I49" s="46">
        <f t="shared" si="1"/>
        <v>0</v>
      </c>
      <c r="J49"/>
      <c r="K49" s="25">
        <f>L49/C49</f>
        <v>0</v>
      </c>
      <c r="L49" s="8"/>
      <c r="M49" s="52">
        <f t="shared" si="2"/>
        <v>0</v>
      </c>
    </row>
    <row r="50" spans="1:13" ht="80.099999999999994" customHeight="1">
      <c r="A50" s="31">
        <v>8800256114351</v>
      </c>
      <c r="B50" s="21" t="s">
        <v>45</v>
      </c>
      <c r="C50" s="19">
        <v>60</v>
      </c>
      <c r="D50" s="20">
        <v>12177</v>
      </c>
      <c r="E50" s="40">
        <f t="shared" si="0"/>
        <v>9.0873134328358205</v>
      </c>
      <c r="F50" s="20"/>
      <c r="G50" s="13"/>
      <c r="H50" s="13"/>
      <c r="I50" s="46">
        <f t="shared" si="1"/>
        <v>0</v>
      </c>
      <c r="J50"/>
      <c r="K50" s="25">
        <f>L50/C50</f>
        <v>0</v>
      </c>
      <c r="L50" s="8"/>
      <c r="M50" s="52">
        <f t="shared" si="2"/>
        <v>0</v>
      </c>
    </row>
    <row r="51" spans="1:13" ht="80.099999999999994" customHeight="1">
      <c r="A51" s="31">
        <v>8800256114313</v>
      </c>
      <c r="B51" s="22" t="s">
        <v>46</v>
      </c>
      <c r="C51" s="19">
        <v>60</v>
      </c>
      <c r="D51" s="20">
        <v>14740</v>
      </c>
      <c r="E51" s="40">
        <f t="shared" si="0"/>
        <v>11</v>
      </c>
      <c r="F51" s="20"/>
      <c r="G51" s="13"/>
      <c r="H51" s="13"/>
      <c r="I51" s="46">
        <f t="shared" si="1"/>
        <v>0</v>
      </c>
      <c r="J51"/>
      <c r="K51" s="25">
        <f>L51/C51</f>
        <v>0</v>
      </c>
      <c r="L51" s="8"/>
      <c r="M51" s="52">
        <f t="shared" si="2"/>
        <v>0</v>
      </c>
    </row>
    <row r="52" spans="1:13" ht="80.099999999999994" customHeight="1">
      <c r="A52" s="31">
        <v>8800256113217</v>
      </c>
      <c r="B52" s="21" t="s">
        <v>47</v>
      </c>
      <c r="C52" s="19">
        <v>80</v>
      </c>
      <c r="D52" s="20">
        <v>14102</v>
      </c>
      <c r="E52" s="40">
        <f t="shared" si="0"/>
        <v>10.523880597014925</v>
      </c>
      <c r="F52" s="20"/>
      <c r="G52" s="13"/>
      <c r="H52" s="13"/>
      <c r="I52" s="46">
        <f t="shared" si="1"/>
        <v>0</v>
      </c>
      <c r="J52"/>
      <c r="K52" s="25">
        <f>L52/C52</f>
        <v>0</v>
      </c>
      <c r="L52" s="8"/>
      <c r="M52" s="52">
        <f t="shared" si="2"/>
        <v>0</v>
      </c>
    </row>
    <row r="53" spans="1:13" ht="80.099999999999994" customHeight="1">
      <c r="A53" s="31">
        <v>8809982769903</v>
      </c>
      <c r="B53" s="21" t="s">
        <v>48</v>
      </c>
      <c r="C53" s="19">
        <v>60</v>
      </c>
      <c r="D53" s="20">
        <v>14740</v>
      </c>
      <c r="E53" s="40">
        <f t="shared" si="0"/>
        <v>11</v>
      </c>
      <c r="F53" s="20"/>
      <c r="G53" s="13"/>
      <c r="H53" s="13"/>
      <c r="I53" s="46">
        <f t="shared" si="1"/>
        <v>0</v>
      </c>
      <c r="J53"/>
      <c r="K53" s="25">
        <f>L53/C53</f>
        <v>0</v>
      </c>
      <c r="L53" s="8"/>
      <c r="M53" s="52">
        <f t="shared" si="2"/>
        <v>0</v>
      </c>
    </row>
    <row r="54" spans="1:13" ht="80.099999999999994" customHeight="1">
      <c r="A54" s="31">
        <v>8800256112227</v>
      </c>
      <c r="B54" s="21" t="s">
        <v>49</v>
      </c>
      <c r="C54" s="19">
        <v>80</v>
      </c>
      <c r="D54" s="20">
        <v>10252</v>
      </c>
      <c r="E54" s="40">
        <f t="shared" si="0"/>
        <v>7.6507462686567163</v>
      </c>
      <c r="F54" s="20"/>
      <c r="G54" s="13"/>
      <c r="H54" s="13"/>
      <c r="I54" s="46">
        <f t="shared" si="1"/>
        <v>0</v>
      </c>
      <c r="J54"/>
      <c r="K54" s="25">
        <f>L54/C54</f>
        <v>0</v>
      </c>
      <c r="L54" s="8"/>
      <c r="M54" s="52">
        <f t="shared" si="2"/>
        <v>0</v>
      </c>
    </row>
    <row r="55" spans="1:13" ht="80.099999999999994" customHeight="1">
      <c r="A55" s="31">
        <v>8809981339206</v>
      </c>
      <c r="B55" s="21" t="s">
        <v>50</v>
      </c>
      <c r="C55" s="19">
        <v>100</v>
      </c>
      <c r="D55" s="20">
        <v>12815</v>
      </c>
      <c r="E55" s="40">
        <f t="shared" si="0"/>
        <v>9.5634328358208958</v>
      </c>
      <c r="F55" s="20"/>
      <c r="G55" s="13"/>
      <c r="H55" s="13"/>
      <c r="I55" s="46">
        <f t="shared" si="1"/>
        <v>0</v>
      </c>
      <c r="J55"/>
      <c r="K55" s="25">
        <f>L55/C55</f>
        <v>0</v>
      </c>
      <c r="L55" s="8"/>
      <c r="M55" s="52">
        <f t="shared" si="2"/>
        <v>0</v>
      </c>
    </row>
    <row r="56" spans="1:13" ht="80.099999999999994" customHeight="1">
      <c r="A56" s="31">
        <v>8800240576608</v>
      </c>
      <c r="B56" s="21" t="s">
        <v>51</v>
      </c>
      <c r="C56" s="19">
        <v>100</v>
      </c>
      <c r="D56" s="20">
        <v>13464</v>
      </c>
      <c r="E56" s="40">
        <f t="shared" si="0"/>
        <v>10.047761194029851</v>
      </c>
      <c r="F56" s="20"/>
      <c r="G56" s="13"/>
      <c r="H56" s="13"/>
      <c r="I56" s="46">
        <f t="shared" si="1"/>
        <v>0</v>
      </c>
      <c r="J56"/>
      <c r="K56" s="25">
        <f>L56/C56</f>
        <v>0</v>
      </c>
      <c r="L56" s="8"/>
      <c r="M56" s="52">
        <f t="shared" si="2"/>
        <v>0</v>
      </c>
    </row>
    <row r="57" spans="1:13" ht="80.099999999999994" customHeight="1">
      <c r="A57" s="31">
        <v>8800240576783</v>
      </c>
      <c r="B57" s="21" t="s">
        <v>52</v>
      </c>
      <c r="C57" s="19">
        <v>100</v>
      </c>
      <c r="D57" s="20">
        <v>16016</v>
      </c>
      <c r="E57" s="40">
        <f t="shared" si="0"/>
        <v>11.952238805970149</v>
      </c>
      <c r="F57" s="20"/>
      <c r="G57" s="13"/>
      <c r="H57" s="13"/>
      <c r="I57" s="46">
        <f t="shared" si="1"/>
        <v>0</v>
      </c>
      <c r="J57"/>
      <c r="K57" s="25">
        <f>L57/C57</f>
        <v>0</v>
      </c>
      <c r="L57" s="8"/>
      <c r="M57" s="52">
        <f t="shared" si="2"/>
        <v>0</v>
      </c>
    </row>
    <row r="58" spans="1:13" ht="80.099999999999994" customHeight="1">
      <c r="A58" s="31">
        <v>8800289478161</v>
      </c>
      <c r="B58" s="21" t="s">
        <v>53</v>
      </c>
      <c r="C58" s="19">
        <v>80</v>
      </c>
      <c r="D58" s="20">
        <v>14102</v>
      </c>
      <c r="E58" s="40">
        <f t="shared" si="0"/>
        <v>10.523880597014925</v>
      </c>
      <c r="F58" s="20"/>
      <c r="G58" s="13"/>
      <c r="H58" s="13"/>
      <c r="I58" s="46">
        <f t="shared" si="1"/>
        <v>0</v>
      </c>
      <c r="J58"/>
      <c r="K58" s="25">
        <f>L58/C58</f>
        <v>0</v>
      </c>
      <c r="L58" s="8"/>
      <c r="M58" s="52">
        <f t="shared" si="2"/>
        <v>0</v>
      </c>
    </row>
    <row r="59" spans="1:13" ht="80.099999999999994" customHeight="1">
      <c r="A59" s="32">
        <v>8800366242234</v>
      </c>
      <c r="B59" s="23" t="s">
        <v>54</v>
      </c>
      <c r="C59" s="19">
        <v>100</v>
      </c>
      <c r="D59" s="20">
        <v>13464</v>
      </c>
      <c r="E59" s="40">
        <f t="shared" si="0"/>
        <v>10.047761194029851</v>
      </c>
      <c r="F59" s="20"/>
      <c r="G59" s="13"/>
      <c r="H59" s="13"/>
      <c r="I59" s="46">
        <f t="shared" si="1"/>
        <v>0</v>
      </c>
      <c r="J59"/>
      <c r="K59" s="25">
        <f>L59/C59</f>
        <v>0</v>
      </c>
      <c r="L59" s="8"/>
      <c r="M59" s="52">
        <f t="shared" si="2"/>
        <v>0</v>
      </c>
    </row>
    <row r="60" spans="1:13" ht="80.099999999999994" customHeight="1">
      <c r="A60" s="32">
        <v>8800289461552</v>
      </c>
      <c r="B60" s="23" t="s">
        <v>55</v>
      </c>
      <c r="C60" s="19">
        <v>100</v>
      </c>
      <c r="D60" s="20">
        <v>13464</v>
      </c>
      <c r="E60" s="40">
        <f t="shared" si="0"/>
        <v>10.047761194029851</v>
      </c>
      <c r="F60" s="20"/>
      <c r="G60" s="13"/>
      <c r="H60" s="13"/>
      <c r="I60" s="46">
        <f t="shared" si="1"/>
        <v>0</v>
      </c>
      <c r="J60"/>
      <c r="K60" s="25">
        <f>L60/C60</f>
        <v>0</v>
      </c>
      <c r="L60" s="8"/>
      <c r="M60" s="52">
        <f t="shared" si="2"/>
        <v>0</v>
      </c>
    </row>
    <row r="61" spans="1:13" ht="80.099999999999994" customHeight="1">
      <c r="A61" s="32">
        <v>8800240567347</v>
      </c>
      <c r="B61" s="23" t="s">
        <v>56</v>
      </c>
      <c r="C61" s="19">
        <v>80</v>
      </c>
      <c r="D61" s="20">
        <v>16016</v>
      </c>
      <c r="E61" s="40">
        <f t="shared" si="0"/>
        <v>11.952238805970149</v>
      </c>
      <c r="F61" s="20"/>
      <c r="G61" s="13"/>
      <c r="H61" s="13"/>
      <c r="I61" s="46">
        <f t="shared" si="1"/>
        <v>0</v>
      </c>
      <c r="J61"/>
      <c r="K61" s="25">
        <f>L61/C61</f>
        <v>0</v>
      </c>
      <c r="L61" s="8"/>
      <c r="M61" s="52">
        <f t="shared" si="2"/>
        <v>0</v>
      </c>
    </row>
    <row r="62" spans="1:13" ht="80.099999999999994" customHeight="1">
      <c r="A62" s="32">
        <v>8809982769934</v>
      </c>
      <c r="B62" s="23" t="s">
        <v>57</v>
      </c>
      <c r="C62" s="19">
        <v>16</v>
      </c>
      <c r="D62" s="20">
        <v>12177</v>
      </c>
      <c r="E62" s="40">
        <f t="shared" si="0"/>
        <v>9.0873134328358205</v>
      </c>
      <c r="F62" s="20"/>
      <c r="G62" s="13"/>
      <c r="H62" s="13"/>
      <c r="I62" s="46">
        <f t="shared" si="1"/>
        <v>0</v>
      </c>
      <c r="J62"/>
      <c r="K62" s="25">
        <f>L62/C62</f>
        <v>0</v>
      </c>
      <c r="L62" s="8"/>
      <c r="M62" s="52">
        <f t="shared" si="2"/>
        <v>0</v>
      </c>
    </row>
    <row r="63" spans="1:13" ht="80.099999999999994" customHeight="1">
      <c r="A63" s="32">
        <v>8800256112159</v>
      </c>
      <c r="B63" s="23" t="s">
        <v>58</v>
      </c>
      <c r="C63" s="19">
        <v>80</v>
      </c>
      <c r="D63" s="20">
        <v>10252</v>
      </c>
      <c r="E63" s="40">
        <f t="shared" si="0"/>
        <v>7.6507462686567163</v>
      </c>
      <c r="F63" s="20"/>
      <c r="G63" s="13"/>
      <c r="H63" s="13"/>
      <c r="I63" s="46">
        <f t="shared" si="1"/>
        <v>0</v>
      </c>
      <c r="J63"/>
      <c r="K63" s="25">
        <f>L63/C63</f>
        <v>0</v>
      </c>
      <c r="L63" s="8"/>
      <c r="M63" s="52">
        <f t="shared" si="2"/>
        <v>0</v>
      </c>
    </row>
    <row r="64" spans="1:13" ht="80.099999999999994" customHeight="1">
      <c r="A64" s="32">
        <v>8809936587119</v>
      </c>
      <c r="B64" s="23" t="s">
        <v>59</v>
      </c>
      <c r="C64" s="19">
        <v>30</v>
      </c>
      <c r="D64" s="20">
        <v>14102</v>
      </c>
      <c r="E64" s="40">
        <f t="shared" si="0"/>
        <v>10.523880597014925</v>
      </c>
      <c r="F64" s="20"/>
      <c r="G64" s="13"/>
      <c r="H64" s="13"/>
      <c r="I64" s="46">
        <f t="shared" si="1"/>
        <v>0</v>
      </c>
      <c r="J64"/>
      <c r="K64" s="25">
        <f>L64/C64</f>
        <v>0</v>
      </c>
      <c r="L64" s="8"/>
      <c r="M64" s="52">
        <f t="shared" si="2"/>
        <v>0</v>
      </c>
    </row>
    <row r="65" spans="1:13" ht="80.099999999999994" customHeight="1">
      <c r="A65" s="31">
        <v>8800289469077</v>
      </c>
      <c r="B65" s="21" t="s">
        <v>60</v>
      </c>
      <c r="C65" s="19">
        <v>30</v>
      </c>
      <c r="D65" s="20">
        <v>14102</v>
      </c>
      <c r="E65" s="40">
        <f t="shared" si="0"/>
        <v>10.523880597014925</v>
      </c>
      <c r="F65" s="20"/>
      <c r="G65" s="13"/>
      <c r="H65" s="13"/>
      <c r="I65" s="46">
        <f t="shared" si="1"/>
        <v>0</v>
      </c>
      <c r="J65"/>
      <c r="K65" s="25">
        <f>L65/C65</f>
        <v>0</v>
      </c>
      <c r="L65" s="8"/>
      <c r="M65" s="52">
        <f t="shared" si="2"/>
        <v>0</v>
      </c>
    </row>
    <row r="66" spans="1:13" ht="80.099999999999994" customHeight="1">
      <c r="A66" s="31">
        <v>8800240576233</v>
      </c>
      <c r="B66" s="21" t="s">
        <v>61</v>
      </c>
      <c r="C66" s="19">
        <v>80</v>
      </c>
      <c r="D66" s="20">
        <v>11539</v>
      </c>
      <c r="E66" s="40">
        <f t="shared" si="0"/>
        <v>8.611194029850747</v>
      </c>
      <c r="F66" s="20"/>
      <c r="G66" s="13"/>
      <c r="H66" s="13"/>
      <c r="I66" s="46">
        <f t="shared" si="1"/>
        <v>0</v>
      </c>
      <c r="J66"/>
      <c r="K66" s="25">
        <f>L66/C66</f>
        <v>0</v>
      </c>
      <c r="L66" s="8"/>
      <c r="M66" s="52">
        <f t="shared" si="2"/>
        <v>0</v>
      </c>
    </row>
    <row r="67" spans="1:13" ht="80.099999999999994" customHeight="1">
      <c r="A67" s="31">
        <v>8809517413936</v>
      </c>
      <c r="B67" s="21" t="s">
        <v>62</v>
      </c>
      <c r="C67" s="19">
        <v>40</v>
      </c>
      <c r="D67" s="20">
        <v>14740</v>
      </c>
      <c r="E67" s="40">
        <f t="shared" ref="E67:E128" si="3">D67/1340</f>
        <v>11</v>
      </c>
      <c r="F67" s="20"/>
      <c r="G67" s="13"/>
      <c r="H67" s="13"/>
      <c r="I67" s="46">
        <f t="shared" si="1"/>
        <v>0</v>
      </c>
      <c r="J67"/>
      <c r="K67" s="25">
        <f>L67/C67</f>
        <v>0</v>
      </c>
      <c r="L67" s="8"/>
      <c r="M67" s="52">
        <f t="shared" si="2"/>
        <v>0</v>
      </c>
    </row>
    <row r="68" spans="1:13" ht="80.099999999999994" customHeight="1">
      <c r="A68" s="31">
        <v>8809517413646</v>
      </c>
      <c r="B68" s="21" t="s">
        <v>63</v>
      </c>
      <c r="C68" s="19">
        <v>20</v>
      </c>
      <c r="D68" s="20">
        <v>18579</v>
      </c>
      <c r="E68" s="40">
        <f t="shared" si="3"/>
        <v>13.864925373134328</v>
      </c>
      <c r="F68" s="20"/>
      <c r="G68" s="13"/>
      <c r="H68" s="13"/>
      <c r="I68" s="46">
        <f t="shared" si="1"/>
        <v>0</v>
      </c>
      <c r="J68"/>
      <c r="K68" s="25">
        <f>L68/C68</f>
        <v>0</v>
      </c>
      <c r="L68" s="8"/>
      <c r="M68" s="52">
        <f t="shared" si="2"/>
        <v>0</v>
      </c>
    </row>
    <row r="69" spans="1:13" ht="80.099999999999994" customHeight="1">
      <c r="A69" s="31">
        <v>8809517413653</v>
      </c>
      <c r="B69" s="21" t="s">
        <v>64</v>
      </c>
      <c r="C69" s="19">
        <v>20</v>
      </c>
      <c r="D69" s="20">
        <v>14102</v>
      </c>
      <c r="E69" s="40">
        <f t="shared" si="3"/>
        <v>10.523880597014925</v>
      </c>
      <c r="F69" s="20"/>
      <c r="G69" s="13"/>
      <c r="H69" s="13"/>
      <c r="I69" s="46">
        <f t="shared" si="1"/>
        <v>0</v>
      </c>
      <c r="J69"/>
      <c r="K69" s="25">
        <f>L69/C69</f>
        <v>0</v>
      </c>
      <c r="L69" s="8"/>
      <c r="M69" s="52">
        <f t="shared" si="2"/>
        <v>0</v>
      </c>
    </row>
    <row r="70" spans="1:13" ht="80.099999999999994" customHeight="1">
      <c r="A70" s="31">
        <v>8800256112487</v>
      </c>
      <c r="B70" s="21" t="s">
        <v>65</v>
      </c>
      <c r="C70" s="19">
        <v>20</v>
      </c>
      <c r="D70" s="20">
        <v>16665</v>
      </c>
      <c r="E70" s="40">
        <f t="shared" si="3"/>
        <v>12.436567164179104</v>
      </c>
      <c r="F70" s="20"/>
      <c r="G70" s="13"/>
      <c r="H70" s="13"/>
      <c r="I70" s="46">
        <f t="shared" si="1"/>
        <v>0</v>
      </c>
      <c r="J70"/>
      <c r="K70" s="25">
        <f>L70/C70</f>
        <v>0</v>
      </c>
      <c r="L70" s="8"/>
      <c r="M70" s="52">
        <f t="shared" si="2"/>
        <v>0</v>
      </c>
    </row>
    <row r="71" spans="1:13" ht="80.099999999999994" customHeight="1">
      <c r="A71" s="31">
        <v>8809960356569</v>
      </c>
      <c r="B71" s="21" t="s">
        <v>66</v>
      </c>
      <c r="C71" s="19">
        <v>40</v>
      </c>
      <c r="D71" s="20">
        <v>10901</v>
      </c>
      <c r="E71" s="40">
        <f t="shared" si="3"/>
        <v>8.1350746268656717</v>
      </c>
      <c r="F71" s="20"/>
      <c r="G71" s="13"/>
      <c r="H71" s="13"/>
      <c r="I71" s="46">
        <f t="shared" ref="I71:I134" si="4">E71*H71</f>
        <v>0</v>
      </c>
      <c r="J71"/>
      <c r="K71" s="25">
        <f>L71/C71</f>
        <v>0</v>
      </c>
      <c r="L71" s="8"/>
      <c r="M71" s="52">
        <f t="shared" ref="M71:M134" si="5">E71*L71</f>
        <v>0</v>
      </c>
    </row>
    <row r="72" spans="1:13" ht="80.099999999999994" customHeight="1">
      <c r="A72" s="31">
        <v>8809883882275</v>
      </c>
      <c r="B72" s="21" t="s">
        <v>67</v>
      </c>
      <c r="C72" s="19">
        <v>50</v>
      </c>
      <c r="D72" s="20">
        <v>12815</v>
      </c>
      <c r="E72" s="40">
        <f t="shared" si="3"/>
        <v>9.5634328358208958</v>
      </c>
      <c r="F72" s="20"/>
      <c r="G72" s="13"/>
      <c r="H72" s="13"/>
      <c r="I72" s="46">
        <f t="shared" si="4"/>
        <v>0</v>
      </c>
      <c r="J72"/>
      <c r="K72" s="25">
        <f>L72/C72</f>
        <v>0</v>
      </c>
      <c r="L72" s="8"/>
      <c r="M72" s="52">
        <f t="shared" si="5"/>
        <v>0</v>
      </c>
    </row>
    <row r="73" spans="1:13" ht="80.099999999999994" customHeight="1">
      <c r="A73" s="31">
        <v>8809883882251</v>
      </c>
      <c r="B73" s="21" t="s">
        <v>68</v>
      </c>
      <c r="C73" s="19">
        <v>80</v>
      </c>
      <c r="D73" s="20">
        <v>15378</v>
      </c>
      <c r="E73" s="40">
        <f t="shared" si="3"/>
        <v>11.476119402985075</v>
      </c>
      <c r="F73" s="20"/>
      <c r="G73" s="13"/>
      <c r="H73" s="13"/>
      <c r="I73" s="46">
        <f t="shared" si="4"/>
        <v>0</v>
      </c>
      <c r="J73"/>
      <c r="K73" s="25">
        <f>L73/C73</f>
        <v>0</v>
      </c>
      <c r="L73" s="8"/>
      <c r="M73" s="52">
        <f t="shared" si="5"/>
        <v>0</v>
      </c>
    </row>
    <row r="74" spans="1:13" ht="80.099999999999994" customHeight="1">
      <c r="A74" s="31">
        <v>8809517411345</v>
      </c>
      <c r="B74" s="21" t="s">
        <v>69</v>
      </c>
      <c r="C74" s="19">
        <v>50</v>
      </c>
      <c r="D74" s="20">
        <v>8976</v>
      </c>
      <c r="E74" s="40">
        <f t="shared" si="3"/>
        <v>6.6985074626865675</v>
      </c>
      <c r="F74" s="20"/>
      <c r="G74" s="13"/>
      <c r="H74" s="13"/>
      <c r="I74" s="46">
        <f t="shared" si="4"/>
        <v>0</v>
      </c>
      <c r="J74"/>
      <c r="K74" s="25">
        <f>L74/C74</f>
        <v>0</v>
      </c>
      <c r="L74" s="8"/>
      <c r="M74" s="52">
        <f t="shared" si="5"/>
        <v>0</v>
      </c>
    </row>
    <row r="75" spans="1:13" ht="80.099999999999994" customHeight="1">
      <c r="A75" s="31">
        <v>8809517411352</v>
      </c>
      <c r="B75" s="21" t="s">
        <v>70</v>
      </c>
      <c r="C75" s="19">
        <v>50</v>
      </c>
      <c r="D75" s="20">
        <v>11539</v>
      </c>
      <c r="E75" s="40">
        <f t="shared" si="3"/>
        <v>8.611194029850747</v>
      </c>
      <c r="F75" s="20"/>
      <c r="G75" s="13"/>
      <c r="H75" s="13"/>
      <c r="I75" s="46">
        <f t="shared" si="4"/>
        <v>0</v>
      </c>
      <c r="J75"/>
      <c r="K75" s="25">
        <f>L75/C75</f>
        <v>0</v>
      </c>
      <c r="L75" s="8"/>
      <c r="M75" s="52">
        <f t="shared" si="5"/>
        <v>0</v>
      </c>
    </row>
    <row r="76" spans="1:13" ht="80.099999999999994" customHeight="1">
      <c r="A76" s="31">
        <v>8809921779093</v>
      </c>
      <c r="B76" s="21" t="s">
        <v>71</v>
      </c>
      <c r="C76" s="19">
        <v>100</v>
      </c>
      <c r="D76" s="20">
        <v>10252</v>
      </c>
      <c r="E76" s="40">
        <f t="shared" si="3"/>
        <v>7.6507462686567163</v>
      </c>
      <c r="F76" s="20"/>
      <c r="G76" s="13"/>
      <c r="H76" s="13"/>
      <c r="I76" s="46">
        <f t="shared" si="4"/>
        <v>0</v>
      </c>
      <c r="J76"/>
      <c r="K76" s="25">
        <f>L76/C76</f>
        <v>0</v>
      </c>
      <c r="L76" s="8"/>
      <c r="M76" s="52">
        <f t="shared" si="5"/>
        <v>0</v>
      </c>
    </row>
    <row r="77" spans="1:13" ht="80.099999999999994" customHeight="1">
      <c r="A77" s="31">
        <v>8809921779109</v>
      </c>
      <c r="B77" s="21" t="s">
        <v>72</v>
      </c>
      <c r="C77" s="19">
        <v>100</v>
      </c>
      <c r="D77" s="20">
        <v>14102</v>
      </c>
      <c r="E77" s="40">
        <f t="shared" si="3"/>
        <v>10.523880597014925</v>
      </c>
      <c r="F77" s="20"/>
      <c r="G77" s="13"/>
      <c r="H77" s="13"/>
      <c r="I77" s="46">
        <f t="shared" si="4"/>
        <v>0</v>
      </c>
      <c r="J77"/>
      <c r="K77" s="25">
        <f>L77/C77</f>
        <v>0</v>
      </c>
      <c r="L77" s="8"/>
      <c r="M77" s="52">
        <f t="shared" si="5"/>
        <v>0</v>
      </c>
    </row>
    <row r="78" spans="1:13" ht="80.099999999999994" customHeight="1">
      <c r="A78" s="31">
        <v>8809960356170</v>
      </c>
      <c r="B78" s="21" t="s">
        <v>73</v>
      </c>
      <c r="C78" s="19">
        <v>20</v>
      </c>
      <c r="D78" s="20">
        <v>14102</v>
      </c>
      <c r="E78" s="40">
        <f t="shared" si="3"/>
        <v>10.523880597014925</v>
      </c>
      <c r="F78" s="20"/>
      <c r="G78" s="13"/>
      <c r="H78" s="13"/>
      <c r="I78" s="46">
        <f t="shared" si="4"/>
        <v>0</v>
      </c>
      <c r="J78"/>
      <c r="K78" s="25">
        <f>L78/C78</f>
        <v>0</v>
      </c>
      <c r="L78" s="8"/>
      <c r="M78" s="52">
        <f t="shared" si="5"/>
        <v>0</v>
      </c>
    </row>
    <row r="79" spans="1:13" ht="80.099999999999994" customHeight="1">
      <c r="A79" s="31">
        <v>8809960356170</v>
      </c>
      <c r="B79" s="21" t="s">
        <v>73</v>
      </c>
      <c r="C79" s="19">
        <v>20</v>
      </c>
      <c r="D79" s="20">
        <v>14102</v>
      </c>
      <c r="E79" s="40">
        <f t="shared" si="3"/>
        <v>10.523880597014925</v>
      </c>
      <c r="F79" s="20"/>
      <c r="G79" s="13"/>
      <c r="H79" s="13"/>
      <c r="I79" s="46">
        <f t="shared" si="4"/>
        <v>0</v>
      </c>
      <c r="J79"/>
      <c r="K79" s="25">
        <f>L79/C79</f>
        <v>0</v>
      </c>
      <c r="L79" s="8"/>
      <c r="M79" s="52">
        <f t="shared" si="5"/>
        <v>0</v>
      </c>
    </row>
    <row r="80" spans="1:13" ht="80.099999999999994" customHeight="1">
      <c r="A80" s="33">
        <v>8809517419709</v>
      </c>
      <c r="B80" s="22" t="s">
        <v>74</v>
      </c>
      <c r="C80" s="19">
        <v>80</v>
      </c>
      <c r="D80" s="20">
        <v>13464</v>
      </c>
      <c r="E80" s="40">
        <f t="shared" si="3"/>
        <v>10.047761194029851</v>
      </c>
      <c r="F80" s="20"/>
      <c r="G80" s="13"/>
      <c r="H80" s="13"/>
      <c r="I80" s="46">
        <f t="shared" si="4"/>
        <v>0</v>
      </c>
      <c r="J80"/>
      <c r="K80" s="25">
        <f>L80/C80</f>
        <v>0</v>
      </c>
      <c r="L80" s="8"/>
      <c r="M80" s="52">
        <f t="shared" si="5"/>
        <v>0</v>
      </c>
    </row>
    <row r="81" spans="1:13" ht="80.099999999999994" customHeight="1">
      <c r="A81" s="33">
        <v>8809921774258</v>
      </c>
      <c r="B81" s="22" t="s">
        <v>75</v>
      </c>
      <c r="C81" s="19">
        <v>100</v>
      </c>
      <c r="D81" s="20">
        <v>12815</v>
      </c>
      <c r="E81" s="40">
        <f t="shared" si="3"/>
        <v>9.5634328358208958</v>
      </c>
      <c r="F81" s="20"/>
      <c r="G81" s="13"/>
      <c r="H81" s="13"/>
      <c r="I81" s="46">
        <f t="shared" si="4"/>
        <v>0</v>
      </c>
      <c r="J81"/>
      <c r="K81" s="25">
        <f>L81/C81</f>
        <v>0</v>
      </c>
      <c r="L81" s="8"/>
      <c r="M81" s="52">
        <f t="shared" si="5"/>
        <v>0</v>
      </c>
    </row>
    <row r="82" spans="1:13" ht="80.099999999999994" customHeight="1">
      <c r="A82" s="33">
        <v>8800256115365</v>
      </c>
      <c r="B82" s="22" t="s">
        <v>76</v>
      </c>
      <c r="C82" s="19">
        <v>60</v>
      </c>
      <c r="D82" s="20">
        <v>8723</v>
      </c>
      <c r="E82" s="40">
        <f t="shared" si="3"/>
        <v>6.5097014925373138</v>
      </c>
      <c r="F82" s="20"/>
      <c r="G82" s="13"/>
      <c r="H82" s="13"/>
      <c r="I82" s="46">
        <f t="shared" si="4"/>
        <v>0</v>
      </c>
      <c r="J82"/>
      <c r="K82" s="25">
        <f>L82/C82</f>
        <v>0</v>
      </c>
      <c r="L82" s="8"/>
      <c r="M82" s="52">
        <f t="shared" si="5"/>
        <v>0</v>
      </c>
    </row>
    <row r="83" spans="1:13" ht="80.099999999999994" customHeight="1">
      <c r="A83" s="31">
        <v>8800256108053</v>
      </c>
      <c r="B83" s="21" t="s">
        <v>77</v>
      </c>
      <c r="C83" s="19">
        <v>80</v>
      </c>
      <c r="D83" s="20">
        <v>11539</v>
      </c>
      <c r="E83" s="40">
        <f t="shared" si="3"/>
        <v>8.611194029850747</v>
      </c>
      <c r="F83" s="20"/>
      <c r="G83" s="13"/>
      <c r="H83" s="13"/>
      <c r="I83" s="46">
        <f t="shared" si="4"/>
        <v>0</v>
      </c>
      <c r="J83"/>
      <c r="K83" s="25">
        <f>L83/C83</f>
        <v>0</v>
      </c>
      <c r="L83" s="8"/>
      <c r="M83" s="52">
        <f t="shared" si="5"/>
        <v>0</v>
      </c>
    </row>
    <row r="84" spans="1:13" ht="80.099999999999994" customHeight="1">
      <c r="A84" s="31">
        <v>8800289462719</v>
      </c>
      <c r="B84" s="21" t="s">
        <v>78</v>
      </c>
      <c r="C84" s="19">
        <v>80</v>
      </c>
      <c r="D84" s="20">
        <v>6413</v>
      </c>
      <c r="E84" s="40">
        <f t="shared" si="3"/>
        <v>4.785820895522388</v>
      </c>
      <c r="F84" s="20"/>
      <c r="G84" s="13"/>
      <c r="H84" s="13"/>
      <c r="I84" s="46">
        <f t="shared" si="4"/>
        <v>0</v>
      </c>
      <c r="J84"/>
      <c r="K84" s="25">
        <f>L84/C84</f>
        <v>0</v>
      </c>
      <c r="L84" s="8"/>
      <c r="M84" s="52">
        <f t="shared" si="5"/>
        <v>0</v>
      </c>
    </row>
    <row r="85" spans="1:13" ht="80.099999999999994" customHeight="1">
      <c r="A85" s="31">
        <v>8800289462726</v>
      </c>
      <c r="B85" s="21" t="s">
        <v>79</v>
      </c>
      <c r="C85" s="19">
        <v>40</v>
      </c>
      <c r="D85" s="20">
        <v>11539</v>
      </c>
      <c r="E85" s="40">
        <f t="shared" si="3"/>
        <v>8.611194029850747</v>
      </c>
      <c r="F85" s="20"/>
      <c r="G85" s="13"/>
      <c r="H85" s="13"/>
      <c r="I85" s="46">
        <f t="shared" si="4"/>
        <v>0</v>
      </c>
      <c r="J85"/>
      <c r="K85" s="25">
        <f>L85/C85</f>
        <v>0</v>
      </c>
      <c r="L85" s="8"/>
      <c r="M85" s="52">
        <f t="shared" si="5"/>
        <v>0</v>
      </c>
    </row>
    <row r="86" spans="1:13" ht="80.099999999999994" customHeight="1">
      <c r="A86" s="31">
        <v>8800256112234</v>
      </c>
      <c r="B86" s="21" t="s">
        <v>80</v>
      </c>
      <c r="C86" s="19">
        <v>40</v>
      </c>
      <c r="D86" s="20">
        <v>10252</v>
      </c>
      <c r="E86" s="40">
        <f t="shared" si="3"/>
        <v>7.6507462686567163</v>
      </c>
      <c r="F86" s="20"/>
      <c r="G86" s="13"/>
      <c r="H86" s="13"/>
      <c r="I86" s="46">
        <f t="shared" si="4"/>
        <v>0</v>
      </c>
      <c r="J86"/>
      <c r="K86" s="25">
        <f>L86/C86</f>
        <v>0</v>
      </c>
      <c r="L86" s="8"/>
      <c r="M86" s="52">
        <f t="shared" si="5"/>
        <v>0</v>
      </c>
    </row>
    <row r="87" spans="1:13" ht="80.099999999999994" customHeight="1">
      <c r="A87" s="31">
        <v>8800256113101</v>
      </c>
      <c r="B87" s="21" t="s">
        <v>81</v>
      </c>
      <c r="C87" s="19">
        <v>100</v>
      </c>
      <c r="D87" s="20">
        <v>10252</v>
      </c>
      <c r="E87" s="40">
        <f t="shared" si="3"/>
        <v>7.6507462686567163</v>
      </c>
      <c r="F87" s="20"/>
      <c r="G87" s="13"/>
      <c r="H87" s="13"/>
      <c r="I87" s="46">
        <f t="shared" si="4"/>
        <v>0</v>
      </c>
      <c r="J87"/>
      <c r="K87" s="25">
        <f>L87/C87</f>
        <v>0</v>
      </c>
      <c r="L87" s="8"/>
      <c r="M87" s="52">
        <f t="shared" si="5"/>
        <v>0</v>
      </c>
    </row>
    <row r="88" spans="1:13" ht="80.099999999999994" customHeight="1">
      <c r="A88" s="31">
        <v>8800366240315</v>
      </c>
      <c r="B88" s="21" t="s">
        <v>82</v>
      </c>
      <c r="C88" s="19">
        <v>40</v>
      </c>
      <c r="D88" s="20">
        <v>12177</v>
      </c>
      <c r="E88" s="40">
        <f t="shared" si="3"/>
        <v>9.0873134328358205</v>
      </c>
      <c r="F88" s="20"/>
      <c r="G88" s="13"/>
      <c r="H88" s="13"/>
      <c r="I88" s="46">
        <f t="shared" si="4"/>
        <v>0</v>
      </c>
      <c r="J88"/>
      <c r="K88" s="25">
        <f>L88/C88</f>
        <v>0</v>
      </c>
      <c r="L88" s="8"/>
      <c r="M88" s="52">
        <f t="shared" si="5"/>
        <v>0</v>
      </c>
    </row>
    <row r="89" spans="1:13" ht="80.099999999999994" customHeight="1">
      <c r="A89" s="31">
        <v>8800256114979</v>
      </c>
      <c r="B89" s="21" t="s">
        <v>83</v>
      </c>
      <c r="C89" s="19">
        <v>30</v>
      </c>
      <c r="D89" s="20">
        <v>10901</v>
      </c>
      <c r="E89" s="40">
        <f t="shared" si="3"/>
        <v>8.1350746268656717</v>
      </c>
      <c r="F89" s="20"/>
      <c r="G89" s="13"/>
      <c r="H89" s="13"/>
      <c r="I89" s="46">
        <f t="shared" si="4"/>
        <v>0</v>
      </c>
      <c r="J89"/>
      <c r="K89" s="25">
        <f>L89/C89</f>
        <v>0</v>
      </c>
      <c r="L89" s="8"/>
      <c r="M89" s="52">
        <f t="shared" si="5"/>
        <v>0</v>
      </c>
    </row>
    <row r="90" spans="1:13" ht="80.099999999999994" customHeight="1">
      <c r="A90" s="31">
        <v>8800256115532</v>
      </c>
      <c r="B90" s="21" t="s">
        <v>84</v>
      </c>
      <c r="C90" s="19">
        <v>100</v>
      </c>
      <c r="D90" s="20">
        <v>12815</v>
      </c>
      <c r="E90" s="40">
        <f t="shared" si="3"/>
        <v>9.5634328358208958</v>
      </c>
      <c r="F90" s="20"/>
      <c r="G90" s="13"/>
      <c r="H90" s="13"/>
      <c r="I90" s="46">
        <f t="shared" si="4"/>
        <v>0</v>
      </c>
      <c r="J90"/>
      <c r="K90" s="25">
        <f>L90/C90</f>
        <v>0</v>
      </c>
      <c r="L90" s="8"/>
      <c r="M90" s="52">
        <f t="shared" si="5"/>
        <v>0</v>
      </c>
    </row>
    <row r="91" spans="1:13" ht="80.099999999999994" customHeight="1">
      <c r="A91" s="33">
        <v>8800256115549</v>
      </c>
      <c r="B91" s="22" t="s">
        <v>85</v>
      </c>
      <c r="C91" s="19">
        <v>100</v>
      </c>
      <c r="D91" s="20">
        <v>13464</v>
      </c>
      <c r="E91" s="40">
        <f t="shared" si="3"/>
        <v>10.047761194029851</v>
      </c>
      <c r="F91" s="20"/>
      <c r="G91" s="13"/>
      <c r="H91" s="13"/>
      <c r="I91" s="46">
        <f t="shared" si="4"/>
        <v>0</v>
      </c>
      <c r="J91"/>
      <c r="K91" s="25">
        <f>L91/C91</f>
        <v>0</v>
      </c>
      <c r="L91" s="8"/>
      <c r="M91" s="52">
        <f t="shared" si="5"/>
        <v>0</v>
      </c>
    </row>
    <row r="92" spans="1:13" ht="80.099999999999994" customHeight="1">
      <c r="A92" s="33">
        <v>8800289470448</v>
      </c>
      <c r="B92" s="22" t="s">
        <v>86</v>
      </c>
      <c r="C92" s="19">
        <v>20</v>
      </c>
      <c r="D92" s="20">
        <v>13464</v>
      </c>
      <c r="E92" s="40">
        <f t="shared" si="3"/>
        <v>10.047761194029851</v>
      </c>
      <c r="F92" s="20"/>
      <c r="G92" s="13"/>
      <c r="H92" s="13"/>
      <c r="I92" s="46">
        <f t="shared" si="4"/>
        <v>0</v>
      </c>
      <c r="J92"/>
      <c r="K92" s="25">
        <f>L92/C92</f>
        <v>0</v>
      </c>
      <c r="L92" s="8"/>
      <c r="M92" s="52">
        <f t="shared" si="5"/>
        <v>0</v>
      </c>
    </row>
    <row r="93" spans="1:13" ht="80.099999999999994" customHeight="1">
      <c r="A93" s="33">
        <v>8800366240575</v>
      </c>
      <c r="B93" s="22" t="s">
        <v>87</v>
      </c>
      <c r="C93" s="19"/>
      <c r="D93" s="20">
        <v>8976</v>
      </c>
      <c r="E93" s="40">
        <f t="shared" si="3"/>
        <v>6.6985074626865675</v>
      </c>
      <c r="F93" s="20"/>
      <c r="G93" s="13"/>
      <c r="H93" s="13"/>
      <c r="I93" s="46">
        <f t="shared" si="4"/>
        <v>0</v>
      </c>
      <c r="J93"/>
      <c r="K93" s="25"/>
      <c r="L93" s="8"/>
      <c r="M93" s="52">
        <f t="shared" si="5"/>
        <v>0</v>
      </c>
    </row>
    <row r="94" spans="1:13" ht="80.099999999999994" customHeight="1">
      <c r="A94" s="33">
        <v>8800256119042</v>
      </c>
      <c r="B94" s="22" t="s">
        <v>88</v>
      </c>
      <c r="C94" s="19">
        <v>100</v>
      </c>
      <c r="D94" s="20">
        <v>10252</v>
      </c>
      <c r="E94" s="40">
        <f t="shared" si="3"/>
        <v>7.6507462686567163</v>
      </c>
      <c r="F94" s="20"/>
      <c r="G94" s="13"/>
      <c r="H94" s="13"/>
      <c r="I94" s="46">
        <f t="shared" si="4"/>
        <v>0</v>
      </c>
      <c r="J94"/>
      <c r="K94" s="25">
        <f>L94/C94</f>
        <v>0</v>
      </c>
      <c r="L94" s="8"/>
      <c r="M94" s="52">
        <f t="shared" si="5"/>
        <v>0</v>
      </c>
    </row>
    <row r="95" spans="1:13" ht="80.099999999999994" customHeight="1">
      <c r="A95" s="33">
        <v>8800289467714</v>
      </c>
      <c r="B95" s="22" t="s">
        <v>89</v>
      </c>
      <c r="C95" s="19">
        <v>80</v>
      </c>
      <c r="D95" s="20">
        <v>16665</v>
      </c>
      <c r="E95" s="40">
        <f t="shared" si="3"/>
        <v>12.436567164179104</v>
      </c>
      <c r="F95" s="20"/>
      <c r="G95" s="13"/>
      <c r="H95" s="13"/>
      <c r="I95" s="46">
        <f t="shared" si="4"/>
        <v>0</v>
      </c>
      <c r="J95"/>
      <c r="K95" s="25">
        <f>L95/C95</f>
        <v>0</v>
      </c>
      <c r="L95" s="8"/>
      <c r="M95" s="52">
        <f t="shared" si="5"/>
        <v>0</v>
      </c>
    </row>
    <row r="96" spans="1:13" ht="80.099999999999994" customHeight="1">
      <c r="A96" s="33">
        <v>8800289470455</v>
      </c>
      <c r="B96" s="22" t="s">
        <v>90</v>
      </c>
      <c r="C96" s="19">
        <v>100</v>
      </c>
      <c r="D96" s="20">
        <v>8976</v>
      </c>
      <c r="E96" s="40">
        <f t="shared" si="3"/>
        <v>6.6985074626865675</v>
      </c>
      <c r="F96" s="20"/>
      <c r="G96" s="13"/>
      <c r="H96" s="13"/>
      <c r="I96" s="46">
        <f t="shared" si="4"/>
        <v>0</v>
      </c>
      <c r="J96"/>
      <c r="K96" s="25">
        <f>L96/C96</f>
        <v>0</v>
      </c>
      <c r="L96" s="8"/>
      <c r="M96" s="52">
        <f t="shared" si="5"/>
        <v>0</v>
      </c>
    </row>
    <row r="97" spans="1:13" ht="80.099999999999994" customHeight="1">
      <c r="A97" s="33">
        <v>8800256119653</v>
      </c>
      <c r="B97" s="22" t="s">
        <v>91</v>
      </c>
      <c r="C97" s="19">
        <v>60</v>
      </c>
      <c r="D97" s="20">
        <v>9614</v>
      </c>
      <c r="E97" s="40">
        <f t="shared" si="3"/>
        <v>7.1746268656716419</v>
      </c>
      <c r="F97" s="20"/>
      <c r="G97" s="13"/>
      <c r="H97" s="13"/>
      <c r="I97" s="46">
        <f t="shared" si="4"/>
        <v>0</v>
      </c>
      <c r="K97" s="25">
        <f>L97/C97</f>
        <v>0</v>
      </c>
      <c r="L97" s="8"/>
      <c r="M97" s="52">
        <f t="shared" si="5"/>
        <v>0</v>
      </c>
    </row>
    <row r="98" spans="1:13" ht="80.099999999999994" customHeight="1">
      <c r="A98" s="33">
        <v>8800289473159</v>
      </c>
      <c r="B98" s="22" t="s">
        <v>92</v>
      </c>
      <c r="C98" s="19">
        <v>80</v>
      </c>
      <c r="D98" s="20">
        <v>9614</v>
      </c>
      <c r="E98" s="40">
        <f t="shared" si="3"/>
        <v>7.1746268656716419</v>
      </c>
      <c r="F98" s="20"/>
      <c r="G98" s="13"/>
      <c r="H98" s="13"/>
      <c r="I98" s="46">
        <f t="shared" si="4"/>
        <v>0</v>
      </c>
      <c r="K98" s="25">
        <f>L98/C98</f>
        <v>0</v>
      </c>
      <c r="L98" s="8"/>
      <c r="M98" s="52">
        <f t="shared" si="5"/>
        <v>0</v>
      </c>
    </row>
    <row r="99" spans="1:13" ht="80.099999999999994" customHeight="1">
      <c r="A99" s="33">
        <v>8800289474774</v>
      </c>
      <c r="B99" s="22" t="s">
        <v>93</v>
      </c>
      <c r="C99" s="19">
        <v>80</v>
      </c>
      <c r="D99" s="20">
        <v>14102</v>
      </c>
      <c r="E99" s="40">
        <f t="shared" si="3"/>
        <v>10.523880597014925</v>
      </c>
      <c r="F99" s="20"/>
      <c r="G99" s="13"/>
      <c r="H99" s="13"/>
      <c r="I99" s="46">
        <f t="shared" si="4"/>
        <v>0</v>
      </c>
      <c r="K99" s="25">
        <f>L99/C99</f>
        <v>0</v>
      </c>
      <c r="L99" s="8"/>
      <c r="M99" s="52">
        <f t="shared" si="5"/>
        <v>0</v>
      </c>
    </row>
    <row r="100" spans="1:13" ht="80.099999999999994" customHeight="1">
      <c r="A100" s="33">
        <v>8800289461415</v>
      </c>
      <c r="B100" s="22" t="s">
        <v>94</v>
      </c>
      <c r="C100" s="19">
        <v>50</v>
      </c>
      <c r="D100" s="20">
        <v>9614</v>
      </c>
      <c r="E100" s="40">
        <f t="shared" si="3"/>
        <v>7.1746268656716419</v>
      </c>
      <c r="F100" s="20"/>
      <c r="G100" s="13"/>
      <c r="H100" s="13"/>
      <c r="I100" s="46">
        <f t="shared" si="4"/>
        <v>0</v>
      </c>
      <c r="K100" s="25">
        <f>L100/C100</f>
        <v>0</v>
      </c>
      <c r="L100" s="8"/>
      <c r="M100" s="52">
        <f t="shared" si="5"/>
        <v>0</v>
      </c>
    </row>
    <row r="101" spans="1:13" ht="80.099999999999994" customHeight="1">
      <c r="A101" s="33">
        <v>8800289474675</v>
      </c>
      <c r="B101" s="22" t="s">
        <v>95</v>
      </c>
      <c r="C101" s="19">
        <v>100</v>
      </c>
      <c r="D101" s="20">
        <v>10252</v>
      </c>
      <c r="E101" s="40">
        <f t="shared" si="3"/>
        <v>7.6507462686567163</v>
      </c>
      <c r="F101" s="20"/>
      <c r="G101" s="13"/>
      <c r="H101" s="13"/>
      <c r="I101" s="46">
        <f t="shared" si="4"/>
        <v>0</v>
      </c>
      <c r="K101" s="25">
        <f>L101/C101</f>
        <v>0</v>
      </c>
      <c r="L101" s="8"/>
      <c r="M101" s="52">
        <f t="shared" si="5"/>
        <v>0</v>
      </c>
    </row>
    <row r="102" spans="1:13" ht="80.099999999999994" customHeight="1">
      <c r="A102" s="33">
        <v>8800289473852</v>
      </c>
      <c r="B102" s="22" t="s">
        <v>96</v>
      </c>
      <c r="C102" s="19">
        <v>40</v>
      </c>
      <c r="D102" s="20">
        <v>12177</v>
      </c>
      <c r="E102" s="40">
        <f t="shared" si="3"/>
        <v>9.0873134328358205</v>
      </c>
      <c r="F102" s="20"/>
      <c r="G102" s="13"/>
      <c r="H102" s="13"/>
      <c r="I102" s="46">
        <f t="shared" si="4"/>
        <v>0</v>
      </c>
      <c r="K102" s="25">
        <f>L102/C102</f>
        <v>0</v>
      </c>
      <c r="L102" s="8"/>
      <c r="M102" s="52">
        <f t="shared" si="5"/>
        <v>0</v>
      </c>
    </row>
    <row r="103" spans="1:13" ht="80.099999999999994" customHeight="1">
      <c r="A103" s="33">
        <v>8800289478772</v>
      </c>
      <c r="B103" s="22" t="s">
        <v>97</v>
      </c>
      <c r="C103" s="19">
        <v>40</v>
      </c>
      <c r="D103" s="20">
        <v>12177</v>
      </c>
      <c r="E103" s="40">
        <f t="shared" si="3"/>
        <v>9.0873134328358205</v>
      </c>
      <c r="F103" s="20"/>
      <c r="G103" s="13"/>
      <c r="H103" s="13"/>
      <c r="I103" s="46">
        <f t="shared" si="4"/>
        <v>0</v>
      </c>
      <c r="K103" s="25">
        <f>L103/C103</f>
        <v>0</v>
      </c>
      <c r="L103" s="8"/>
      <c r="M103" s="52">
        <f t="shared" si="5"/>
        <v>0</v>
      </c>
    </row>
    <row r="104" spans="1:13" ht="80.099999999999994" customHeight="1">
      <c r="A104" s="33">
        <v>8800289478796</v>
      </c>
      <c r="B104" s="22" t="s">
        <v>98</v>
      </c>
      <c r="C104" s="19">
        <v>80</v>
      </c>
      <c r="D104" s="20">
        <v>11539</v>
      </c>
      <c r="E104" s="40">
        <f t="shared" si="3"/>
        <v>8.611194029850747</v>
      </c>
      <c r="F104" s="20"/>
      <c r="G104" s="13"/>
      <c r="H104" s="13"/>
      <c r="I104" s="46">
        <f t="shared" si="4"/>
        <v>0</v>
      </c>
      <c r="K104" s="25">
        <f>L104/C104</f>
        <v>0</v>
      </c>
      <c r="L104" s="8"/>
      <c r="M104" s="52">
        <f t="shared" si="5"/>
        <v>0</v>
      </c>
    </row>
    <row r="105" spans="1:13" ht="80.099999999999994" customHeight="1">
      <c r="A105" s="33">
        <v>8800289479496</v>
      </c>
      <c r="B105" s="22" t="s">
        <v>99</v>
      </c>
      <c r="C105" s="19">
        <v>40</v>
      </c>
      <c r="D105" s="20">
        <v>11539</v>
      </c>
      <c r="E105" s="40">
        <f t="shared" si="3"/>
        <v>8.611194029850747</v>
      </c>
      <c r="F105" s="20"/>
      <c r="G105" s="13"/>
      <c r="H105" s="13"/>
      <c r="I105" s="46">
        <f t="shared" si="4"/>
        <v>0</v>
      </c>
      <c r="K105" s="25">
        <f>L105/C105</f>
        <v>0</v>
      </c>
      <c r="L105" s="8"/>
      <c r="M105" s="52">
        <f t="shared" si="5"/>
        <v>0</v>
      </c>
    </row>
    <row r="106" spans="1:13" ht="80.099999999999994" customHeight="1">
      <c r="A106" s="33">
        <v>8800289466441</v>
      </c>
      <c r="B106" s="22" t="s">
        <v>100</v>
      </c>
      <c r="C106" s="19">
        <v>80</v>
      </c>
      <c r="D106" s="20">
        <v>17303</v>
      </c>
      <c r="E106" s="40">
        <f t="shared" si="3"/>
        <v>12.91268656716418</v>
      </c>
      <c r="F106" s="20"/>
      <c r="G106" s="13"/>
      <c r="H106" s="13"/>
      <c r="I106" s="46">
        <f t="shared" si="4"/>
        <v>0</v>
      </c>
      <c r="K106" s="25">
        <f>L106/C106</f>
        <v>0</v>
      </c>
      <c r="L106" s="8"/>
      <c r="M106" s="52">
        <f t="shared" si="5"/>
        <v>0</v>
      </c>
    </row>
    <row r="107" spans="1:13" ht="80.099999999999994" customHeight="1">
      <c r="A107" s="33">
        <v>8800366240124</v>
      </c>
      <c r="B107" s="22" t="s">
        <v>101</v>
      </c>
      <c r="C107" s="19"/>
      <c r="D107" s="20">
        <v>4488</v>
      </c>
      <c r="E107" s="40">
        <f t="shared" si="3"/>
        <v>3.3492537313432837</v>
      </c>
      <c r="F107" s="20"/>
      <c r="G107" s="13"/>
      <c r="H107" s="13"/>
      <c r="I107" s="46">
        <f t="shared" si="4"/>
        <v>0</v>
      </c>
      <c r="K107" s="25"/>
      <c r="L107" s="8"/>
      <c r="M107" s="52">
        <f t="shared" si="5"/>
        <v>0</v>
      </c>
    </row>
    <row r="108" spans="1:13" ht="80.099999999999994" customHeight="1">
      <c r="A108" s="33">
        <v>8800366240131</v>
      </c>
      <c r="B108" s="22" t="s">
        <v>102</v>
      </c>
      <c r="C108" s="19"/>
      <c r="D108" s="20">
        <v>12815</v>
      </c>
      <c r="E108" s="40">
        <f t="shared" si="3"/>
        <v>9.5634328358208958</v>
      </c>
      <c r="F108" s="20"/>
      <c r="G108" s="13"/>
      <c r="H108" s="13"/>
      <c r="I108" s="46">
        <f t="shared" si="4"/>
        <v>0</v>
      </c>
      <c r="K108" s="25"/>
      <c r="L108" s="8"/>
      <c r="M108" s="52">
        <f t="shared" si="5"/>
        <v>0</v>
      </c>
    </row>
    <row r="109" spans="1:13" ht="80.099999999999994" customHeight="1">
      <c r="A109" s="33"/>
      <c r="B109" s="22" t="s">
        <v>103</v>
      </c>
      <c r="C109" s="19">
        <v>16</v>
      </c>
      <c r="D109" s="20">
        <v>19866</v>
      </c>
      <c r="E109" s="40">
        <f t="shared" si="3"/>
        <v>14.825373134328359</v>
      </c>
      <c r="F109" s="20"/>
      <c r="G109" s="13"/>
      <c r="H109" s="13"/>
      <c r="I109" s="46">
        <f t="shared" si="4"/>
        <v>0</v>
      </c>
      <c r="K109" s="25">
        <f>L109/C109</f>
        <v>0</v>
      </c>
      <c r="L109" s="8"/>
      <c r="M109" s="52">
        <f t="shared" si="5"/>
        <v>0</v>
      </c>
    </row>
    <row r="110" spans="1:13" ht="80.099999999999994" customHeight="1">
      <c r="A110" s="33">
        <v>8800289467707</v>
      </c>
      <c r="B110" s="22" t="s">
        <v>104</v>
      </c>
      <c r="C110" s="19">
        <v>200</v>
      </c>
      <c r="D110" s="20">
        <v>14102</v>
      </c>
      <c r="E110" s="40">
        <f t="shared" si="3"/>
        <v>10.523880597014925</v>
      </c>
      <c r="F110" s="20"/>
      <c r="G110" s="13"/>
      <c r="H110" s="13"/>
      <c r="I110" s="46">
        <f t="shared" si="4"/>
        <v>0</v>
      </c>
      <c r="K110" s="25">
        <f>L110/C110</f>
        <v>0</v>
      </c>
      <c r="L110" s="8"/>
      <c r="M110" s="52">
        <f t="shared" si="5"/>
        <v>0</v>
      </c>
    </row>
    <row r="111" spans="1:13" ht="80.099999999999994" customHeight="1">
      <c r="A111" s="33">
        <v>8800289469619</v>
      </c>
      <c r="B111" s="22" t="s">
        <v>105</v>
      </c>
      <c r="C111" s="19">
        <v>80</v>
      </c>
      <c r="D111" s="20">
        <v>9614</v>
      </c>
      <c r="E111" s="40">
        <f t="shared" si="3"/>
        <v>7.1746268656716419</v>
      </c>
      <c r="F111" s="20"/>
      <c r="G111" s="13"/>
      <c r="H111" s="13"/>
      <c r="I111" s="46">
        <f t="shared" si="4"/>
        <v>0</v>
      </c>
      <c r="K111" s="25">
        <f>L111/C111</f>
        <v>0</v>
      </c>
      <c r="L111" s="8"/>
      <c r="M111" s="52">
        <f t="shared" si="5"/>
        <v>0</v>
      </c>
    </row>
    <row r="112" spans="1:13" ht="80.099999999999994" customHeight="1">
      <c r="A112" s="33">
        <v>8800289469428</v>
      </c>
      <c r="B112" s="22" t="s">
        <v>106</v>
      </c>
      <c r="C112" s="19">
        <v>40</v>
      </c>
      <c r="D112" s="20">
        <v>12815</v>
      </c>
      <c r="E112" s="40">
        <f t="shared" si="3"/>
        <v>9.5634328358208958</v>
      </c>
      <c r="F112" s="20"/>
      <c r="G112" s="13"/>
      <c r="H112" s="13"/>
      <c r="I112" s="46">
        <f t="shared" si="4"/>
        <v>0</v>
      </c>
      <c r="K112" s="25">
        <f>L112/C112</f>
        <v>0</v>
      </c>
      <c r="L112" s="8"/>
      <c r="M112" s="52">
        <f t="shared" si="5"/>
        <v>0</v>
      </c>
    </row>
    <row r="113" spans="1:13" ht="80.099999999999994" customHeight="1">
      <c r="A113" s="33">
        <v>8800289468872</v>
      </c>
      <c r="B113" s="22" t="s">
        <v>107</v>
      </c>
      <c r="C113" s="19">
        <v>80</v>
      </c>
      <c r="D113" s="20">
        <v>12815</v>
      </c>
      <c r="E113" s="40">
        <f t="shared" si="3"/>
        <v>9.5634328358208958</v>
      </c>
      <c r="F113" s="20"/>
      <c r="G113" s="13"/>
      <c r="H113" s="13"/>
      <c r="I113" s="46">
        <f t="shared" si="4"/>
        <v>0</v>
      </c>
      <c r="K113" s="25">
        <f>L113/C113</f>
        <v>0</v>
      </c>
      <c r="L113" s="8"/>
      <c r="M113" s="52">
        <f t="shared" si="5"/>
        <v>0</v>
      </c>
    </row>
    <row r="114" spans="1:13" ht="80.099999999999994" customHeight="1">
      <c r="A114" s="33">
        <v>8800366240759</v>
      </c>
      <c r="B114" s="22" t="s">
        <v>108</v>
      </c>
      <c r="C114" s="19">
        <v>15</v>
      </c>
      <c r="D114" s="20">
        <v>21791</v>
      </c>
      <c r="E114" s="40">
        <f t="shared" si="3"/>
        <v>16.261940298507461</v>
      </c>
      <c r="F114" s="20"/>
      <c r="G114" s="13"/>
      <c r="H114" s="13"/>
      <c r="I114" s="46">
        <f t="shared" si="4"/>
        <v>0</v>
      </c>
      <c r="K114" s="25">
        <f>L114/C114</f>
        <v>0</v>
      </c>
      <c r="L114" s="8"/>
      <c r="M114" s="52">
        <f t="shared" si="5"/>
        <v>0</v>
      </c>
    </row>
    <row r="115" spans="1:13" ht="80.099999999999994" customHeight="1">
      <c r="A115" s="33">
        <v>8800289473630</v>
      </c>
      <c r="B115" s="22" t="s">
        <v>109</v>
      </c>
      <c r="C115" s="19">
        <v>100</v>
      </c>
      <c r="D115" s="20">
        <v>14102</v>
      </c>
      <c r="E115" s="40">
        <f t="shared" si="3"/>
        <v>10.523880597014925</v>
      </c>
      <c r="F115" s="20"/>
      <c r="G115" s="13"/>
      <c r="H115" s="13"/>
      <c r="I115" s="46">
        <f t="shared" si="4"/>
        <v>0</v>
      </c>
      <c r="K115" s="25">
        <f>L115/C115</f>
        <v>0</v>
      </c>
      <c r="L115" s="8"/>
      <c r="M115" s="52">
        <f t="shared" si="5"/>
        <v>0</v>
      </c>
    </row>
    <row r="116" spans="1:13" ht="80.099999999999994" customHeight="1">
      <c r="A116" s="33">
        <v>8800289474781</v>
      </c>
      <c r="B116" s="22" t="s">
        <v>110</v>
      </c>
      <c r="C116" s="19">
        <v>100</v>
      </c>
      <c r="D116" s="20">
        <v>14740</v>
      </c>
      <c r="E116" s="40">
        <f t="shared" si="3"/>
        <v>11</v>
      </c>
      <c r="F116" s="20"/>
      <c r="G116" s="13"/>
      <c r="H116" s="13"/>
      <c r="I116" s="46">
        <f t="shared" si="4"/>
        <v>0</v>
      </c>
      <c r="K116" s="25">
        <f>L116/C116</f>
        <v>0</v>
      </c>
      <c r="L116" s="8"/>
      <c r="M116" s="52">
        <f t="shared" si="5"/>
        <v>0</v>
      </c>
    </row>
    <row r="117" spans="1:13" ht="80.099999999999994" customHeight="1">
      <c r="A117" s="33">
        <v>8800289473395</v>
      </c>
      <c r="B117" s="22" t="s">
        <v>111</v>
      </c>
      <c r="C117" s="19">
        <v>80</v>
      </c>
      <c r="D117" s="20">
        <v>9614</v>
      </c>
      <c r="E117" s="40">
        <f t="shared" si="3"/>
        <v>7.1746268656716419</v>
      </c>
      <c r="F117" s="20"/>
      <c r="G117" s="13"/>
      <c r="H117" s="13"/>
      <c r="I117" s="46">
        <f t="shared" si="4"/>
        <v>0</v>
      </c>
      <c r="K117" s="25">
        <f>L117/C117</f>
        <v>0</v>
      </c>
      <c r="L117" s="8"/>
      <c r="M117" s="52">
        <f t="shared" si="5"/>
        <v>0</v>
      </c>
    </row>
    <row r="118" spans="1:13" ht="80.099999999999994" customHeight="1">
      <c r="A118" s="33">
        <v>8800289461118</v>
      </c>
      <c r="B118" s="22" t="s">
        <v>112</v>
      </c>
      <c r="C118" s="19">
        <v>50</v>
      </c>
      <c r="D118" s="20">
        <v>10901</v>
      </c>
      <c r="E118" s="40">
        <f t="shared" si="3"/>
        <v>8.1350746268656717</v>
      </c>
      <c r="F118" s="20"/>
      <c r="G118" s="13"/>
      <c r="H118" s="13"/>
      <c r="I118" s="46">
        <f t="shared" si="4"/>
        <v>0</v>
      </c>
      <c r="K118" s="25">
        <f>L118/C118</f>
        <v>0</v>
      </c>
      <c r="L118" s="8"/>
      <c r="M118" s="52">
        <f t="shared" si="5"/>
        <v>0</v>
      </c>
    </row>
    <row r="119" spans="1:13" ht="80.099999999999994" customHeight="1">
      <c r="A119" s="33">
        <v>8800289475344</v>
      </c>
      <c r="B119" s="22" t="s">
        <v>113</v>
      </c>
      <c r="C119" s="19">
        <v>30</v>
      </c>
      <c r="D119" s="20">
        <v>12177</v>
      </c>
      <c r="E119" s="40">
        <f t="shared" si="3"/>
        <v>9.0873134328358205</v>
      </c>
      <c r="F119" s="20"/>
      <c r="G119" s="13"/>
      <c r="H119" s="13"/>
      <c r="I119" s="46">
        <f t="shared" si="4"/>
        <v>0</v>
      </c>
      <c r="K119" s="25">
        <f>L119/C119</f>
        <v>0</v>
      </c>
      <c r="L119" s="8"/>
      <c r="M119" s="52">
        <f t="shared" si="5"/>
        <v>0</v>
      </c>
    </row>
    <row r="120" spans="1:13" ht="80.099999999999994" customHeight="1">
      <c r="A120" s="33">
        <v>8800289479083</v>
      </c>
      <c r="B120" s="22" t="s">
        <v>114</v>
      </c>
      <c r="C120" s="19">
        <v>80</v>
      </c>
      <c r="D120" s="20">
        <v>11539</v>
      </c>
      <c r="E120" s="40">
        <f t="shared" si="3"/>
        <v>8.611194029850747</v>
      </c>
      <c r="F120" s="20"/>
      <c r="G120" s="13"/>
      <c r="H120" s="13"/>
      <c r="I120" s="46">
        <f t="shared" si="4"/>
        <v>0</v>
      </c>
      <c r="K120" s="25">
        <f>L120/C120</f>
        <v>0</v>
      </c>
      <c r="L120" s="8"/>
      <c r="M120" s="52">
        <f t="shared" si="5"/>
        <v>0</v>
      </c>
    </row>
    <row r="121" spans="1:13" ht="80.099999999999994" customHeight="1">
      <c r="A121" s="33">
        <v>8800289477478</v>
      </c>
      <c r="B121" s="22" t="s">
        <v>115</v>
      </c>
      <c r="C121" s="19">
        <v>80</v>
      </c>
      <c r="D121" s="20">
        <v>16665</v>
      </c>
      <c r="E121" s="40">
        <f t="shared" si="3"/>
        <v>12.436567164179104</v>
      </c>
      <c r="F121" s="20"/>
      <c r="G121" s="13"/>
      <c r="H121" s="13"/>
      <c r="I121" s="46">
        <f t="shared" si="4"/>
        <v>0</v>
      </c>
      <c r="K121" s="25">
        <f>L121/C121</f>
        <v>0</v>
      </c>
      <c r="L121" s="8"/>
      <c r="M121" s="52">
        <f t="shared" si="5"/>
        <v>0</v>
      </c>
    </row>
    <row r="122" spans="1:13" ht="80.099999999999994" customHeight="1">
      <c r="A122" s="33">
        <v>8800289477423</v>
      </c>
      <c r="B122" s="22" t="s">
        <v>116</v>
      </c>
      <c r="C122" s="19">
        <v>80</v>
      </c>
      <c r="D122" s="20">
        <v>10252</v>
      </c>
      <c r="E122" s="40">
        <f t="shared" si="3"/>
        <v>7.6507462686567163</v>
      </c>
      <c r="F122" s="20"/>
      <c r="G122" s="13"/>
      <c r="H122" s="13"/>
      <c r="I122" s="46">
        <f t="shared" si="4"/>
        <v>0</v>
      </c>
      <c r="K122" s="25">
        <f>L122/C122</f>
        <v>0</v>
      </c>
      <c r="L122" s="8"/>
      <c r="M122" s="52">
        <f t="shared" si="5"/>
        <v>0</v>
      </c>
    </row>
    <row r="123" spans="1:13" ht="80.099999999999994" customHeight="1">
      <c r="A123" s="33">
        <v>8800256119141</v>
      </c>
      <c r="B123" s="22" t="s">
        <v>117</v>
      </c>
      <c r="C123" s="19">
        <v>80</v>
      </c>
      <c r="D123" s="20">
        <v>11539</v>
      </c>
      <c r="E123" s="40">
        <f t="shared" si="3"/>
        <v>8.611194029850747</v>
      </c>
      <c r="F123" s="20"/>
      <c r="G123" s="13"/>
      <c r="H123" s="13"/>
      <c r="I123" s="46">
        <f t="shared" si="4"/>
        <v>0</v>
      </c>
      <c r="K123" s="25">
        <f>L123/C123</f>
        <v>0</v>
      </c>
      <c r="L123" s="8"/>
      <c r="M123" s="52">
        <f t="shared" si="5"/>
        <v>0</v>
      </c>
    </row>
    <row r="124" spans="1:13" ht="80.099999999999994" customHeight="1">
      <c r="A124" s="33">
        <v>8800289479991</v>
      </c>
      <c r="B124" s="22" t="s">
        <v>118</v>
      </c>
      <c r="C124" s="19">
        <v>30</v>
      </c>
      <c r="D124" s="20">
        <v>11539</v>
      </c>
      <c r="E124" s="40">
        <f t="shared" si="3"/>
        <v>8.611194029850747</v>
      </c>
      <c r="F124" s="20"/>
      <c r="G124" s="13"/>
      <c r="H124" s="13"/>
      <c r="I124" s="46">
        <f t="shared" si="4"/>
        <v>0</v>
      </c>
      <c r="K124" s="25">
        <f>L124/C124</f>
        <v>0</v>
      </c>
      <c r="L124" s="8"/>
      <c r="M124" s="52">
        <f t="shared" si="5"/>
        <v>0</v>
      </c>
    </row>
    <row r="125" spans="1:13" ht="80.099999999999994" customHeight="1">
      <c r="A125" s="33">
        <v>8800289479502</v>
      </c>
      <c r="B125" s="22" t="s">
        <v>119</v>
      </c>
      <c r="C125" s="19">
        <v>60</v>
      </c>
      <c r="D125" s="20">
        <v>5775</v>
      </c>
      <c r="E125" s="40">
        <f t="shared" si="3"/>
        <v>4.3097014925373136</v>
      </c>
      <c r="F125" s="20"/>
      <c r="G125" s="13"/>
      <c r="H125" s="13"/>
      <c r="I125" s="46">
        <f t="shared" si="4"/>
        <v>0</v>
      </c>
      <c r="K125" s="25">
        <f>L125/C125</f>
        <v>0</v>
      </c>
      <c r="L125" s="8"/>
      <c r="M125" s="52">
        <f t="shared" si="5"/>
        <v>0</v>
      </c>
    </row>
    <row r="126" spans="1:13" ht="80.099999999999994" customHeight="1">
      <c r="A126" s="33">
        <v>8800289479618</v>
      </c>
      <c r="B126" s="22" t="s">
        <v>120</v>
      </c>
      <c r="C126" s="19">
        <v>50</v>
      </c>
      <c r="D126" s="20">
        <v>11539</v>
      </c>
      <c r="E126" s="40">
        <f t="shared" si="3"/>
        <v>8.611194029850747</v>
      </c>
      <c r="F126" s="20"/>
      <c r="G126" s="13"/>
      <c r="H126" s="13"/>
      <c r="I126" s="46">
        <f t="shared" si="4"/>
        <v>0</v>
      </c>
      <c r="K126" s="25">
        <f>L126/C126</f>
        <v>0</v>
      </c>
      <c r="L126" s="8"/>
      <c r="M126" s="52">
        <f t="shared" si="5"/>
        <v>0</v>
      </c>
    </row>
    <row r="127" spans="1:13" ht="80.099999999999994" customHeight="1">
      <c r="A127" s="33">
        <v>8800289479885</v>
      </c>
      <c r="B127" s="22" t="s">
        <v>121</v>
      </c>
      <c r="C127" s="19">
        <v>20</v>
      </c>
      <c r="D127" s="20">
        <v>12177</v>
      </c>
      <c r="E127" s="40">
        <f t="shared" si="3"/>
        <v>9.0873134328358205</v>
      </c>
      <c r="F127" s="20"/>
      <c r="G127" s="13"/>
      <c r="H127" s="13"/>
      <c r="I127" s="46">
        <f t="shared" si="4"/>
        <v>0</v>
      </c>
      <c r="K127" s="25">
        <f>L127/C127</f>
        <v>0</v>
      </c>
      <c r="L127" s="8"/>
      <c r="M127" s="52">
        <f t="shared" si="5"/>
        <v>0</v>
      </c>
    </row>
    <row r="128" spans="1:13" ht="80.099999999999994" customHeight="1">
      <c r="A128" s="33">
        <v>8800289461194</v>
      </c>
      <c r="B128" s="22" t="s">
        <v>122</v>
      </c>
      <c r="C128" s="19">
        <v>80</v>
      </c>
      <c r="D128" s="20">
        <v>12177</v>
      </c>
      <c r="E128" s="40">
        <f t="shared" si="3"/>
        <v>9.0873134328358205</v>
      </c>
      <c r="F128" s="20"/>
      <c r="G128" s="13"/>
      <c r="H128" s="13"/>
      <c r="I128" s="46">
        <f t="shared" si="4"/>
        <v>0</v>
      </c>
      <c r="K128" s="25">
        <f>L128/C128</f>
        <v>0</v>
      </c>
      <c r="L128" s="8"/>
      <c r="M128" s="52">
        <f t="shared" si="5"/>
        <v>0</v>
      </c>
    </row>
    <row r="129" spans="1:13" ht="80.099999999999994" customHeight="1">
      <c r="A129" s="33">
        <v>8800289462528</v>
      </c>
      <c r="B129" s="22" t="s">
        <v>123</v>
      </c>
      <c r="C129" s="19">
        <v>80</v>
      </c>
      <c r="D129" s="20">
        <v>11539</v>
      </c>
      <c r="E129" s="40">
        <f t="shared" ref="E129:E166" si="6">D129/1340</f>
        <v>8.611194029850747</v>
      </c>
      <c r="F129" s="20"/>
      <c r="G129" s="13"/>
      <c r="H129" s="13"/>
      <c r="I129" s="46">
        <f t="shared" si="4"/>
        <v>0</v>
      </c>
      <c r="K129" s="25">
        <f>L129/C129</f>
        <v>0</v>
      </c>
      <c r="L129" s="8"/>
      <c r="M129" s="52">
        <f t="shared" si="5"/>
        <v>0</v>
      </c>
    </row>
    <row r="130" spans="1:13" ht="80.099999999999994" customHeight="1">
      <c r="A130" s="33">
        <v>8800289466915</v>
      </c>
      <c r="B130" s="22" t="s">
        <v>124</v>
      </c>
      <c r="C130" s="19">
        <v>150</v>
      </c>
      <c r="D130" s="20">
        <v>7051</v>
      </c>
      <c r="E130" s="40">
        <f t="shared" si="6"/>
        <v>5.2619402985074624</v>
      </c>
      <c r="F130" s="20"/>
      <c r="G130" s="13"/>
      <c r="H130" s="13"/>
      <c r="I130" s="46">
        <f t="shared" si="4"/>
        <v>0</v>
      </c>
      <c r="K130" s="25">
        <f>L130/C130</f>
        <v>0</v>
      </c>
      <c r="L130" s="8"/>
      <c r="M130" s="52">
        <f t="shared" si="5"/>
        <v>0</v>
      </c>
    </row>
    <row r="131" spans="1:13" ht="80.099999999999994" customHeight="1">
      <c r="A131" s="33">
        <v>8800289468407</v>
      </c>
      <c r="B131" s="22" t="s">
        <v>125</v>
      </c>
      <c r="C131" s="19">
        <v>80</v>
      </c>
      <c r="D131" s="20">
        <v>11539</v>
      </c>
      <c r="E131" s="40">
        <f t="shared" si="6"/>
        <v>8.611194029850747</v>
      </c>
      <c r="F131" s="20"/>
      <c r="G131" s="13"/>
      <c r="H131" s="13"/>
      <c r="I131" s="46">
        <f t="shared" si="4"/>
        <v>0</v>
      </c>
      <c r="K131" s="25">
        <f>L131/C131</f>
        <v>0</v>
      </c>
      <c r="L131" s="8"/>
      <c r="M131" s="52">
        <f t="shared" si="5"/>
        <v>0</v>
      </c>
    </row>
    <row r="132" spans="1:13" ht="80.099999999999994" customHeight="1">
      <c r="A132" s="33">
        <v>8800256119660</v>
      </c>
      <c r="B132" s="22" t="s">
        <v>126</v>
      </c>
      <c r="C132" s="19">
        <v>80</v>
      </c>
      <c r="D132" s="20">
        <v>16665</v>
      </c>
      <c r="E132" s="40">
        <f t="shared" si="6"/>
        <v>12.436567164179104</v>
      </c>
      <c r="F132" s="20"/>
      <c r="G132" s="13"/>
      <c r="H132" s="13"/>
      <c r="I132" s="46">
        <f t="shared" si="4"/>
        <v>0</v>
      </c>
      <c r="K132" s="25">
        <f>L132/C132</f>
        <v>0</v>
      </c>
      <c r="L132" s="8"/>
      <c r="M132" s="52">
        <f t="shared" si="5"/>
        <v>0</v>
      </c>
    </row>
    <row r="133" spans="1:13" ht="80.099999999999994" customHeight="1">
      <c r="A133" s="33">
        <v>8800289467271</v>
      </c>
      <c r="B133" s="22" t="s">
        <v>127</v>
      </c>
      <c r="C133" s="19">
        <v>80</v>
      </c>
      <c r="D133" s="20">
        <v>12177</v>
      </c>
      <c r="E133" s="40">
        <f t="shared" si="6"/>
        <v>9.0873134328358205</v>
      </c>
      <c r="F133" s="20"/>
      <c r="G133" s="13"/>
      <c r="H133" s="13"/>
      <c r="I133" s="46">
        <f t="shared" si="4"/>
        <v>0</v>
      </c>
      <c r="K133" s="25">
        <f>L133/C133</f>
        <v>0</v>
      </c>
      <c r="L133" s="8"/>
      <c r="M133" s="52">
        <f t="shared" si="5"/>
        <v>0</v>
      </c>
    </row>
    <row r="134" spans="1:13" ht="80.099999999999994" customHeight="1">
      <c r="A134" s="33">
        <v>8800289479090</v>
      </c>
      <c r="B134" s="22" t="s">
        <v>128</v>
      </c>
      <c r="C134" s="19">
        <v>100</v>
      </c>
      <c r="D134" s="20">
        <v>11539</v>
      </c>
      <c r="E134" s="40">
        <f t="shared" si="6"/>
        <v>8.611194029850747</v>
      </c>
      <c r="F134" s="20"/>
      <c r="G134" s="13"/>
      <c r="H134" s="13"/>
      <c r="I134" s="46">
        <f t="shared" si="4"/>
        <v>0</v>
      </c>
      <c r="K134" s="25">
        <f>L134/C134</f>
        <v>0</v>
      </c>
      <c r="L134" s="8"/>
      <c r="M134" s="52">
        <f t="shared" si="5"/>
        <v>0</v>
      </c>
    </row>
    <row r="135" spans="1:13" ht="91.5" customHeight="1">
      <c r="A135" s="33">
        <v>8800289468674</v>
      </c>
      <c r="B135" s="22" t="s">
        <v>129</v>
      </c>
      <c r="C135" s="19">
        <v>20</v>
      </c>
      <c r="D135" s="20">
        <v>236500</v>
      </c>
      <c r="E135" s="40">
        <f t="shared" si="6"/>
        <v>176.49253731343285</v>
      </c>
      <c r="F135" s="35" t="s">
        <v>184</v>
      </c>
      <c r="G135" s="13"/>
      <c r="H135" s="13"/>
      <c r="I135" s="46">
        <f t="shared" ref="I135:I188" si="7">E135*H135</f>
        <v>0</v>
      </c>
      <c r="K135" s="25">
        <f>L135/C135</f>
        <v>0</v>
      </c>
      <c r="L135" s="8"/>
      <c r="M135" s="52">
        <f t="shared" ref="M135:M188" si="8">E135*L135</f>
        <v>0</v>
      </c>
    </row>
    <row r="136" spans="1:13" ht="91.5" customHeight="1">
      <c r="A136" s="33">
        <v>8800289468759</v>
      </c>
      <c r="B136" s="22" t="s">
        <v>130</v>
      </c>
      <c r="C136" s="19">
        <v>20</v>
      </c>
      <c r="D136" s="20">
        <v>236500</v>
      </c>
      <c r="E136" s="40">
        <f t="shared" si="6"/>
        <v>176.49253731343285</v>
      </c>
      <c r="F136" s="35" t="s">
        <v>184</v>
      </c>
      <c r="G136" s="13"/>
      <c r="H136" s="13"/>
      <c r="I136" s="46">
        <f t="shared" si="7"/>
        <v>0</v>
      </c>
      <c r="K136" s="25">
        <f>L136/C136</f>
        <v>0</v>
      </c>
      <c r="L136" s="8"/>
      <c r="M136" s="52">
        <f t="shared" si="8"/>
        <v>0</v>
      </c>
    </row>
    <row r="137" spans="1:13" ht="80.099999999999994" customHeight="1">
      <c r="A137" s="33">
        <v>8800289475238</v>
      </c>
      <c r="B137" s="22" t="s">
        <v>131</v>
      </c>
      <c r="C137" s="19">
        <v>30</v>
      </c>
      <c r="D137" s="20">
        <v>89232</v>
      </c>
      <c r="E137" s="40">
        <f t="shared" si="6"/>
        <v>66.591044776119404</v>
      </c>
      <c r="F137" s="20"/>
      <c r="G137" s="13"/>
      <c r="H137" s="13"/>
      <c r="I137" s="46">
        <f t="shared" si="7"/>
        <v>0</v>
      </c>
      <c r="K137" s="25">
        <f>L137/C137</f>
        <v>0</v>
      </c>
      <c r="L137" s="8"/>
      <c r="M137" s="52">
        <f t="shared" si="8"/>
        <v>0</v>
      </c>
    </row>
    <row r="138" spans="1:13" ht="80.099999999999994" customHeight="1">
      <c r="A138" s="33">
        <v>8800289475221</v>
      </c>
      <c r="B138" s="22" t="s">
        <v>132</v>
      </c>
      <c r="C138" s="19">
        <v>30</v>
      </c>
      <c r="D138" s="20">
        <v>89232</v>
      </c>
      <c r="E138" s="40">
        <f t="shared" si="6"/>
        <v>66.591044776119404</v>
      </c>
      <c r="F138" s="20"/>
      <c r="G138" s="13"/>
      <c r="H138" s="13"/>
      <c r="I138" s="46">
        <f t="shared" si="7"/>
        <v>0</v>
      </c>
      <c r="K138" s="25">
        <f>L138/C138</f>
        <v>0</v>
      </c>
      <c r="L138" s="8"/>
      <c r="M138" s="52">
        <f t="shared" si="8"/>
        <v>0</v>
      </c>
    </row>
    <row r="139" spans="1:13" ht="80.099999999999994" customHeight="1">
      <c r="A139" s="33">
        <v>8800289475092</v>
      </c>
      <c r="B139" s="22" t="s">
        <v>134</v>
      </c>
      <c r="C139" s="19">
        <v>25</v>
      </c>
      <c r="D139" s="20">
        <v>65436.800000000003</v>
      </c>
      <c r="E139" s="40">
        <f t="shared" si="6"/>
        <v>48.833432835820901</v>
      </c>
      <c r="F139" s="20"/>
      <c r="G139" s="13"/>
      <c r="H139" s="13"/>
      <c r="I139" s="46">
        <f t="shared" si="7"/>
        <v>0</v>
      </c>
      <c r="K139" s="25">
        <f>L139/C139</f>
        <v>0</v>
      </c>
      <c r="L139" s="8"/>
      <c r="M139" s="52">
        <f t="shared" si="8"/>
        <v>0</v>
      </c>
    </row>
    <row r="140" spans="1:13" ht="80.099999999999994" customHeight="1">
      <c r="A140" s="33">
        <v>8800289475085</v>
      </c>
      <c r="B140" s="22" t="s">
        <v>133</v>
      </c>
      <c r="C140" s="19">
        <v>25</v>
      </c>
      <c r="D140" s="20">
        <v>65436.800000000003</v>
      </c>
      <c r="E140" s="40">
        <f t="shared" si="6"/>
        <v>48.833432835820901</v>
      </c>
      <c r="F140" s="20"/>
      <c r="G140" s="13"/>
      <c r="H140" s="13"/>
      <c r="I140" s="46">
        <f t="shared" si="7"/>
        <v>0</v>
      </c>
      <c r="K140" s="25">
        <f>L140/C140</f>
        <v>0</v>
      </c>
      <c r="L140" s="8"/>
      <c r="M140" s="52">
        <f t="shared" si="8"/>
        <v>0</v>
      </c>
    </row>
    <row r="141" spans="1:13" ht="80.099999999999994" customHeight="1">
      <c r="A141" s="33">
        <v>8800289466205</v>
      </c>
      <c r="B141" s="22" t="s">
        <v>135</v>
      </c>
      <c r="C141" s="19">
        <v>20</v>
      </c>
      <c r="D141" s="20">
        <v>77334.399999999994</v>
      </c>
      <c r="E141" s="40">
        <f t="shared" si="6"/>
        <v>57.712238805970145</v>
      </c>
      <c r="F141" s="20"/>
      <c r="G141" s="13"/>
      <c r="H141" s="13"/>
      <c r="I141" s="46">
        <f t="shared" si="7"/>
        <v>0</v>
      </c>
      <c r="K141" s="25">
        <f>L141/C141</f>
        <v>0</v>
      </c>
      <c r="L141" s="8"/>
      <c r="M141" s="52">
        <f t="shared" si="8"/>
        <v>0</v>
      </c>
    </row>
    <row r="142" spans="1:13" ht="80.099999999999994" customHeight="1">
      <c r="A142" s="33">
        <v>8800289466281</v>
      </c>
      <c r="B142" s="22" t="s">
        <v>136</v>
      </c>
      <c r="C142" s="19">
        <v>20</v>
      </c>
      <c r="D142" s="20">
        <v>79442</v>
      </c>
      <c r="E142" s="40">
        <f t="shared" si="6"/>
        <v>59.285074626865672</v>
      </c>
      <c r="F142" s="20"/>
      <c r="G142" s="13"/>
      <c r="H142" s="13"/>
      <c r="I142" s="46">
        <f t="shared" si="7"/>
        <v>0</v>
      </c>
      <c r="K142" s="25">
        <f>L142/C142</f>
        <v>0</v>
      </c>
      <c r="L142" s="8"/>
      <c r="M142" s="52">
        <f t="shared" si="8"/>
        <v>0</v>
      </c>
    </row>
    <row r="143" spans="1:13" ht="80.099999999999994" customHeight="1">
      <c r="A143" s="33">
        <v>8800240576226</v>
      </c>
      <c r="B143" s="22" t="s">
        <v>137</v>
      </c>
      <c r="C143" s="19">
        <v>8</v>
      </c>
      <c r="D143" s="20">
        <v>93500</v>
      </c>
      <c r="E143" s="40">
        <f t="shared" si="6"/>
        <v>69.776119402985074</v>
      </c>
      <c r="F143" s="35" t="s">
        <v>185</v>
      </c>
      <c r="G143" s="13"/>
      <c r="H143" s="13"/>
      <c r="I143" s="46">
        <f t="shared" si="7"/>
        <v>0</v>
      </c>
      <c r="K143" s="25">
        <f>L143/C143</f>
        <v>0</v>
      </c>
      <c r="L143" s="8"/>
      <c r="M143" s="52">
        <f t="shared" si="8"/>
        <v>0</v>
      </c>
    </row>
    <row r="144" spans="1:13" ht="80.099999999999994" customHeight="1">
      <c r="A144" s="33">
        <v>8800289479540</v>
      </c>
      <c r="B144" s="22" t="s">
        <v>138</v>
      </c>
      <c r="C144" s="19">
        <v>20</v>
      </c>
      <c r="D144" s="20">
        <v>209000</v>
      </c>
      <c r="E144" s="40">
        <f t="shared" si="6"/>
        <v>155.97014925373134</v>
      </c>
      <c r="F144" s="35" t="s">
        <v>186</v>
      </c>
      <c r="G144" s="13"/>
      <c r="H144" s="13"/>
      <c r="I144" s="46">
        <f t="shared" si="7"/>
        <v>0</v>
      </c>
      <c r="K144" s="25">
        <f>L144/C144</f>
        <v>0</v>
      </c>
      <c r="L144" s="8"/>
      <c r="M144" s="52">
        <f t="shared" si="8"/>
        <v>0</v>
      </c>
    </row>
    <row r="145" spans="1:13" ht="80.099999999999994" customHeight="1">
      <c r="A145" s="33">
        <v>8800289479557</v>
      </c>
      <c r="B145" s="22" t="s">
        <v>139</v>
      </c>
      <c r="C145" s="19">
        <v>25</v>
      </c>
      <c r="D145" s="20">
        <v>209000</v>
      </c>
      <c r="E145" s="40">
        <f t="shared" si="6"/>
        <v>155.97014925373134</v>
      </c>
      <c r="F145" s="35" t="s">
        <v>186</v>
      </c>
      <c r="G145" s="13"/>
      <c r="H145" s="13"/>
      <c r="I145" s="46">
        <f t="shared" si="7"/>
        <v>0</v>
      </c>
      <c r="K145" s="25">
        <f>L145/C145</f>
        <v>0</v>
      </c>
      <c r="L145" s="8"/>
      <c r="M145" s="52">
        <f t="shared" si="8"/>
        <v>0</v>
      </c>
    </row>
    <row r="146" spans="1:13" ht="80.099999999999994" customHeight="1">
      <c r="A146" s="33">
        <v>8800366240599</v>
      </c>
      <c r="B146" s="22" t="s">
        <v>140</v>
      </c>
      <c r="C146" s="19">
        <v>30</v>
      </c>
      <c r="D146" s="20">
        <v>142771.20000000001</v>
      </c>
      <c r="E146" s="40">
        <f t="shared" si="6"/>
        <v>106.54567164179106</v>
      </c>
      <c r="F146" s="20"/>
      <c r="G146" s="13"/>
      <c r="H146" s="13"/>
      <c r="I146" s="46">
        <f t="shared" si="7"/>
        <v>0</v>
      </c>
      <c r="K146" s="25">
        <f>L146/C146</f>
        <v>0</v>
      </c>
      <c r="L146" s="8"/>
      <c r="M146" s="52">
        <f t="shared" si="8"/>
        <v>0</v>
      </c>
    </row>
    <row r="147" spans="1:13" ht="80.099999999999994" customHeight="1">
      <c r="A147" s="33">
        <v>8800366240605</v>
      </c>
      <c r="B147" s="22" t="s">
        <v>141</v>
      </c>
      <c r="C147" s="19">
        <v>30</v>
      </c>
      <c r="D147" s="20">
        <v>142771.20000000001</v>
      </c>
      <c r="E147" s="40">
        <f t="shared" si="6"/>
        <v>106.54567164179106</v>
      </c>
      <c r="F147" s="20"/>
      <c r="G147" s="13"/>
      <c r="H147" s="13"/>
      <c r="I147" s="46">
        <f t="shared" si="7"/>
        <v>0</v>
      </c>
      <c r="K147" s="25">
        <f>L147/C147</f>
        <v>0</v>
      </c>
      <c r="L147" s="8"/>
      <c r="M147" s="52">
        <f t="shared" si="8"/>
        <v>0</v>
      </c>
    </row>
    <row r="148" spans="1:13" ht="80.099999999999994" customHeight="1">
      <c r="A148" s="33">
        <v>8800256115174</v>
      </c>
      <c r="B148" s="22" t="s">
        <v>142</v>
      </c>
      <c r="C148" s="19">
        <v>80</v>
      </c>
      <c r="D148" s="20">
        <v>9614</v>
      </c>
      <c r="E148" s="40">
        <f t="shared" si="6"/>
        <v>7.1746268656716419</v>
      </c>
      <c r="F148" s="20"/>
      <c r="G148" s="13"/>
      <c r="H148" s="13"/>
      <c r="I148" s="46">
        <f t="shared" si="7"/>
        <v>0</v>
      </c>
      <c r="K148" s="25">
        <f>L148/C148</f>
        <v>0</v>
      </c>
      <c r="L148" s="8"/>
      <c r="M148" s="52">
        <f t="shared" si="8"/>
        <v>0</v>
      </c>
    </row>
    <row r="149" spans="1:13" ht="80.099999999999994" customHeight="1">
      <c r="A149" s="33">
        <v>8809960356033</v>
      </c>
      <c r="B149" s="22" t="s">
        <v>143</v>
      </c>
      <c r="C149" s="19">
        <v>120</v>
      </c>
      <c r="D149" s="20">
        <v>16016</v>
      </c>
      <c r="E149" s="40">
        <f t="shared" si="6"/>
        <v>11.952238805970149</v>
      </c>
      <c r="F149" s="20"/>
      <c r="G149" s="13"/>
      <c r="H149" s="13"/>
      <c r="I149" s="46">
        <f t="shared" si="7"/>
        <v>0</v>
      </c>
      <c r="K149" s="25">
        <f>L149/C149</f>
        <v>0</v>
      </c>
      <c r="L149" s="8"/>
      <c r="M149" s="52">
        <f t="shared" si="8"/>
        <v>0</v>
      </c>
    </row>
    <row r="150" spans="1:13" ht="80.099999999999994" customHeight="1">
      <c r="A150" s="33">
        <v>8800240573188</v>
      </c>
      <c r="B150" s="22" t="s">
        <v>144</v>
      </c>
      <c r="C150" s="19">
        <v>60</v>
      </c>
      <c r="D150" s="20">
        <v>16665</v>
      </c>
      <c r="E150" s="40">
        <f t="shared" si="6"/>
        <v>12.436567164179104</v>
      </c>
      <c r="F150" s="20"/>
      <c r="G150" s="13"/>
      <c r="H150" s="13"/>
      <c r="I150" s="46">
        <f t="shared" si="7"/>
        <v>0</v>
      </c>
      <c r="K150" s="25">
        <f>L150/C150</f>
        <v>0</v>
      </c>
      <c r="L150" s="8"/>
      <c r="M150" s="52">
        <f t="shared" si="8"/>
        <v>0</v>
      </c>
    </row>
    <row r="151" spans="1:13" ht="80.099999999999994" customHeight="1">
      <c r="A151" s="33">
        <v>8800256114382</v>
      </c>
      <c r="B151" s="22" t="s">
        <v>145</v>
      </c>
      <c r="C151" s="19">
        <v>60</v>
      </c>
      <c r="D151" s="20">
        <v>14102</v>
      </c>
      <c r="E151" s="40">
        <f t="shared" si="6"/>
        <v>10.523880597014925</v>
      </c>
      <c r="F151" s="20"/>
      <c r="G151" s="13"/>
      <c r="H151" s="13"/>
      <c r="I151" s="46">
        <f t="shared" si="7"/>
        <v>0</v>
      </c>
      <c r="K151" s="25">
        <f>L151/C151</f>
        <v>0</v>
      </c>
      <c r="L151" s="8"/>
      <c r="M151" s="52">
        <f t="shared" si="8"/>
        <v>0</v>
      </c>
    </row>
    <row r="152" spans="1:13" ht="80.099999999999994" customHeight="1">
      <c r="A152" s="33">
        <v>8809913368748</v>
      </c>
      <c r="B152" s="22" t="s">
        <v>146</v>
      </c>
      <c r="C152" s="19">
        <v>64</v>
      </c>
      <c r="D152" s="20">
        <v>2706</v>
      </c>
      <c r="E152" s="40">
        <f t="shared" si="6"/>
        <v>2.0194029850746267</v>
      </c>
      <c r="F152" s="20"/>
      <c r="G152" s="13"/>
      <c r="H152" s="13"/>
      <c r="I152" s="46">
        <f t="shared" si="7"/>
        <v>0</v>
      </c>
      <c r="K152" s="25">
        <f>L152/C152</f>
        <v>0</v>
      </c>
      <c r="L152" s="8"/>
      <c r="M152" s="52">
        <f t="shared" si="8"/>
        <v>0</v>
      </c>
    </row>
    <row r="153" spans="1:13" ht="80.099999999999994" customHeight="1">
      <c r="A153" s="33">
        <v>8800289461965</v>
      </c>
      <c r="B153" s="22" t="s">
        <v>147</v>
      </c>
      <c r="C153" s="19"/>
      <c r="D153" s="20">
        <v>16016</v>
      </c>
      <c r="E153" s="40">
        <f t="shared" si="6"/>
        <v>11.952238805970149</v>
      </c>
      <c r="F153" s="20"/>
      <c r="G153" s="13"/>
      <c r="H153" s="13"/>
      <c r="I153" s="46">
        <f t="shared" si="7"/>
        <v>0</v>
      </c>
      <c r="K153" s="25"/>
      <c r="L153" s="8"/>
      <c r="M153" s="52">
        <f t="shared" si="8"/>
        <v>0</v>
      </c>
    </row>
    <row r="154" spans="1:13" ht="80.099999999999994" customHeight="1">
      <c r="A154" s="33">
        <v>8800289461989</v>
      </c>
      <c r="B154" s="22" t="s">
        <v>148</v>
      </c>
      <c r="C154" s="19">
        <v>40</v>
      </c>
      <c r="D154" s="20">
        <v>12177</v>
      </c>
      <c r="E154" s="40">
        <f t="shared" si="6"/>
        <v>9.0873134328358205</v>
      </c>
      <c r="F154" s="20"/>
      <c r="G154" s="13"/>
      <c r="H154" s="13"/>
      <c r="I154" s="46">
        <f t="shared" si="7"/>
        <v>0</v>
      </c>
      <c r="K154" s="25">
        <f>L154/C154</f>
        <v>0</v>
      </c>
      <c r="L154" s="8"/>
      <c r="M154" s="52">
        <f t="shared" si="8"/>
        <v>0</v>
      </c>
    </row>
    <row r="155" spans="1:13" ht="80.099999999999994" customHeight="1">
      <c r="A155" s="33">
        <v>8800289461972</v>
      </c>
      <c r="B155" s="22" t="s">
        <v>149</v>
      </c>
      <c r="C155" s="19">
        <v>100</v>
      </c>
      <c r="D155" s="20">
        <v>10252</v>
      </c>
      <c r="E155" s="40">
        <f t="shared" si="6"/>
        <v>7.6507462686567163</v>
      </c>
      <c r="F155" s="20"/>
      <c r="G155" s="13"/>
      <c r="H155" s="13"/>
      <c r="I155" s="46">
        <f t="shared" si="7"/>
        <v>0</v>
      </c>
      <c r="K155" s="25">
        <f>L155/C155</f>
        <v>0</v>
      </c>
      <c r="L155" s="8"/>
      <c r="M155" s="52">
        <f t="shared" si="8"/>
        <v>0</v>
      </c>
    </row>
    <row r="156" spans="1:13" ht="80.099999999999994" customHeight="1">
      <c r="A156" s="33">
        <v>8800289467448</v>
      </c>
      <c r="B156" s="22" t="s">
        <v>150</v>
      </c>
      <c r="C156" s="19">
        <v>40</v>
      </c>
      <c r="D156" s="20">
        <v>12815</v>
      </c>
      <c r="E156" s="40">
        <f t="shared" si="6"/>
        <v>9.5634328358208958</v>
      </c>
      <c r="F156" s="20"/>
      <c r="G156" s="13"/>
      <c r="H156" s="13"/>
      <c r="I156" s="46">
        <f t="shared" si="7"/>
        <v>0</v>
      </c>
      <c r="K156" s="25">
        <f>L156/C156</f>
        <v>0</v>
      </c>
      <c r="L156" s="8"/>
      <c r="M156" s="52">
        <f t="shared" si="8"/>
        <v>0</v>
      </c>
    </row>
    <row r="157" spans="1:13" ht="80.099999999999994" customHeight="1">
      <c r="A157" s="33">
        <v>8800289468049</v>
      </c>
      <c r="B157" s="22" t="s">
        <v>151</v>
      </c>
      <c r="C157" s="19"/>
      <c r="D157" s="20">
        <v>10901</v>
      </c>
      <c r="E157" s="40">
        <f t="shared" si="6"/>
        <v>8.1350746268656717</v>
      </c>
      <c r="F157" s="20"/>
      <c r="G157" s="13"/>
      <c r="H157" s="13"/>
      <c r="I157" s="46">
        <f t="shared" si="7"/>
        <v>0</v>
      </c>
      <c r="K157" s="25"/>
      <c r="L157" s="8"/>
      <c r="M157" s="52">
        <f t="shared" si="8"/>
        <v>0</v>
      </c>
    </row>
    <row r="158" spans="1:13" ht="80.099999999999994" customHeight="1">
      <c r="A158" s="33">
        <v>8800366243040</v>
      </c>
      <c r="B158" s="22" t="s">
        <v>152</v>
      </c>
      <c r="C158" s="19">
        <v>48</v>
      </c>
      <c r="D158" s="20">
        <v>17303</v>
      </c>
      <c r="E158" s="40">
        <f t="shared" si="6"/>
        <v>12.91268656716418</v>
      </c>
      <c r="F158" s="20"/>
      <c r="G158" s="13"/>
      <c r="H158" s="13"/>
      <c r="I158" s="46">
        <f t="shared" si="7"/>
        <v>0</v>
      </c>
      <c r="K158" s="25">
        <f>L158/C158</f>
        <v>0</v>
      </c>
      <c r="L158" s="8"/>
      <c r="M158" s="52">
        <f t="shared" si="8"/>
        <v>0</v>
      </c>
    </row>
    <row r="159" spans="1:13" ht="80.099999999999994" customHeight="1">
      <c r="A159" s="33">
        <v>8809883884088</v>
      </c>
      <c r="B159" s="22" t="s">
        <v>153</v>
      </c>
      <c r="C159" s="19">
        <v>150</v>
      </c>
      <c r="D159" s="20">
        <v>3850</v>
      </c>
      <c r="E159" s="40">
        <f t="shared" si="6"/>
        <v>2.8731343283582089</v>
      </c>
      <c r="F159" s="20"/>
      <c r="G159" s="13"/>
      <c r="H159" s="13"/>
      <c r="I159" s="46">
        <f t="shared" si="7"/>
        <v>0</v>
      </c>
      <c r="K159" s="25">
        <f>L159/C159</f>
        <v>0</v>
      </c>
      <c r="L159" s="8"/>
      <c r="M159" s="52">
        <f t="shared" si="8"/>
        <v>0</v>
      </c>
    </row>
    <row r="160" spans="1:13" ht="80.099999999999994" customHeight="1">
      <c r="A160" s="33">
        <v>8809960355425</v>
      </c>
      <c r="B160" s="22" t="s">
        <v>154</v>
      </c>
      <c r="C160" s="19">
        <v>100</v>
      </c>
      <c r="D160" s="20">
        <v>5126</v>
      </c>
      <c r="E160" s="40">
        <f t="shared" si="6"/>
        <v>3.8253731343283581</v>
      </c>
      <c r="F160" s="20"/>
      <c r="G160" s="13"/>
      <c r="H160" s="13"/>
      <c r="I160" s="46">
        <f t="shared" si="7"/>
        <v>0</v>
      </c>
      <c r="K160" s="25">
        <f>L160/C160</f>
        <v>0</v>
      </c>
      <c r="L160" s="8"/>
      <c r="M160" s="52">
        <f t="shared" si="8"/>
        <v>0</v>
      </c>
    </row>
    <row r="161" spans="1:13" ht="80.099999999999994" customHeight="1">
      <c r="A161" s="33">
        <v>8800256114566</v>
      </c>
      <c r="B161" s="22" t="s">
        <v>155</v>
      </c>
      <c r="C161" s="19">
        <v>100</v>
      </c>
      <c r="D161" s="20">
        <v>1287</v>
      </c>
      <c r="E161" s="40">
        <f t="shared" si="6"/>
        <v>0.96044776119402986</v>
      </c>
      <c r="F161" s="20"/>
      <c r="G161" s="13"/>
      <c r="H161" s="13"/>
      <c r="I161" s="46">
        <f t="shared" si="7"/>
        <v>0</v>
      </c>
      <c r="K161" s="25">
        <f>L161/C161</f>
        <v>0</v>
      </c>
      <c r="L161" s="8"/>
      <c r="M161" s="52">
        <f t="shared" si="8"/>
        <v>0</v>
      </c>
    </row>
    <row r="162" spans="1:13" ht="80.099999999999994" customHeight="1">
      <c r="A162" s="33">
        <v>8800240579913</v>
      </c>
      <c r="B162" s="22" t="s">
        <v>156</v>
      </c>
      <c r="C162" s="19">
        <v>100</v>
      </c>
      <c r="D162" s="20">
        <v>1287</v>
      </c>
      <c r="E162" s="40">
        <f t="shared" si="6"/>
        <v>0.96044776119402986</v>
      </c>
      <c r="F162" s="20"/>
      <c r="G162" s="13"/>
      <c r="H162" s="13"/>
      <c r="I162" s="46">
        <f t="shared" si="7"/>
        <v>0</v>
      </c>
      <c r="K162" s="25">
        <f>L162/C162</f>
        <v>0</v>
      </c>
      <c r="L162" s="8"/>
      <c r="M162" s="52">
        <f t="shared" si="8"/>
        <v>0</v>
      </c>
    </row>
    <row r="163" spans="1:13" ht="80.099999999999994" customHeight="1">
      <c r="A163" s="33">
        <v>8800240579906</v>
      </c>
      <c r="B163" s="22" t="s">
        <v>157</v>
      </c>
      <c r="C163" s="19">
        <v>90</v>
      </c>
      <c r="D163" s="20">
        <v>11539</v>
      </c>
      <c r="E163" s="40">
        <f t="shared" si="6"/>
        <v>8.611194029850747</v>
      </c>
      <c r="F163" s="20"/>
      <c r="G163" s="13"/>
      <c r="H163" s="13"/>
      <c r="I163" s="46">
        <f t="shared" si="7"/>
        <v>0</v>
      </c>
      <c r="K163" s="25">
        <f>L163/C163</f>
        <v>0</v>
      </c>
      <c r="L163" s="8"/>
      <c r="M163" s="52">
        <f t="shared" si="8"/>
        <v>0</v>
      </c>
    </row>
    <row r="164" spans="1:13" ht="80.099999999999994" customHeight="1">
      <c r="A164" s="33">
        <v>8800289473166</v>
      </c>
      <c r="B164" s="22" t="s">
        <v>158</v>
      </c>
      <c r="C164" s="19">
        <v>120</v>
      </c>
      <c r="D164" s="20">
        <v>11539</v>
      </c>
      <c r="E164" s="40">
        <f t="shared" si="6"/>
        <v>8.611194029850747</v>
      </c>
      <c r="F164" s="20"/>
      <c r="G164" s="13"/>
      <c r="H164" s="13"/>
      <c r="I164" s="46">
        <f t="shared" si="7"/>
        <v>0</v>
      </c>
      <c r="K164" s="25">
        <f>L164/C164</f>
        <v>0</v>
      </c>
      <c r="L164" s="8"/>
      <c r="M164" s="52">
        <f t="shared" si="8"/>
        <v>0</v>
      </c>
    </row>
    <row r="165" spans="1:13" ht="80.099999999999994" customHeight="1">
      <c r="A165" s="33">
        <v>8800289467264</v>
      </c>
      <c r="B165" s="22" t="s">
        <v>159</v>
      </c>
      <c r="C165" s="19">
        <v>90</v>
      </c>
      <c r="D165" s="20">
        <v>11539</v>
      </c>
      <c r="E165" s="40">
        <f t="shared" si="6"/>
        <v>8.611194029850747</v>
      </c>
      <c r="F165" s="20"/>
      <c r="G165" s="13"/>
      <c r="H165" s="13"/>
      <c r="I165" s="46">
        <f t="shared" si="7"/>
        <v>0</v>
      </c>
      <c r="K165" s="25">
        <f>L165/C165</f>
        <v>0</v>
      </c>
      <c r="L165" s="8"/>
      <c r="M165" s="52">
        <f t="shared" si="8"/>
        <v>0</v>
      </c>
    </row>
    <row r="166" spans="1:13" ht="80.099999999999994" customHeight="1">
      <c r="A166" s="33">
        <v>8800289474699</v>
      </c>
      <c r="B166" s="22" t="s">
        <v>160</v>
      </c>
      <c r="C166" s="19">
        <v>120</v>
      </c>
      <c r="D166" s="20">
        <v>14740</v>
      </c>
      <c r="E166" s="40">
        <f t="shared" si="6"/>
        <v>11</v>
      </c>
      <c r="F166" s="20"/>
      <c r="G166" s="13"/>
      <c r="H166" s="13"/>
      <c r="I166" s="46">
        <f t="shared" si="7"/>
        <v>0</v>
      </c>
      <c r="K166" s="25">
        <f>L166/C166</f>
        <v>0</v>
      </c>
      <c r="L166" s="8"/>
      <c r="M166" s="52">
        <f t="shared" si="8"/>
        <v>0</v>
      </c>
    </row>
    <row r="167" spans="1:13" ht="80.099999999999994" customHeight="1">
      <c r="A167" s="33">
        <v>8800289477393</v>
      </c>
      <c r="B167" s="22" t="s">
        <v>161</v>
      </c>
      <c r="C167" s="19">
        <v>120</v>
      </c>
      <c r="D167" s="20">
        <v>14740</v>
      </c>
      <c r="E167" s="40">
        <f t="shared" ref="E167:E188" si="9">D167/1340</f>
        <v>11</v>
      </c>
      <c r="F167" s="20"/>
      <c r="G167" s="13"/>
      <c r="H167" s="13"/>
      <c r="I167" s="46">
        <f t="shared" si="7"/>
        <v>0</v>
      </c>
      <c r="K167" s="25">
        <f>L167/C167</f>
        <v>0</v>
      </c>
      <c r="L167" s="8"/>
      <c r="M167" s="52">
        <f t="shared" si="8"/>
        <v>0</v>
      </c>
    </row>
    <row r="168" spans="1:13" ht="80.099999999999994" customHeight="1">
      <c r="A168" s="33">
        <v>8800289470011</v>
      </c>
      <c r="B168" s="22" t="s">
        <v>162</v>
      </c>
      <c r="C168" s="19">
        <v>300</v>
      </c>
      <c r="D168" s="20">
        <v>3850</v>
      </c>
      <c r="E168" s="40">
        <f t="shared" si="9"/>
        <v>2.8731343283582089</v>
      </c>
      <c r="F168" s="20"/>
      <c r="G168" s="13"/>
      <c r="H168" s="13"/>
      <c r="I168" s="46">
        <f t="shared" si="7"/>
        <v>0</v>
      </c>
      <c r="K168" s="25">
        <f>L168/C168</f>
        <v>0</v>
      </c>
      <c r="L168" s="8"/>
      <c r="M168" s="52">
        <f t="shared" si="8"/>
        <v>0</v>
      </c>
    </row>
    <row r="169" spans="1:13" ht="80.099999999999994" customHeight="1">
      <c r="A169" s="33">
        <v>8800256108046</v>
      </c>
      <c r="B169" s="22" t="s">
        <v>163</v>
      </c>
      <c r="C169" s="19">
        <v>120</v>
      </c>
      <c r="D169" s="20">
        <v>2563</v>
      </c>
      <c r="E169" s="40">
        <f t="shared" si="9"/>
        <v>1.9126865671641791</v>
      </c>
      <c r="F169" s="20"/>
      <c r="G169" s="13"/>
      <c r="H169" s="13"/>
      <c r="I169" s="46">
        <f t="shared" si="7"/>
        <v>0</v>
      </c>
      <c r="K169" s="25">
        <f>L169/C169</f>
        <v>0</v>
      </c>
      <c r="L169" s="8"/>
      <c r="M169" s="52">
        <f t="shared" si="8"/>
        <v>0</v>
      </c>
    </row>
    <row r="170" spans="1:13" ht="80.099999999999994" customHeight="1">
      <c r="A170" s="33">
        <v>8800256114399</v>
      </c>
      <c r="B170" s="22" t="s">
        <v>164</v>
      </c>
      <c r="C170" s="19">
        <v>120</v>
      </c>
      <c r="D170" s="20">
        <v>10252</v>
      </c>
      <c r="E170" s="40">
        <f t="shared" si="9"/>
        <v>7.6507462686567163</v>
      </c>
      <c r="F170" s="20"/>
      <c r="G170" s="13"/>
      <c r="H170" s="13"/>
      <c r="I170" s="46">
        <f t="shared" si="7"/>
        <v>0</v>
      </c>
      <c r="K170" s="25">
        <f>L170/C170</f>
        <v>0</v>
      </c>
      <c r="L170" s="8"/>
      <c r="M170" s="52">
        <f t="shared" si="8"/>
        <v>0</v>
      </c>
    </row>
    <row r="171" spans="1:13" ht="80.099999999999994" customHeight="1">
      <c r="A171" s="33">
        <v>8800289470165</v>
      </c>
      <c r="B171" s="22" t="s">
        <v>165</v>
      </c>
      <c r="C171" s="19">
        <v>160</v>
      </c>
      <c r="D171" s="20">
        <v>1287</v>
      </c>
      <c r="E171" s="40">
        <f t="shared" si="9"/>
        <v>0.96044776119402986</v>
      </c>
      <c r="F171" s="20"/>
      <c r="G171" s="13"/>
      <c r="H171" s="13"/>
      <c r="I171" s="46">
        <f t="shared" si="7"/>
        <v>0</v>
      </c>
      <c r="K171" s="25">
        <f>L171/C171</f>
        <v>0</v>
      </c>
      <c r="L171" s="8"/>
      <c r="M171" s="52">
        <f t="shared" si="8"/>
        <v>0</v>
      </c>
    </row>
    <row r="172" spans="1:13" ht="80.099999999999994" customHeight="1">
      <c r="A172" s="33">
        <v>8800289470172</v>
      </c>
      <c r="B172" s="22" t="s">
        <v>166</v>
      </c>
      <c r="C172" s="19">
        <v>400</v>
      </c>
      <c r="D172" s="20">
        <v>12815</v>
      </c>
      <c r="E172" s="40">
        <f t="shared" si="9"/>
        <v>9.5634328358208958</v>
      </c>
      <c r="F172" s="20"/>
      <c r="G172" s="13"/>
      <c r="H172" s="13"/>
      <c r="I172" s="46">
        <f t="shared" si="7"/>
        <v>0</v>
      </c>
      <c r="K172" s="25">
        <f>L172/C172</f>
        <v>0</v>
      </c>
      <c r="L172" s="8"/>
      <c r="M172" s="52">
        <f t="shared" si="8"/>
        <v>0</v>
      </c>
    </row>
    <row r="173" spans="1:13" ht="80.099999999999994" customHeight="1">
      <c r="A173" s="33">
        <v>8800289477379</v>
      </c>
      <c r="B173" s="22" t="s">
        <v>167</v>
      </c>
      <c r="C173" s="19">
        <v>40</v>
      </c>
      <c r="D173" s="20">
        <v>10252</v>
      </c>
      <c r="E173" s="40">
        <f t="shared" si="9"/>
        <v>7.6507462686567163</v>
      </c>
      <c r="F173" s="20"/>
      <c r="G173" s="13"/>
      <c r="H173" s="13"/>
      <c r="I173" s="46">
        <f t="shared" si="7"/>
        <v>0</v>
      </c>
      <c r="K173" s="25">
        <f>L173/C173</f>
        <v>0</v>
      </c>
      <c r="L173" s="8"/>
      <c r="M173" s="52">
        <f t="shared" si="8"/>
        <v>0</v>
      </c>
    </row>
    <row r="174" spans="1:13" ht="80.099999999999994" customHeight="1">
      <c r="A174" s="33">
        <v>8800289462306</v>
      </c>
      <c r="B174" s="22" t="s">
        <v>168</v>
      </c>
      <c r="C174" s="19">
        <v>300</v>
      </c>
      <c r="D174" s="20">
        <v>1287</v>
      </c>
      <c r="E174" s="40">
        <f t="shared" si="9"/>
        <v>0.96044776119402986</v>
      </c>
      <c r="F174" s="20"/>
      <c r="G174" s="13"/>
      <c r="H174" s="13"/>
      <c r="I174" s="46">
        <f t="shared" si="7"/>
        <v>0</v>
      </c>
      <c r="K174" s="25">
        <f>L174/C174</f>
        <v>0</v>
      </c>
      <c r="L174" s="8"/>
      <c r="M174" s="52">
        <f t="shared" si="8"/>
        <v>0</v>
      </c>
    </row>
    <row r="175" spans="1:13" ht="80.099999999999994" customHeight="1">
      <c r="A175" s="33">
        <v>8800289462559</v>
      </c>
      <c r="B175" s="22" t="s">
        <v>169</v>
      </c>
      <c r="C175" s="19">
        <v>360</v>
      </c>
      <c r="D175" s="20">
        <v>7315</v>
      </c>
      <c r="E175" s="40">
        <f t="shared" si="9"/>
        <v>5.4589552238805972</v>
      </c>
      <c r="F175" s="20"/>
      <c r="G175" s="13"/>
      <c r="H175" s="13"/>
      <c r="I175" s="46">
        <f t="shared" si="7"/>
        <v>0</v>
      </c>
      <c r="K175" s="25">
        <f>L175/C175</f>
        <v>0</v>
      </c>
      <c r="L175" s="8"/>
      <c r="M175" s="52">
        <f t="shared" si="8"/>
        <v>0</v>
      </c>
    </row>
    <row r="176" spans="1:13" ht="80.099999999999994" customHeight="1">
      <c r="A176" s="33">
        <v>8800289462542</v>
      </c>
      <c r="B176" s="22" t="s">
        <v>170</v>
      </c>
      <c r="C176" s="19">
        <v>400</v>
      </c>
      <c r="D176" s="20">
        <v>11539</v>
      </c>
      <c r="E176" s="40">
        <f t="shared" si="9"/>
        <v>8.611194029850747</v>
      </c>
      <c r="F176" s="20"/>
      <c r="G176" s="13"/>
      <c r="H176" s="13"/>
      <c r="I176" s="46">
        <f t="shared" si="7"/>
        <v>0</v>
      </c>
      <c r="K176" s="25">
        <f>L176/C176</f>
        <v>0</v>
      </c>
      <c r="L176" s="8"/>
      <c r="M176" s="52">
        <f t="shared" si="8"/>
        <v>0</v>
      </c>
    </row>
    <row r="177" spans="1:13" ht="80.099999999999994" customHeight="1">
      <c r="A177" s="33">
        <v>8800366242517</v>
      </c>
      <c r="B177" s="22" t="s">
        <v>171</v>
      </c>
      <c r="C177" s="19">
        <v>220</v>
      </c>
      <c r="D177" s="20">
        <v>2563</v>
      </c>
      <c r="E177" s="40">
        <f t="shared" si="9"/>
        <v>1.9126865671641791</v>
      </c>
      <c r="F177" s="20"/>
      <c r="G177" s="13"/>
      <c r="H177" s="13"/>
      <c r="I177" s="46">
        <f t="shared" si="7"/>
        <v>0</v>
      </c>
      <c r="K177" s="25">
        <f>L177/C177</f>
        <v>0</v>
      </c>
      <c r="L177" s="8"/>
      <c r="M177" s="52">
        <f t="shared" si="8"/>
        <v>0</v>
      </c>
    </row>
    <row r="178" spans="1:13" ht="80.099999999999994" customHeight="1">
      <c r="A178" s="33">
        <v>8800366242531</v>
      </c>
      <c r="B178" s="22" t="s">
        <v>172</v>
      </c>
      <c r="C178" s="19">
        <v>120</v>
      </c>
      <c r="D178" s="20">
        <v>10252</v>
      </c>
      <c r="E178" s="40">
        <f t="shared" si="9"/>
        <v>7.6507462686567163</v>
      </c>
      <c r="F178" s="20"/>
      <c r="G178" s="13"/>
      <c r="H178" s="13"/>
      <c r="I178" s="46">
        <f t="shared" si="7"/>
        <v>0</v>
      </c>
      <c r="K178" s="25">
        <f>L178/C178</f>
        <v>0</v>
      </c>
      <c r="L178" s="8"/>
      <c r="M178" s="52">
        <f t="shared" si="8"/>
        <v>0</v>
      </c>
    </row>
    <row r="179" spans="1:13" ht="80.099999999999994" customHeight="1">
      <c r="A179" s="33">
        <v>8800366243415</v>
      </c>
      <c r="B179" s="22" t="s">
        <v>173</v>
      </c>
      <c r="C179" s="19"/>
      <c r="D179" s="20">
        <v>1287</v>
      </c>
      <c r="E179" s="40">
        <f t="shared" si="9"/>
        <v>0.96044776119402986</v>
      </c>
      <c r="F179" s="20"/>
      <c r="G179" s="13"/>
      <c r="H179" s="13"/>
      <c r="I179" s="46">
        <f t="shared" si="7"/>
        <v>0</v>
      </c>
      <c r="K179" s="25"/>
      <c r="L179" s="8"/>
      <c r="M179" s="52">
        <f t="shared" si="8"/>
        <v>0</v>
      </c>
    </row>
    <row r="180" spans="1:13" ht="80.099999999999994" customHeight="1">
      <c r="A180" s="33">
        <v>8800366243446</v>
      </c>
      <c r="B180" s="22" t="s">
        <v>174</v>
      </c>
      <c r="C180" s="19"/>
      <c r="D180" s="20">
        <v>11539</v>
      </c>
      <c r="E180" s="40">
        <f t="shared" si="9"/>
        <v>8.611194029850747</v>
      </c>
      <c r="F180" s="20"/>
      <c r="G180" s="13"/>
      <c r="H180" s="13"/>
      <c r="I180" s="46">
        <f t="shared" si="7"/>
        <v>0</v>
      </c>
      <c r="K180" s="25"/>
      <c r="L180" s="8"/>
      <c r="M180" s="52">
        <f t="shared" si="8"/>
        <v>0</v>
      </c>
    </row>
    <row r="181" spans="1:13" ht="80.099999999999994" customHeight="1">
      <c r="A181" s="33">
        <v>8800289479830</v>
      </c>
      <c r="B181" s="22" t="s">
        <v>175</v>
      </c>
      <c r="C181" s="19">
        <v>90</v>
      </c>
      <c r="D181" s="20">
        <v>11539</v>
      </c>
      <c r="E181" s="40">
        <f t="shared" si="9"/>
        <v>8.611194029850747</v>
      </c>
      <c r="F181" s="20"/>
      <c r="G181" s="13"/>
      <c r="H181" s="13"/>
      <c r="I181" s="46">
        <f t="shared" si="7"/>
        <v>0</v>
      </c>
      <c r="K181" s="25">
        <f>L181/C181</f>
        <v>0</v>
      </c>
      <c r="L181" s="8"/>
      <c r="M181" s="52">
        <f t="shared" si="8"/>
        <v>0</v>
      </c>
    </row>
    <row r="182" spans="1:13" ht="80.099999999999994" customHeight="1">
      <c r="A182" s="33">
        <v>8800256114658</v>
      </c>
      <c r="B182" s="22" t="s">
        <v>176</v>
      </c>
      <c r="C182" s="19">
        <v>120</v>
      </c>
      <c r="D182" s="20">
        <v>2563</v>
      </c>
      <c r="E182" s="40">
        <f t="shared" si="9"/>
        <v>1.9126865671641791</v>
      </c>
      <c r="F182" s="20"/>
      <c r="G182" s="13"/>
      <c r="H182" s="13"/>
      <c r="I182" s="46">
        <f t="shared" si="7"/>
        <v>0</v>
      </c>
      <c r="K182" s="25">
        <f>L182/C182</f>
        <v>0</v>
      </c>
      <c r="L182" s="8"/>
      <c r="M182" s="52">
        <f t="shared" si="8"/>
        <v>0</v>
      </c>
    </row>
    <row r="183" spans="1:13" ht="80.099999999999994" customHeight="1">
      <c r="A183" s="33">
        <v>8800256114603</v>
      </c>
      <c r="B183" s="22" t="s">
        <v>177</v>
      </c>
      <c r="C183" s="19">
        <v>120</v>
      </c>
      <c r="D183" s="20">
        <v>10252</v>
      </c>
      <c r="E183" s="40">
        <f t="shared" si="9"/>
        <v>7.6507462686567163</v>
      </c>
      <c r="F183" s="20"/>
      <c r="G183" s="13"/>
      <c r="H183" s="13"/>
      <c r="I183" s="46">
        <f t="shared" si="7"/>
        <v>0</v>
      </c>
      <c r="K183" s="25">
        <f>L183/C183</f>
        <v>0</v>
      </c>
      <c r="L183" s="8"/>
      <c r="M183" s="52">
        <f t="shared" si="8"/>
        <v>0</v>
      </c>
    </row>
    <row r="184" spans="1:13" ht="80.099999999999994" customHeight="1">
      <c r="A184" s="33">
        <v>8800256113057</v>
      </c>
      <c r="B184" s="22" t="s">
        <v>178</v>
      </c>
      <c r="C184" s="19">
        <v>240</v>
      </c>
      <c r="D184" s="20">
        <v>1287</v>
      </c>
      <c r="E184" s="40">
        <f t="shared" si="9"/>
        <v>0.96044776119402986</v>
      </c>
      <c r="F184" s="20"/>
      <c r="G184" s="13"/>
      <c r="H184" s="13"/>
      <c r="I184" s="46">
        <f t="shared" si="7"/>
        <v>0</v>
      </c>
      <c r="K184" s="25">
        <f>L184/C184</f>
        <v>0</v>
      </c>
      <c r="L184" s="8"/>
      <c r="M184" s="52">
        <f t="shared" si="8"/>
        <v>0</v>
      </c>
    </row>
    <row r="185" spans="1:13" ht="80.099999999999994" customHeight="1">
      <c r="A185" s="33">
        <v>8800240576585</v>
      </c>
      <c r="B185" s="22" t="s">
        <v>179</v>
      </c>
      <c r="C185" s="19">
        <v>300</v>
      </c>
      <c r="D185" s="20">
        <v>1287</v>
      </c>
      <c r="E185" s="40">
        <f t="shared" si="9"/>
        <v>0.96044776119402986</v>
      </c>
      <c r="F185" s="20"/>
      <c r="G185" s="13"/>
      <c r="H185" s="13"/>
      <c r="I185" s="46">
        <f t="shared" si="7"/>
        <v>0</v>
      </c>
      <c r="K185" s="25">
        <f>L185/C185</f>
        <v>0</v>
      </c>
      <c r="L185" s="8"/>
      <c r="M185" s="52">
        <f t="shared" si="8"/>
        <v>0</v>
      </c>
    </row>
    <row r="186" spans="1:13" ht="80.099999999999994" customHeight="1">
      <c r="A186" s="33">
        <v>8800289473838</v>
      </c>
      <c r="B186" s="22" t="s">
        <v>180</v>
      </c>
      <c r="C186" s="19">
        <v>160</v>
      </c>
      <c r="D186" s="20">
        <v>1287</v>
      </c>
      <c r="E186" s="40">
        <f t="shared" si="9"/>
        <v>0.96044776119402986</v>
      </c>
      <c r="F186" s="20"/>
      <c r="G186" s="13"/>
      <c r="H186" s="13"/>
      <c r="I186" s="46">
        <f t="shared" si="7"/>
        <v>0</v>
      </c>
      <c r="K186" s="25">
        <f>L186/C186</f>
        <v>0</v>
      </c>
      <c r="L186" s="8"/>
      <c r="M186" s="52">
        <f t="shared" si="8"/>
        <v>0</v>
      </c>
    </row>
    <row r="187" spans="1:13" ht="80.099999999999994" customHeight="1">
      <c r="A187" s="33">
        <v>8800240569969</v>
      </c>
      <c r="B187" s="22" t="s">
        <v>181</v>
      </c>
      <c r="C187" s="19">
        <v>200</v>
      </c>
      <c r="D187" s="20">
        <v>1287</v>
      </c>
      <c r="E187" s="40">
        <f t="shared" si="9"/>
        <v>0.96044776119402986</v>
      </c>
      <c r="F187" s="20"/>
      <c r="G187" s="13"/>
      <c r="H187" s="13"/>
      <c r="I187" s="46">
        <f t="shared" si="7"/>
        <v>0</v>
      </c>
      <c r="K187" s="25">
        <f>L187/C187</f>
        <v>0</v>
      </c>
      <c r="L187" s="8"/>
      <c r="M187" s="52">
        <f t="shared" si="8"/>
        <v>0</v>
      </c>
    </row>
    <row r="188" spans="1:13" ht="80.099999999999994" customHeight="1">
      <c r="A188" s="33">
        <v>8809517411741</v>
      </c>
      <c r="B188" s="22" t="s">
        <v>182</v>
      </c>
      <c r="C188" s="19">
        <v>400</v>
      </c>
      <c r="D188" s="20">
        <v>1287</v>
      </c>
      <c r="E188" s="40">
        <f t="shared" si="9"/>
        <v>0.96044776119402986</v>
      </c>
      <c r="F188" s="20"/>
      <c r="G188" s="13"/>
      <c r="H188" s="13"/>
      <c r="I188" s="46">
        <f t="shared" si="7"/>
        <v>0</v>
      </c>
      <c r="K188" s="25">
        <f>L188/C188</f>
        <v>0</v>
      </c>
      <c r="L188" s="8"/>
      <c r="M188" s="52">
        <f t="shared" si="8"/>
        <v>0</v>
      </c>
    </row>
    <row r="189" spans="1:13">
      <c r="K189" s="25"/>
      <c r="L189" s="8"/>
      <c r="M189" s="52"/>
    </row>
  </sheetData>
  <autoFilter ref="A5:M188" xr:uid="{4D9730E6-7D22-4D7B-BBF9-F2A94541C08D}"/>
  <mergeCells count="6">
    <mergeCell ref="M2:M3"/>
    <mergeCell ref="H2:H3"/>
    <mergeCell ref="I2:I3"/>
    <mergeCell ref="G2:G3"/>
    <mergeCell ref="K2:K3"/>
    <mergeCell ref="L2:L3"/>
  </mergeCells>
  <phoneticPr fontId="2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요한</dc:creator>
  <cp:lastModifiedBy>ST-USER</cp:lastModifiedBy>
  <dcterms:created xsi:type="dcterms:W3CDTF">2025-11-18T07:35:28Z</dcterms:created>
  <dcterms:modified xsi:type="dcterms:W3CDTF">2026-08-25T02:47:10Z</dcterms:modified>
</cp:coreProperties>
</file>
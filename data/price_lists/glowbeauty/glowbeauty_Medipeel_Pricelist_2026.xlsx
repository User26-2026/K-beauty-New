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T-USER\Desktop\igor\fin ceny\"/>
    </mc:Choice>
  </mc:AlternateContent>
  <xr:revisionPtr revIDLastSave="0" documentId="8_{E66CECB6-4A12-4822-A345-D634CC5904B2}" xr6:coauthVersionLast="47" xr6:coauthVersionMax="47" xr10:uidLastSave="{00000000-0000-0000-0000-000000000000}"/>
  <bookViews>
    <workbookView xWindow="-120" yWindow="-120" windowWidth="29040" windowHeight="15720" xr2:uid="{4A226BA7-0E30-4CB4-93DB-6FA4132782E6}"/>
  </bookViews>
  <sheets>
    <sheet name="Sheet1" sheetId="1" r:id="rId1"/>
  </sheets>
  <definedNames>
    <definedName name="_xlnm._FilterDatabase" localSheetId="0" hidden="1">Sheet1!$A$5:$N$100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" l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8" i="1"/>
  <c r="N29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6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8" i="1"/>
  <c r="J29" i="1"/>
  <c r="J31" i="1"/>
  <c r="J32" i="1"/>
  <c r="J33" i="1"/>
  <c r="J34" i="1"/>
  <c r="J35" i="1"/>
  <c r="J36" i="1"/>
  <c r="J37" i="1"/>
  <c r="J38" i="1"/>
  <c r="J39" i="1"/>
  <c r="J40" i="1"/>
  <c r="J41" i="1"/>
  <c r="J45" i="1"/>
  <c r="J46" i="1"/>
  <c r="J47" i="1"/>
  <c r="J48" i="1"/>
  <c r="J49" i="1"/>
  <c r="J50" i="1"/>
  <c r="J51" i="1"/>
  <c r="J52" i="1"/>
  <c r="J53" i="1"/>
  <c r="J54" i="1"/>
  <c r="J55" i="1"/>
  <c r="J56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6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6" i="1"/>
  <c r="G7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8" i="1"/>
  <c r="G29" i="1"/>
  <c r="G31" i="1"/>
  <c r="G32" i="1"/>
  <c r="G33" i="1"/>
  <c r="G34" i="1"/>
  <c r="G35" i="1"/>
  <c r="G36" i="1"/>
  <c r="G37" i="1"/>
  <c r="G38" i="1"/>
  <c r="G39" i="1"/>
  <c r="G40" i="1"/>
  <c r="G41" i="1"/>
  <c r="G45" i="1"/>
  <c r="G46" i="1"/>
  <c r="G47" i="1"/>
  <c r="G48" i="1"/>
  <c r="G49" i="1"/>
  <c r="G50" i="1"/>
  <c r="G51" i="1"/>
  <c r="G52" i="1"/>
  <c r="G53" i="1"/>
  <c r="G54" i="1"/>
  <c r="G55" i="1"/>
  <c r="G56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6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6" i="1"/>
  <c r="I101" i="1"/>
  <c r="M101" i="1"/>
  <c r="I105" i="1"/>
  <c r="M105" i="1"/>
  <c r="I106" i="1"/>
  <c r="M106" i="1"/>
  <c r="I107" i="1"/>
  <c r="M107" i="1"/>
  <c r="I108" i="1"/>
  <c r="M108" i="1"/>
  <c r="I109" i="1"/>
  <c r="M109" i="1"/>
  <c r="I110" i="1"/>
  <c r="M110" i="1"/>
  <c r="I111" i="1"/>
  <c r="M111" i="1"/>
  <c r="I112" i="1"/>
  <c r="M112" i="1"/>
  <c r="I113" i="1"/>
  <c r="M113" i="1"/>
  <c r="I114" i="1"/>
  <c r="M114" i="1"/>
  <c r="I115" i="1"/>
  <c r="M115" i="1"/>
  <c r="I116" i="1"/>
  <c r="M116" i="1"/>
  <c r="I117" i="1"/>
  <c r="M117" i="1"/>
  <c r="I118" i="1"/>
  <c r="M118" i="1"/>
  <c r="I119" i="1"/>
  <c r="M119" i="1"/>
  <c r="I120" i="1"/>
  <c r="M120" i="1"/>
  <c r="I121" i="1"/>
  <c r="M121" i="1"/>
  <c r="I122" i="1"/>
  <c r="M122" i="1"/>
  <c r="I123" i="1"/>
  <c r="M123" i="1"/>
  <c r="I124" i="1"/>
  <c r="M124" i="1"/>
  <c r="I125" i="1"/>
  <c r="M125" i="1"/>
  <c r="I126" i="1"/>
  <c r="M126" i="1"/>
  <c r="I127" i="1"/>
  <c r="M127" i="1"/>
  <c r="I129" i="1"/>
  <c r="M129" i="1"/>
  <c r="I130" i="1"/>
  <c r="M130" i="1"/>
  <c r="I131" i="1"/>
  <c r="M131" i="1"/>
  <c r="I132" i="1"/>
  <c r="M132" i="1"/>
  <c r="I133" i="1"/>
  <c r="M133" i="1"/>
  <c r="I134" i="1"/>
  <c r="M134" i="1"/>
  <c r="I135" i="1"/>
  <c r="M135" i="1"/>
  <c r="I136" i="1"/>
  <c r="M136" i="1"/>
  <c r="I137" i="1"/>
  <c r="M137" i="1"/>
  <c r="I138" i="1"/>
  <c r="M138" i="1"/>
  <c r="I139" i="1"/>
  <c r="M139" i="1"/>
  <c r="I140" i="1"/>
  <c r="M140" i="1"/>
  <c r="I141" i="1"/>
  <c r="M141" i="1"/>
  <c r="I142" i="1"/>
  <c r="M142" i="1"/>
  <c r="I143" i="1"/>
  <c r="M143" i="1"/>
  <c r="I144" i="1"/>
  <c r="M144" i="1"/>
  <c r="I145" i="1"/>
  <c r="M145" i="1"/>
  <c r="I146" i="1"/>
  <c r="M146" i="1"/>
  <c r="I147" i="1"/>
  <c r="M147" i="1"/>
  <c r="I149" i="1"/>
  <c r="M149" i="1"/>
  <c r="I150" i="1"/>
  <c r="M150" i="1"/>
  <c r="I151" i="1"/>
  <c r="M151" i="1"/>
  <c r="I152" i="1"/>
  <c r="M152" i="1"/>
  <c r="I153" i="1"/>
  <c r="M153" i="1"/>
  <c r="I154" i="1"/>
  <c r="M154" i="1"/>
  <c r="I155" i="1"/>
  <c r="M155" i="1"/>
  <c r="I156" i="1"/>
  <c r="M156" i="1"/>
  <c r="I157" i="1"/>
  <c r="M157" i="1"/>
  <c r="I158" i="1"/>
  <c r="M158" i="1"/>
  <c r="I159" i="1"/>
  <c r="M159" i="1"/>
  <c r="I160" i="1"/>
  <c r="M160" i="1"/>
  <c r="I161" i="1"/>
  <c r="M161" i="1"/>
  <c r="I162" i="1"/>
  <c r="M162" i="1"/>
  <c r="I163" i="1"/>
  <c r="M163" i="1"/>
  <c r="I164" i="1"/>
  <c r="M164" i="1"/>
  <c r="I165" i="1"/>
  <c r="M165" i="1"/>
  <c r="I166" i="1"/>
  <c r="M166" i="1"/>
  <c r="I167" i="1"/>
  <c r="M167" i="1"/>
  <c r="I168" i="1"/>
  <c r="M168" i="1"/>
  <c r="I169" i="1"/>
  <c r="M169" i="1"/>
  <c r="I170" i="1"/>
  <c r="M170" i="1"/>
  <c r="I171" i="1"/>
  <c r="M171" i="1"/>
  <c r="I172" i="1"/>
  <c r="M172" i="1"/>
  <c r="I173" i="1"/>
  <c r="M173" i="1"/>
  <c r="I176" i="1"/>
  <c r="M176" i="1"/>
  <c r="I177" i="1"/>
  <c r="M177" i="1"/>
  <c r="I178" i="1"/>
  <c r="M178" i="1"/>
  <c r="I179" i="1"/>
  <c r="M179" i="1"/>
  <c r="I180" i="1"/>
  <c r="M180" i="1"/>
  <c r="I181" i="1"/>
  <c r="M181" i="1"/>
  <c r="I182" i="1"/>
  <c r="M182" i="1"/>
  <c r="I183" i="1"/>
  <c r="M183" i="1"/>
  <c r="I184" i="1"/>
  <c r="M184" i="1"/>
  <c r="I185" i="1"/>
  <c r="M185" i="1"/>
  <c r="I186" i="1"/>
  <c r="M186" i="1"/>
  <c r="I187" i="1"/>
  <c r="M187" i="1"/>
  <c r="I188" i="1"/>
  <c r="M188" i="1"/>
  <c r="I189" i="1"/>
  <c r="M189" i="1"/>
  <c r="I190" i="1"/>
  <c r="M190" i="1"/>
  <c r="I191" i="1"/>
  <c r="M191" i="1"/>
  <c r="I192" i="1"/>
  <c r="M192" i="1"/>
  <c r="I196" i="1"/>
  <c r="M196" i="1"/>
  <c r="I198" i="1"/>
  <c r="M198" i="1"/>
  <c r="I199" i="1"/>
  <c r="M199" i="1"/>
  <c r="I200" i="1"/>
  <c r="M200" i="1"/>
  <c r="I201" i="1"/>
  <c r="M201" i="1"/>
  <c r="I202" i="1"/>
  <c r="M202" i="1"/>
  <c r="I203" i="1"/>
  <c r="M203" i="1"/>
  <c r="I204" i="1"/>
  <c r="M204" i="1"/>
  <c r="I205" i="1"/>
  <c r="M205" i="1"/>
  <c r="I206" i="1"/>
  <c r="M206" i="1"/>
  <c r="I207" i="1"/>
  <c r="M207" i="1"/>
  <c r="I208" i="1"/>
  <c r="M208" i="1"/>
  <c r="I209" i="1"/>
  <c r="M209" i="1"/>
  <c r="I210" i="1"/>
  <c r="M210" i="1"/>
  <c r="I211" i="1"/>
  <c r="M211" i="1"/>
  <c r="I212" i="1"/>
  <c r="M212" i="1"/>
  <c r="I213" i="1"/>
  <c r="M213" i="1"/>
  <c r="I214" i="1"/>
  <c r="M214" i="1"/>
  <c r="I215" i="1"/>
  <c r="M215" i="1"/>
  <c r="I216" i="1"/>
  <c r="M216" i="1"/>
  <c r="I217" i="1"/>
  <c r="M217" i="1"/>
  <c r="I218" i="1"/>
  <c r="M218" i="1"/>
  <c r="I219" i="1"/>
  <c r="M219" i="1"/>
  <c r="I220" i="1"/>
  <c r="M220" i="1"/>
  <c r="I221" i="1"/>
  <c r="M221" i="1"/>
  <c r="I222" i="1"/>
  <c r="M222" i="1"/>
  <c r="I223" i="1"/>
  <c r="M223" i="1"/>
  <c r="I224" i="1"/>
  <c r="M224" i="1"/>
  <c r="I225" i="1"/>
  <c r="M225" i="1"/>
  <c r="I226" i="1"/>
  <c r="M226" i="1"/>
  <c r="I227" i="1"/>
  <c r="M227" i="1"/>
  <c r="M97" i="1" l="1"/>
  <c r="I97" i="1"/>
  <c r="M96" i="1"/>
  <c r="I96" i="1"/>
  <c r="I98" i="1"/>
  <c r="M98" i="1"/>
  <c r="I99" i="1"/>
  <c r="M99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29" i="1"/>
  <c r="I29" i="1"/>
  <c r="M28" i="1"/>
  <c r="I28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  <c r="I47" i="1"/>
  <c r="M47" i="1"/>
  <c r="I48" i="1"/>
  <c r="M48" i="1"/>
  <c r="I49" i="1"/>
  <c r="M49" i="1"/>
  <c r="I50" i="1"/>
  <c r="M50" i="1"/>
  <c r="I51" i="1"/>
  <c r="M51" i="1"/>
  <c r="I52" i="1"/>
  <c r="M52" i="1"/>
  <c r="I53" i="1"/>
  <c r="M53" i="1"/>
  <c r="I54" i="1"/>
  <c r="M54" i="1"/>
  <c r="I55" i="1"/>
  <c r="M55" i="1"/>
  <c r="I56" i="1"/>
  <c r="M56" i="1"/>
  <c r="I58" i="1"/>
  <c r="M58" i="1"/>
  <c r="I59" i="1"/>
  <c r="M59" i="1"/>
  <c r="I60" i="1"/>
  <c r="M60" i="1"/>
  <c r="I61" i="1"/>
  <c r="M61" i="1"/>
  <c r="I62" i="1"/>
  <c r="M62" i="1"/>
  <c r="I63" i="1"/>
  <c r="M63" i="1"/>
  <c r="I64" i="1"/>
  <c r="M64" i="1"/>
  <c r="I65" i="1"/>
  <c r="M65" i="1"/>
  <c r="I66" i="1"/>
  <c r="M66" i="1"/>
  <c r="I67" i="1"/>
  <c r="M67" i="1"/>
  <c r="I68" i="1"/>
  <c r="M68" i="1"/>
  <c r="I69" i="1"/>
  <c r="M69" i="1"/>
  <c r="I70" i="1"/>
  <c r="M70" i="1"/>
  <c r="I71" i="1"/>
  <c r="M71" i="1"/>
  <c r="I72" i="1"/>
  <c r="M72" i="1"/>
  <c r="I73" i="1"/>
  <c r="M73" i="1"/>
  <c r="I74" i="1"/>
  <c r="M74" i="1"/>
  <c r="I75" i="1"/>
  <c r="M75" i="1"/>
  <c r="I88" i="1"/>
  <c r="M88" i="1"/>
  <c r="I89" i="1"/>
  <c r="M89" i="1"/>
  <c r="I90" i="1"/>
  <c r="M90" i="1"/>
  <c r="I91" i="1"/>
  <c r="M91" i="1"/>
  <c r="I92" i="1"/>
  <c r="M92" i="1"/>
  <c r="I93" i="1"/>
  <c r="M93" i="1"/>
  <c r="I94" i="1"/>
  <c r="M94" i="1"/>
  <c r="I95" i="1"/>
  <c r="M95" i="1"/>
  <c r="I100" i="1"/>
  <c r="M100" i="1"/>
  <c r="M6" i="1"/>
  <c r="I6" i="1"/>
  <c r="L2" i="1" l="1"/>
  <c r="H2" i="1"/>
  <c r="M2" i="1" l="1"/>
  <c r="I2" i="1"/>
  <c r="J2" i="1" l="1"/>
  <c r="N2" i="1"/>
</calcChain>
</file>

<file path=xl/sharedStrings.xml><?xml version="1.0" encoding="utf-8"?>
<sst xmlns="http://schemas.openxmlformats.org/spreadsheetml/2006/main" count="476" uniqueCount="288">
  <si>
    <t>MSRP</t>
    <phoneticPr fontId="2" type="noConversion"/>
  </si>
  <si>
    <t>MOA: 1000(만원)  / Lead Time: 2~3 Weeks</t>
    <phoneticPr fontId="2" type="noConversion"/>
  </si>
  <si>
    <t/>
  </si>
  <si>
    <t>메디필(MEDIPEEL)</t>
    <phoneticPr fontId="2" type="noConversion"/>
  </si>
  <si>
    <t>MEDIPEEL CELL TOXING DERMAJOURS ESSENCIAL SET</t>
  </si>
  <si>
    <t>HYALURON ROSE ENERGY TOX AMPOULE MASK 2X</t>
  </si>
  <si>
    <t>HYALURON VITA TORNING AMPOULE MASK</t>
  </si>
  <si>
    <t>MEDIPEEL VITAMIN BOMB REFRESHING MASK</t>
  </si>
  <si>
    <t>MEDIPEEL ROSE DIAMOND RADIANT GLOW MASK</t>
  </si>
  <si>
    <t>MEDI-PEEL PEARL COLLAGEN FIRMING GLOW MASK</t>
  </si>
  <si>
    <t>MEDIPEEL PEPTIDE 9 HYALURONIC VOLUMY EYE CREAM</t>
  </si>
  <si>
    <t>MEDIPEEL EYE TOX CREAM</t>
  </si>
  <si>
    <t>MEDIPEEL EXTRA SUPER 9 PLUS 2.0</t>
  </si>
  <si>
    <t>MEDIPEEL 24K GOLD SNAIL REPAIR CREAM</t>
  </si>
  <si>
    <t>MEDI-PEEL E.G.F. - PEEL TOX</t>
  </si>
  <si>
    <t>MEDI-PEEL CELL TOXING DERMAJOURS TONER</t>
  </si>
  <si>
    <t>MEDIPEEL EGF SCALING MOISTURE FOOT CREAM 2.0</t>
  </si>
  <si>
    <t>MEDIPEEL GOLD AGE TOX H8 CREAM</t>
  </si>
  <si>
    <t>ROYAL ROSE PREMIUM MODELING PACK</t>
  </si>
  <si>
    <t>MEDIPEEL DUTCH TEA A.C CALMING SERUM</t>
  </si>
  <si>
    <t>MEDI-PEEL DUTCH TEA BALANCING CREAM</t>
  </si>
  <si>
    <t>MEDI-PEEL DUTCH TEA BUBBLE CLEANSER</t>
  </si>
  <si>
    <t>MEDI-PEEL DUCTH TEA MATTIFYING MIST</t>
  </si>
  <si>
    <t>MEDIPEEL MICRO TEA POWDER CLEANSER</t>
  </si>
  <si>
    <t>MEDIPEE A.C TEA CLEAR</t>
  </si>
  <si>
    <t>MEDIPEEL ALGO-TOX DEEP CLEAR</t>
  </si>
  <si>
    <t>MEDIPEEL MEZZO FILLA EYE SERUM</t>
  </si>
  <si>
    <t>MEDI-PEEL TRANEX TONING 9 ESSENCE</t>
  </si>
  <si>
    <t>MEDIPEEL PEPTIDE-TOX BOR AMPOULE</t>
  </si>
  <si>
    <t>MEDIPEEL MELANON X CREAM RX</t>
  </si>
  <si>
    <t>MEDIPEEL CENTELLA MEZZO CREAM</t>
  </si>
  <si>
    <t>COLLAGEN SUPER 10 SLEEPING CREAM</t>
  </si>
  <si>
    <t>MEDI-PEEL PERFECT COOLING SKIN (FACE TYPE)</t>
  </si>
  <si>
    <t>MEDI-PEEL CICA ANTIO CREAM</t>
  </si>
  <si>
    <t>MEDI-PEEL HYALURON ROSE PEPTIDE 9 AMPOULE EYE PATCH</t>
  </si>
  <si>
    <t>MEDIPEEL HYALURON AQUA PEPTIDE 9 AMPOULE EYE PATCH</t>
  </si>
  <si>
    <t>MEDIPEEL HYALURON CICA PEPTIDE 9 AMPOULE EYE PATCH</t>
  </si>
  <si>
    <t>MEDIPEEL HYALURON DARK BENONE PEPTIDE 9 AMPOULE EYE PATCH</t>
  </si>
  <si>
    <t>MEDIPEEL PEPTIDE 9 AQUA ESSENCE TONER</t>
  </si>
  <si>
    <t>MEDIPEEL PEPTIDE 9 AQUA ESSENCE EMULSION</t>
  </si>
  <si>
    <t>MEDI-PEEL DEEP VC ULTRA CREAM</t>
  </si>
  <si>
    <t>MEDIPEEL RED LACTO COLLAGEN DOUBLE TIGHT PAD</t>
  </si>
  <si>
    <t>MEDI-PEEL RED LACTO COLLAGEN PORE LIFTING MASK</t>
  </si>
  <si>
    <t>RED LACTO COLLAGEN EYE PATCH.</t>
  </si>
  <si>
    <t>MEDIPEEL RED LACTO COLLAGEN WRAPPING MASK</t>
  </si>
  <si>
    <t>MEDIPEEL RED LACTO COLLAGEN CLEAR FOAM CLEANSER 2.0</t>
  </si>
  <si>
    <t>MEDIPEEL RED LACTO COLLAGEN SOOTHING ESSENCE TONER</t>
  </si>
  <si>
    <t>MEDIPEEL RED LACTO COLLAGEN TIGHTENING AMPOULE</t>
  </si>
  <si>
    <t>MEDIPEEL RED LACTO COLLAGEN BARRIER CREAM</t>
  </si>
  <si>
    <t>MEDI-PEEL SOLAXANTIN CREAM</t>
  </si>
  <si>
    <t>MEDIPEEL PHYTO CICA-NOL CREAM</t>
  </si>
  <si>
    <t>MEDIPEEL CELL TOXING DERMAJOURS CREAM</t>
  </si>
  <si>
    <t>MEDIPEEL CELL TOXING DERMAJOURS AMPOULE</t>
  </si>
  <si>
    <t>MEDI-PEEL AQUA MOOLTOX SPARKLING PAD</t>
  </si>
  <si>
    <t>MEDIPEEL VITAMIN RX. BODY LOTION</t>
  </si>
  <si>
    <t>MEDIPEEL POWER AQUA CREAM</t>
  </si>
  <si>
    <t>MEDIPEEL BIO INTENSE GLUTATHIONE WHITE AMPOULE 2.0</t>
  </si>
  <si>
    <t>MEDI-PEEL RX. GREEN VITAMIN AMPOULE</t>
  </si>
  <si>
    <t>MEDIPEEL GLUTAHIONE MULTI CARE KIT</t>
  </si>
  <si>
    <t>MEDIPEEL BIO INTENSE GLUTATHIONE WHITE CREAM</t>
  </si>
  <si>
    <t>MEDIPEEL BIO INTENSE GLUTATHIONE WHITE SILKY TONER</t>
  </si>
  <si>
    <t>MEDIPEEL PEPTIDE-TOX BOR MULTI CARE KIT</t>
  </si>
  <si>
    <t>MEDIPEEL PEPTIDE-TOX BOR CREAM</t>
  </si>
  <si>
    <t>MEDIPEEL PEPTIDE-TOX BOR TONER</t>
  </si>
  <si>
    <t>MEDI-PEEL PEPTIDE-TOX BOR WRINKLE STICK</t>
  </si>
  <si>
    <t>MEDIPEEL LIF TOX AMPOULE</t>
  </si>
  <si>
    <t>MEDIPEEL MELA PLUS TOX AMPOULE</t>
  </si>
  <si>
    <t>MEDIPEEL AQUA PLUS TOX AMPOULE</t>
  </si>
  <si>
    <t>MEDIPEEL PEPTI TOX AMPOULE</t>
  </si>
  <si>
    <t>MEDIPEEL DR. APPLE TOX PORE TONER</t>
  </si>
  <si>
    <t>MEDIPEEL VITAMIN RX. BODY WASH</t>
  </si>
  <si>
    <t>MEDIPEEL PEPTIDE 9 MELA STICK</t>
  </si>
  <si>
    <t>MEDI-PEEL LHA SOONSOO PEEL SERUM</t>
  </si>
  <si>
    <t>AHA+ BHA 28 DAYS HYAL CREAM 28-DAYS SKIN RECOVERY SOLUTION</t>
  </si>
  <si>
    <t>MEDIPEEL MELANON X DROP GEL CREAM</t>
  </si>
  <si>
    <t>MEDIPEEL MESO COLLAGEN TONER</t>
  </si>
  <si>
    <t>MEDI-PEEL HERB THERMAL CERAMIDE CREAM</t>
  </si>
  <si>
    <t>MEDIPEEL MELANON X LIPOSOM AMPOULE MIST</t>
  </si>
  <si>
    <t>MEDIPEEL PEPTIDE 9 VOLUME LIF-TOX EYE CREAM</t>
  </si>
  <si>
    <t>MEDIPEEL DENTIL GUM TOOTHPASTE</t>
  </si>
  <si>
    <t>MEDIPEEL PEPTIDE-TOX BOR EYE CREAM</t>
  </si>
  <si>
    <t>PEPTIDE 9 AQUA ESSENCE LIFTING EYE CREAM.</t>
  </si>
  <si>
    <t>MEDI-PEEL 24K GOLD SNAIL REPAIR EYE CREAM</t>
  </si>
  <si>
    <t>MEDIPEEL PEPTIDE 9 AQUA ESSENCE LIFTING AMPOULE</t>
  </si>
  <si>
    <t>MEDI-PEEL PEPTIDE 9 AQUA ESSENCE FACIAL CLEANSER</t>
  </si>
  <si>
    <t>MEDI-PEEL PHYTO CICA-NOL B5 MOISTURE SHAMPOO</t>
  </si>
  <si>
    <t>MEDI-PEEL PHYTO CICA-NOL B5 CALMING PAD</t>
  </si>
  <si>
    <t>MEDI-PEEL PHYTO CICA-NOL B5 AHA BHA VITAMIN CALMING TONER</t>
  </si>
  <si>
    <t>MEDI-PEEL COLLAGEN SUPER 10 SLEEPING CARE SET</t>
  </si>
  <si>
    <t>MEDI-PEEL AQUA MOOLTOX MEMORY CREAM</t>
  </si>
  <si>
    <t>MEDIPEEL HYAL KOMBUCHA TEA-TOX TONER</t>
  </si>
  <si>
    <t>MEDIPEEL HYAL KOMBUCHA TEA-TOX AMPOULE</t>
  </si>
  <si>
    <t>MEDIPEEL HYAL KOMBUCHA TEA-TOX CREAM</t>
  </si>
  <si>
    <t>MEDIPEEL CELL TOXING DERMAJOURS REPAIR EYE CREAM</t>
  </si>
  <si>
    <t>MEDI-PEEL CELL TOXING DERMAJOURS BLACK TRUFFLE REPAIR MASK</t>
  </si>
  <si>
    <t>MEDI-PEEL ALGO-TOX CALMING MOISTURE TONER</t>
  </si>
  <si>
    <t>MEDIPEEL RETINOL COLLAGEN LIFTING AMPOULE</t>
  </si>
  <si>
    <t>MEDIPEEL RETINOL COLLAGEN LIFTING CREAM</t>
  </si>
  <si>
    <t>MEDIPEEL RETINOL COLLAGEN LIFTING TONER</t>
  </si>
  <si>
    <t>MEDI-PEEL AQUA MOOLTOX SPARKLING ESSENCE</t>
  </si>
  <si>
    <t>MEDI-PEEL EXTRA SUPER 9 PLUS PORE TOX AMPOULE</t>
  </si>
  <si>
    <t>MEDI-PEEL EAZY FILLER AMPOULE</t>
  </si>
  <si>
    <t>MEDIPEEL EAZY FILLER CREAM</t>
  </si>
  <si>
    <t>MEDIPEEL EXTRA SUPER 9 PLUS ACTIVE STICK</t>
  </si>
  <si>
    <t>MEDIPEEL VEGAN VITAMIN COLLAGEN CLEAR GEL CLEANSER.</t>
  </si>
  <si>
    <t>MEDI-PEEL MELANON X AMPOULE</t>
  </si>
  <si>
    <t>MEDI-PEEL EAZY FILLER MULTI CARE KIT</t>
  </si>
  <si>
    <t>MEDIPEEL PREMIUM COLLAGEN NAITE THREAD NECK CREAM 3.0</t>
  </si>
  <si>
    <t>MEDI-PEEL GLUTATHIONE HYAL AQUA FOAMING GEL</t>
  </si>
  <si>
    <t>MEDIPEEL PEPTIDE 9 VOLUME ALL IN ONE ESSENCE PRO</t>
  </si>
  <si>
    <t>MEDIPEEL PEPTIDE 9 VOLUME WHITE CICA ESSENCE PRO</t>
  </si>
  <si>
    <t>MEDIPEEL PEPTID 9 VOLUME BIO TOX AMPOULE PRO</t>
  </si>
  <si>
    <t>MEDIPEEL PEPTIDE 9 VOLUME AND TENSION TOX CREAM PRO</t>
  </si>
  <si>
    <t>MEDIPEEL GREEN CICA COLLAGEN CLEAR GEL CLEANSER 2.0</t>
  </si>
  <si>
    <t>MEDIPEEL HERBAL PEEL TOX PRO</t>
  </si>
  <si>
    <t>MEDIPEEL PEPTIDE 9 VOLUME TOX CREAM PRO</t>
  </si>
  <si>
    <t>MEDI-PEEL VITAMIN DEEP-TOX CLEANGING OIL</t>
  </si>
  <si>
    <t>MEDI-PEEL LINE TOX MASSAGER</t>
  </si>
  <si>
    <t>MEDI-PEEL RETINOL COLLAGEN LIFTING TRIAL KIT</t>
  </si>
  <si>
    <t>MEDI-PEEL SPECIAL PERFUMED HAND CARE SET</t>
  </si>
  <si>
    <t>MEDIPEEL PREMIUM PEPTIDE NAITE 1000 SHOT NECK STICK2.0(N)</t>
  </si>
  <si>
    <t>MEDI-PEEL ALGO-TOX VITA CLEANSER</t>
  </si>
  <si>
    <t>MEDIPEEL PEPTIDE 9 VOLUME LIFTING EYE PATCH PRO</t>
  </si>
  <si>
    <t>MEDI-PEEL PEPTIDE 9 VOLUME LIFTING ALL IN ONE PODOAMPOULE PRO</t>
  </si>
  <si>
    <t>MEDIPEEL PEPTIDE 9 VOLUME LIFTING ALL IN ONE ESSENCE PRO</t>
  </si>
  <si>
    <t>MEDIPEEL PEPTID 9 VOLUME BIO TOX TONER PRO</t>
  </si>
  <si>
    <t>MEDI-PEEL HYALURONIC ACID LAYER MOOLTOX BODY LOTION</t>
  </si>
  <si>
    <t>MEDI-PEEL PEPTIDE-TOX BOR AMPOULE OIL</t>
  </si>
  <si>
    <t>MEDI-PEEL GLUTATHIONE HYAL AQUA TRIAL KIT</t>
  </si>
  <si>
    <t>MEDIPEEL PEPTIDE 9 AQUA ESSENCE TRIAL KIT</t>
  </si>
  <si>
    <t>MEDI-PEEL PEPTIDE 9 AQUA VOLUME TOX MIST PRO</t>
  </si>
  <si>
    <t>MEDI-PEEL HYALURONIC ACID LAYER MOOLTOX TONER</t>
  </si>
  <si>
    <t>MEDI-PEEL HYALURONIC ACID LAYER MOOLTOX AMPOULE</t>
  </si>
  <si>
    <t>MEDI-PEEL HYALURONIC ACID LAYER MOOLTOX CREAM</t>
  </si>
  <si>
    <t>MEDI-PEEL PEPTIDE 9 VOLUME BIO TOX TRIAL KIT</t>
  </si>
  <si>
    <t>MEDIPEEL PEPTIDE 9 VITANOL CREAM PRO</t>
  </si>
  <si>
    <t>MEDIPEEL HYALURONIC ACID LAYER MOOLTOX WRAPPING MASK</t>
  </si>
  <si>
    <t>MEDI-PEEL EGF SCALING MOISTURE FOOT SHAMPOO</t>
  </si>
  <si>
    <t>MEDI-PEEL VEGAN VITAMIN COLLAGEN CLEAR</t>
  </si>
  <si>
    <t>MEDIPEEL PHYTO CICA-NOL B5 3,000 SHOT SERUM</t>
  </si>
  <si>
    <t>MEDIPEEL PHYTO CICA-NOL B5 6,000 SHOT SERUM</t>
  </si>
  <si>
    <t>MEDI-PEEL VEGAN RED LACTO COLLAGEN MODELING CUP PACK</t>
  </si>
  <si>
    <t>MEDI-PEEL VEGAN GREEN CICA COLLAGEN MODELING CUP PACK</t>
  </si>
  <si>
    <t>MEDI-PEEL VEGAN VITAMIN COLLAGEN MODELING CUP PACK</t>
  </si>
  <si>
    <t>MEDI-PEEL VEGAN HYALURONIC ACID MOOLTOX MODELING CUP PACK</t>
  </si>
  <si>
    <t>MEDIPEEL PHYTO CICA-NOL B5 CALMING VEGAN WRAPPING MASK</t>
  </si>
  <si>
    <t>MEDIPEEL PEPTIDE 9 VITANOL AMPOULE PRO</t>
  </si>
  <si>
    <t>MEDI-PEEL RED LACTO COLLAGEN KONJAC PEELING GEL</t>
  </si>
  <si>
    <t>MEDIPEEL PREMIUM GOLDEN CAMELLIA WRINKLE CREAM</t>
  </si>
  <si>
    <t>MEDIPEEL PREMIUM GOLDEN CAMELLIA WRINKLE ESSENCE</t>
  </si>
  <si>
    <t>MEDI-PEEL LACTO PORE LIFTING MODELING PACK</t>
  </si>
  <si>
    <t>MEDI-PEEL CICA COOLING CALMING MODELING PACK</t>
  </si>
  <si>
    <t>MEDI-PEEL VITAMIN MELA TONING MODELING PACK</t>
  </si>
  <si>
    <t>MEDI-PEEL MOOLTOX GLOW MOISTURIZING MODELING PACK</t>
  </si>
  <si>
    <t>RED LACTO COLLAGEN SKIN CARE TRIAL KIT</t>
  </si>
  <si>
    <t>MEDI-PEEL RED LACTO COLLAGEN CLEANSING TRIAL KIT</t>
  </si>
  <si>
    <t>MEDIPEEL RED LACTO COLLAGEN CLEANSING OIL 2.0</t>
  </si>
  <si>
    <t>MEDI-PEEL RED LACTO COLLAGEN CLEANSING BALM</t>
  </si>
  <si>
    <t>MEDIPEEL PEPTIDE 9 PREMIUM SKINCARE SET</t>
  </si>
  <si>
    <t>MEDI-PEEL EGF SCALING MOISTURE BUBBLE FOOT SHAMPOO</t>
  </si>
  <si>
    <t>MEDI-PEEL MELANON X AMPOULE CLEANSER</t>
  </si>
  <si>
    <t>MEDI-PEEL RED LACTO COLLAGEN TIGHTENING AMPOULE</t>
  </si>
  <si>
    <t>MEDIPEEL VEGAN VITAMIN COLLAGEN WRAPPING MASK.</t>
  </si>
  <si>
    <t>MEDIPEEL RED LACTO COLLAGEN HYDRO GEL CREAM</t>
  </si>
  <si>
    <t>MEDIPEEL MOOLTOX PDRN EXOSOME AMPOULE</t>
  </si>
  <si>
    <t>MEDIPEEL EXTRA SUPER 9 PLUS GLOW LIFTING WRAPPING MASK</t>
  </si>
  <si>
    <t>MEDIPEEL IN MY POCKET WRAPPING MASK SET</t>
  </si>
  <si>
    <t>MEDIPEEL PEPTIDE 9 VOLUME BIO TOX GLOW WRAPPING MASK PRO</t>
  </si>
  <si>
    <t>MEDIPEEL LACTO PORE LIFTING PAD 2X</t>
  </si>
  <si>
    <t>MEDIPEEL CICA COOLING CALMING PAD 2X</t>
  </si>
  <si>
    <t>MEDIPEEL VITAMIN MELA TONING PAD 2X</t>
  </si>
  <si>
    <t>MEDIPEEL MOOLTOX GLOW MOISTURIZING PAD 2X</t>
  </si>
  <si>
    <t>MEDIPEEL LUXURY 24K GOLD AMPOULE</t>
  </si>
  <si>
    <t>MEDIPEEL ROYAL ROSE PREMIUM AMPOULE</t>
  </si>
  <si>
    <t>MEDIPEEL BIO-CELL BB CREAM</t>
  </si>
  <si>
    <t>HYALURON ROSE MOISTURE AMPOULE MASK</t>
  </si>
  <si>
    <t>CICA-NOL AMPOULE MASK</t>
  </si>
  <si>
    <t>MEDI-PEEL VEGAN VITAMIN COLLAGEN BRIGHTENING MASK</t>
  </si>
  <si>
    <t>PEPTIDE 9 VOLUME LIFTING MASK</t>
  </si>
  <si>
    <t>MEDI-PEEL GLUTATHIONE CRYSTAL TOMATO AMPOULE MASK.</t>
  </si>
  <si>
    <t>MEDI-PEEL HYAL VITAMIN RX MASK.</t>
  </si>
  <si>
    <t>GLUTATHIONE TONING TOX MASK</t>
  </si>
  <si>
    <t>TOX-BOR GOLD BOOSTING MASK</t>
  </si>
  <si>
    <t>MEDIPEEL PEPTIDE 9 VOLUME BIO TOX GRINDING CLEANSING BALM PRO</t>
  </si>
  <si>
    <t>MEDIPEEL YOUNG CICA PDRN TROUBLE SOOTHING ESSENCE TONER</t>
  </si>
  <si>
    <t>MEDIPEEL YOUNG CICA PDRN TROUBLE SOOTHING AMPOULE</t>
  </si>
  <si>
    <t>MEDIPEEL YOUNG CICA PDRN TROUBLE SOOTHING CREAM</t>
  </si>
  <si>
    <t>MEDIPEEL YOUNG CICA PDRN EXO-PIN HYALURONIC SERUM</t>
  </si>
  <si>
    <t>MEDIPEEL YOUNG CICA PDRN EXO-PIN BAKUCHIOL SERUM</t>
  </si>
  <si>
    <t>MEDIPEEL YOUNG CICA PDRN EXO-PIN GLUTATHIONE SERUM</t>
  </si>
  <si>
    <t>MEDIPEEL YOUNG CICA PDRN TROUBLE SOOTHING MASK</t>
  </si>
  <si>
    <t>MEDIPEEL PEPTIDE 9 VOLUME BIO TOX GRINDING LIP AND FACE AMPOULE BALM PRO</t>
  </si>
  <si>
    <t>MEDI-PEEL PHYTO CICA-NOL B5 CALMING VEGAN MASK</t>
  </si>
  <si>
    <t>MEDIPEEL RED LACTO COLLAGEN 3,000 SHOT SERUM</t>
  </si>
  <si>
    <t>MEDIPEEL RED CARE PATCH</t>
  </si>
  <si>
    <t>MEDIPEEL RED LACTO COLLAGEN BRIGHTENING PATCH</t>
  </si>
  <si>
    <t>MEDIPEEL RED LACTO COLLAGEN TROUBLE PATCH</t>
  </si>
  <si>
    <t>MEDIPEEL RED LACTO COLLAGEN 3000 SHOT SERUM 2 STEP MASK</t>
  </si>
  <si>
    <t>MEDIPEEL PHYTO CICA-NOL B5 3000 SHOT SERUM 2 STEP MASK</t>
  </si>
  <si>
    <t>MEDIPEEL PHYTO CICA-NOL B5 3000 SHOT SERUM 2 STEP MASK.</t>
  </si>
  <si>
    <t>MEDIPEEL EXTRA SUPER 9 PLUS 3X</t>
  </si>
  <si>
    <t>MEDIPEEL MOOLTOX PDRN HYAL DROP GEL CREAM</t>
  </si>
  <si>
    <t>MEDIPEEL PREMIUM COLLAGEN NAITE 1500 SHOT NECK PATCH 1.0</t>
  </si>
  <si>
    <t>MEDIPEEL PREMIUM COLLAGEN NAITE MASSAGE STICK 1.0</t>
  </si>
  <si>
    <t>MEDIPEEL VEGAN PDRN HYAL MOISTURE MASK</t>
  </si>
  <si>
    <t>100mlx1ea/50gx1ea/30mlx2ea/10gx1ea</t>
  </si>
  <si>
    <t>30mlx10ea</t>
  </si>
  <si>
    <t>25mlx10ea</t>
  </si>
  <si>
    <t>40ml</t>
  </si>
  <si>
    <t>100ml</t>
  </si>
  <si>
    <t>1,000ml</t>
  </si>
  <si>
    <t>50g</t>
  </si>
  <si>
    <t>70g</t>
  </si>
  <si>
    <t>250ml</t>
  </si>
  <si>
    <t>130g</t>
  </si>
  <si>
    <t>1kg</t>
  </si>
  <si>
    <t>70ml</t>
  </si>
  <si>
    <t>150ml</t>
  </si>
  <si>
    <t>50ml</t>
  </si>
  <si>
    <t>30ml</t>
  </si>
  <si>
    <t>FaceType</t>
  </si>
  <si>
    <t>1.6g(60pcs)</t>
  </si>
  <si>
    <t>120ml</t>
  </si>
  <si>
    <t>270ml</t>
  </si>
  <si>
    <t>300ml</t>
  </si>
  <si>
    <t>200ml</t>
  </si>
  <si>
    <t>80ml</t>
  </si>
  <si>
    <t>400ml</t>
  </si>
  <si>
    <t>30ml, 50g, 30ml, 30ml</t>
  </si>
  <si>
    <t>180ml</t>
  </si>
  <si>
    <t>10g</t>
  </si>
  <si>
    <t>30mlx3ea/50g</t>
  </si>
  <si>
    <t>35ml</t>
  </si>
  <si>
    <t>500ml</t>
  </si>
  <si>
    <t>20ml</t>
  </si>
  <si>
    <t>100g</t>
  </si>
  <si>
    <t>15ea</t>
  </si>
  <si>
    <t>30ml/10g</t>
  </si>
  <si>
    <t>30mlx5ea</t>
  </si>
  <si>
    <t>33g</t>
  </si>
  <si>
    <t>30mlx2ea</t>
  </si>
  <si>
    <t>120g</t>
  </si>
  <si>
    <t>20mlx1ea/15mlx2ea/15gx1ea</t>
  </si>
  <si>
    <t>30mlx3ea</t>
  </si>
  <si>
    <t>20g</t>
  </si>
  <si>
    <t>15ml</t>
  </si>
  <si>
    <t>15mlx1ea/15gx1ea/4mlx2ea</t>
  </si>
  <si>
    <t>20ml/10ml/10g/4ml</t>
  </si>
  <si>
    <t>28g</t>
  </si>
  <si>
    <t>95ml</t>
  </si>
  <si>
    <t>28gx12ea</t>
  </si>
  <si>
    <t>30ml,15ml,15ml,15ml</t>
  </si>
  <si>
    <t>20ml/15ml/16mlx4ea</t>
  </si>
  <si>
    <t>250mlx2ea/50gx1ea/30mlx2ea/10gx1ea</t>
  </si>
  <si>
    <t>4mlx10ea</t>
  </si>
  <si>
    <t>50매</t>
  </si>
  <si>
    <t>30mlx50ea,순바이오팜</t>
  </si>
  <si>
    <t>30mlx50ea,뷰티스킨</t>
  </si>
  <si>
    <t>30mlx50ea</t>
  </si>
  <si>
    <t>25mlx50ea</t>
  </si>
  <si>
    <t>25mlx100ea</t>
  </si>
  <si>
    <t>200 ml</t>
  </si>
  <si>
    <t>50 ml</t>
  </si>
  <si>
    <t>80 ml</t>
  </si>
  <si>
    <t>25ml</t>
  </si>
  <si>
    <t>14g</t>
  </si>
  <si>
    <t>350g(30매)</t>
  </si>
  <si>
    <t>102매</t>
  </si>
  <si>
    <t>12매</t>
  </si>
  <si>
    <t>1.5g+25ml</t>
  </si>
  <si>
    <t>(1.5g+25ml)*5ea</t>
  </si>
  <si>
    <t>3.5gx4ea</t>
  </si>
  <si>
    <t>55ml</t>
  </si>
  <si>
    <t>해외전용</t>
  </si>
  <si>
    <t>1 Box Quantity</t>
    <phoneticPr fontId="2" type="noConversion"/>
  </si>
  <si>
    <t>Volume</t>
    <phoneticPr fontId="2" type="noConversion"/>
  </si>
  <si>
    <t>Product name</t>
    <phoneticPr fontId="2" type="noConversion"/>
  </si>
  <si>
    <t>Barcode</t>
    <phoneticPr fontId="2" type="noConversion"/>
  </si>
  <si>
    <t>Supply Price</t>
    <phoneticPr fontId="2" type="noConversion"/>
  </si>
  <si>
    <t>Box</t>
    <phoneticPr fontId="2" type="noConversion"/>
  </si>
  <si>
    <t>Quantity</t>
    <phoneticPr fontId="2" type="noConversion"/>
  </si>
  <si>
    <t>Amount</t>
    <phoneticPr fontId="2" type="noConversion"/>
  </si>
  <si>
    <t>Total Amount</t>
    <phoneticPr fontId="2" type="noConversion"/>
  </si>
  <si>
    <t>Total Box</t>
    <phoneticPr fontId="2" type="noConversion"/>
  </si>
  <si>
    <t>Total Quantity</t>
    <phoneticPr fontId="2" type="noConversion"/>
  </si>
  <si>
    <t>Final Box</t>
    <phoneticPr fontId="2" type="noConversion"/>
  </si>
  <si>
    <t>Final Quantity</t>
    <phoneticPr fontId="2" type="noConversion"/>
  </si>
  <si>
    <t>Final 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</si>
</sst>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0_ "/>
    <numFmt numFmtId="177" formatCode="[$₩-412]#,##0;\-[$₩-412]#,##0"/>
    <numFmt numFmtId="178" formatCode="#,##0_ "/>
    <numFmt numFmtId="179" formatCode="[$₩-412]#,##0"/>
    <numFmt numFmtId="180" formatCode="0_);[Red]\(0\)"/>
  </numFmts>
  <fonts count="1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2"/>
      <scheme val="minor"/>
    </font>
    <font>
      <sz val="12"/>
      <name val="宋体"/>
      <family val="3"/>
      <charset val="129"/>
    </font>
    <font>
      <sz val="10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나눔고딕"/>
      <family val="3"/>
      <charset val="129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9" fillId="0" borderId="0">
      <alignment vertical="center"/>
    </xf>
    <xf numFmtId="0" fontId="13" fillId="0" borderId="0"/>
  </cellStyleXfs>
  <cellXfs count="6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0" fontId="4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41" fontId="3" fillId="0" borderId="1" xfId="1" applyFont="1" applyBorder="1" applyAlignment="1">
      <alignment horizontal="center" vertical="center"/>
    </xf>
    <xf numFmtId="0" fontId="7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/>
    </xf>
    <xf numFmtId="178" fontId="4" fillId="4" borderId="1" xfId="0" applyNumberFormat="1" applyFont="1" applyFill="1" applyBorder="1" applyAlignment="1">
      <alignment horizontal="center" vertical="center" wrapText="1"/>
    </xf>
    <xf numFmtId="41" fontId="3" fillId="4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3" fillId="5" borderId="0" xfId="0" applyNumberFormat="1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178" fontId="3" fillId="5" borderId="0" xfId="0" applyNumberFormat="1" applyFont="1" applyFill="1" applyAlignment="1">
      <alignment horizontal="center" vertical="center" wrapText="1"/>
    </xf>
    <xf numFmtId="177" fontId="3" fillId="5" borderId="0" xfId="0" applyNumberFormat="1" applyFont="1" applyFill="1" applyAlignment="1">
      <alignment horizontal="center" vertical="center" wrapText="1"/>
    </xf>
    <xf numFmtId="0" fontId="0" fillId="5" borderId="0" xfId="0" applyFill="1">
      <alignment vertical="center"/>
    </xf>
    <xf numFmtId="41" fontId="3" fillId="5" borderId="0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9" fontId="4" fillId="5" borderId="1" xfId="0" applyNumberFormat="1" applyFont="1" applyFill="1" applyBorder="1">
      <alignment vertical="center"/>
    </xf>
    <xf numFmtId="0" fontId="10" fillId="5" borderId="2" xfId="0" applyFont="1" applyFill="1" applyBorder="1" applyAlignment="1">
      <alignment horizontal="center" vertical="center" wrapText="1" shrinkToFit="1"/>
    </xf>
    <xf numFmtId="0" fontId="11" fillId="5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 shrinkToFit="1"/>
    </xf>
    <xf numFmtId="0" fontId="10" fillId="5" borderId="2" xfId="0" quotePrefix="1" applyFont="1" applyFill="1" applyBorder="1" applyAlignment="1">
      <alignment horizontal="center" vertical="center" wrapText="1" shrinkToFit="1"/>
    </xf>
    <xf numFmtId="180" fontId="3" fillId="5" borderId="1" xfId="1" applyNumberFormat="1" applyFont="1" applyFill="1" applyBorder="1" applyAlignment="1">
      <alignment horizontal="center" vertical="center" wrapText="1"/>
    </xf>
    <xf numFmtId="41" fontId="5" fillId="3" borderId="1" xfId="1" applyFont="1" applyFill="1" applyBorder="1" applyAlignment="1">
      <alignment horizontal="center" vertical="center"/>
    </xf>
    <xf numFmtId="41" fontId="5" fillId="4" borderId="1" xfId="1" applyFont="1" applyFill="1" applyBorder="1" applyAlignment="1">
      <alignment horizontal="center" vertical="center"/>
    </xf>
    <xf numFmtId="26" fontId="5" fillId="4" borderId="1" xfId="0" applyNumberFormat="1" applyFont="1" applyFill="1" applyBorder="1" applyAlignment="1">
      <alignment horizontal="center" vertical="center"/>
    </xf>
    <xf numFmtId="26" fontId="5" fillId="4" borderId="1" xfId="1" applyNumberFormat="1" applyFont="1" applyFill="1" applyBorder="1" applyAlignment="1">
      <alignment horizontal="center" vertical="center"/>
    </xf>
    <xf numFmtId="26" fontId="3" fillId="4" borderId="0" xfId="0" applyNumberFormat="1" applyFont="1" applyFill="1" applyAlignment="1">
      <alignment horizontal="center" vertical="center"/>
    </xf>
    <xf numFmtId="26" fontId="4" fillId="4" borderId="1" xfId="0" applyNumberFormat="1" applyFont="1" applyFill="1" applyBorder="1" applyAlignment="1">
      <alignment horizontal="center" vertical="center" wrapText="1"/>
    </xf>
    <xf numFmtId="26" fontId="3" fillId="4" borderId="1" xfId="2" applyNumberFormat="1" applyFont="1" applyFill="1" applyBorder="1" applyAlignment="1">
      <alignment horizontal="center" vertical="center"/>
    </xf>
    <xf numFmtId="26" fontId="0" fillId="5" borderId="0" xfId="0" applyNumberFormat="1" applyFill="1" applyAlignment="1">
      <alignment horizontal="center" vertical="center"/>
    </xf>
    <xf numFmtId="26" fontId="3" fillId="0" borderId="0" xfId="0" applyNumberFormat="1" applyFont="1">
      <alignment vertical="center"/>
    </xf>
    <xf numFmtId="26" fontId="4" fillId="2" borderId="1" xfId="0" applyNumberFormat="1" applyFont="1" applyFill="1" applyBorder="1" applyAlignment="1">
      <alignment horizontal="center" vertical="center"/>
    </xf>
    <xf numFmtId="26" fontId="4" fillId="5" borderId="1" xfId="0" applyNumberFormat="1" applyFont="1" applyFill="1" applyBorder="1">
      <alignment vertical="center"/>
    </xf>
    <xf numFmtId="26" fontId="0" fillId="5" borderId="0" xfId="0" applyNumberFormat="1" applyFill="1">
      <alignment vertical="center"/>
    </xf>
    <xf numFmtId="26" fontId="5" fillId="3" borderId="1" xfId="0" applyNumberFormat="1" applyFont="1" applyFill="1" applyBorder="1" applyAlignment="1">
      <alignment horizontal="center" vertical="center"/>
    </xf>
    <xf numFmtId="26" fontId="5" fillId="3" borderId="1" xfId="1" applyNumberFormat="1" applyFont="1" applyFill="1" applyBorder="1" applyAlignment="1">
      <alignment horizontal="center" vertical="center"/>
    </xf>
    <xf numFmtId="26" fontId="3" fillId="0" borderId="0" xfId="0" applyNumberFormat="1" applyFont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 wrapText="1"/>
    </xf>
    <xf numFmtId="26" fontId="3" fillId="0" borderId="1" xfId="2" applyNumberFormat="1" applyFont="1" applyBorder="1" applyAlignment="1">
      <alignment horizontal="center" vertical="center"/>
    </xf>
    <xf numFmtId="180" fontId="3" fillId="6" borderId="1" xfId="1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 shrinkToFi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 wrapText="1"/>
    </xf>
    <xf numFmtId="179" fontId="4" fillId="6" borderId="1" xfId="0" applyNumberFormat="1" applyFont="1" applyFill="1" applyBorder="1">
      <alignment vertical="center"/>
    </xf>
    <xf numFmtId="26" fontId="4" fillId="6" borderId="1" xfId="0" applyNumberFormat="1" applyFont="1" applyFill="1" applyBorder="1">
      <alignment vertical="center"/>
    </xf>
    <xf numFmtId="41" fontId="3" fillId="6" borderId="1" xfId="1" applyFont="1" applyFill="1" applyBorder="1" applyAlignment="1">
      <alignment horizontal="center" vertical="center"/>
    </xf>
    <xf numFmtId="26" fontId="3" fillId="6" borderId="1" xfId="2" applyNumberFormat="1" applyFont="1" applyFill="1" applyBorder="1" applyAlignment="1">
      <alignment horizontal="center" vertical="center"/>
    </xf>
    <xf numFmtId="0" fontId="0" fillId="6" borderId="0" xfId="0" applyFill="1">
      <alignment vertical="center"/>
    </xf>
    <xf numFmtId="0" fontId="11" fillId="6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 shrinkToFit="1"/>
    </xf>
  </cellXfs>
  <cellStyles count="6">
    <cellStyle name="쉼표 [0]" xfId="1" builtinId="6"/>
    <cellStyle name="통화 [0]" xfId="2" builtinId="7"/>
    <cellStyle name="표준" xfId="0" builtinId="0"/>
    <cellStyle name="표준 2" xfId="5" xr:uid="{17964BFB-3E94-444A-8C5F-D320BFD87945}"/>
    <cellStyle name="표준 3" xfId="3" xr:uid="{884AF9A2-B824-479A-9DD7-548E9C3E6AA0}"/>
    <cellStyle name="표준 4" xfId="4" xr:uid="{1206423A-B157-45DF-8CCA-040FA2BD09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0E6-7D22-4D7B-BBF9-F2A94541C08D}">
  <dimension ref="A1:N227"/>
  <sheetViews>
    <sheetView tabSelected="1" zoomScale="85" zoomScaleNormal="85" workbookViewId="0">
      <pane ySplit="5" topLeftCell="A63" activePane="bottomLeft" state="frozen"/>
      <selection pane="bottomLeft" activeCell="C86" sqref="C86"/>
    </sheetView>
  </sheetViews>
  <sheetFormatPr defaultRowHeight="16.5"/>
  <cols>
    <col min="1" max="1" width="18.625" style="20" customWidth="1"/>
    <col min="2" max="2" width="57.375" style="21" customWidth="1"/>
    <col min="3" max="3" width="9.625" style="22" bestFit="1" customWidth="1"/>
    <col min="4" max="4" width="15.125" style="23" bestFit="1" customWidth="1"/>
    <col min="5" max="5" width="10" style="24" bestFit="1" customWidth="1"/>
    <col min="6" max="6" width="10.375" style="25" customWidth="1"/>
    <col min="7" max="7" width="10.375" style="48" customWidth="1"/>
    <col min="8" max="8" width="13.25" style="26" bestFit="1" customWidth="1"/>
    <col min="9" max="9" width="12.125" style="27" bestFit="1" customWidth="1"/>
    <col min="10" max="10" width="15.25" style="44" bestFit="1" customWidth="1"/>
    <col min="11" max="11" width="4.625" style="25" customWidth="1"/>
    <col min="12" max="12" width="13.25" style="26" bestFit="1" customWidth="1"/>
    <col min="13" max="13" width="13.25" style="25" bestFit="1" customWidth="1"/>
    <col min="14" max="14" width="12.625" style="48" bestFit="1" customWidth="1"/>
    <col min="15" max="16384" width="9" style="25"/>
  </cols>
  <sheetData>
    <row r="1" spans="1:14" customFormat="1" ht="31.5">
      <c r="A1" s="11" t="s">
        <v>3</v>
      </c>
      <c r="B1" s="2"/>
      <c r="C1" s="8"/>
      <c r="D1" s="1"/>
      <c r="E1" s="1"/>
      <c r="F1" s="1"/>
      <c r="G1" s="45"/>
      <c r="H1" s="14" t="s">
        <v>283</v>
      </c>
      <c r="I1" s="14" t="s">
        <v>284</v>
      </c>
      <c r="J1" s="39" t="s">
        <v>282</v>
      </c>
      <c r="L1" s="9" t="s">
        <v>285</v>
      </c>
      <c r="M1" s="9" t="s">
        <v>286</v>
      </c>
      <c r="N1" s="49" t="s">
        <v>287</v>
      </c>
    </row>
    <row r="2" spans="1:14" customFormat="1">
      <c r="A2" s="10" t="s">
        <v>1</v>
      </c>
      <c r="B2" s="2"/>
      <c r="C2" s="8"/>
      <c r="D2" s="1"/>
      <c r="E2" s="1"/>
      <c r="F2" s="1"/>
      <c r="G2" s="45"/>
      <c r="H2" s="38">
        <f>SUM(H6:H1048576)</f>
        <v>0</v>
      </c>
      <c r="I2" s="38">
        <f>SUM(I6:I1048576)</f>
        <v>0</v>
      </c>
      <c r="J2" s="40">
        <f>SUM(J6:J1048576)</f>
        <v>0</v>
      </c>
      <c r="L2" s="37">
        <f>SUM(L6:L1048576)</f>
        <v>0</v>
      </c>
      <c r="M2" s="37">
        <f>SUM(M6:M1048576)</f>
        <v>0</v>
      </c>
      <c r="N2" s="50">
        <f>SUM(N6:N1048576)</f>
        <v>0</v>
      </c>
    </row>
    <row r="3" spans="1:14" customFormat="1">
      <c r="A3" s="13"/>
      <c r="B3" s="2"/>
      <c r="C3" s="8"/>
      <c r="D3" s="1"/>
      <c r="E3" s="1"/>
      <c r="F3" s="1"/>
      <c r="G3" s="45"/>
      <c r="H3" s="38"/>
      <c r="I3" s="38"/>
      <c r="J3" s="40"/>
      <c r="L3" s="37"/>
      <c r="M3" s="37"/>
      <c r="N3" s="50"/>
    </row>
    <row r="4" spans="1:14" customFormat="1">
      <c r="A4" s="1"/>
      <c r="B4" s="2"/>
      <c r="C4" s="8"/>
      <c r="D4" s="1"/>
      <c r="E4" s="1"/>
      <c r="F4" s="1"/>
      <c r="G4" s="45"/>
      <c r="H4" s="15"/>
      <c r="I4" s="15"/>
      <c r="J4" s="41"/>
      <c r="L4" s="8"/>
      <c r="M4" s="8"/>
      <c r="N4" s="51"/>
    </row>
    <row r="5" spans="1:14" customFormat="1">
      <c r="A5" s="3" t="s">
        <v>277</v>
      </c>
      <c r="B5" s="19" t="s">
        <v>276</v>
      </c>
      <c r="C5" s="19" t="s">
        <v>275</v>
      </c>
      <c r="D5" s="4" t="s">
        <v>274</v>
      </c>
      <c r="E5" s="5" t="s">
        <v>0</v>
      </c>
      <c r="F5" s="6" t="s">
        <v>278</v>
      </c>
      <c r="G5" s="46" t="s">
        <v>278</v>
      </c>
      <c r="H5" s="16" t="s">
        <v>279</v>
      </c>
      <c r="I5" s="17" t="s">
        <v>280</v>
      </c>
      <c r="J5" s="42" t="s">
        <v>281</v>
      </c>
      <c r="L5" s="7" t="s">
        <v>279</v>
      </c>
      <c r="M5" s="4" t="s">
        <v>280</v>
      </c>
      <c r="N5" s="52" t="s">
        <v>281</v>
      </c>
    </row>
    <row r="6" spans="1:14" ht="80.099999999999994" customHeight="1">
      <c r="A6" s="36">
        <v>8809409346786</v>
      </c>
      <c r="B6" s="35" t="s">
        <v>4</v>
      </c>
      <c r="C6" s="28" t="s">
        <v>205</v>
      </c>
      <c r="D6" s="29">
        <v>20</v>
      </c>
      <c r="E6" s="30">
        <v>133000</v>
      </c>
      <c r="F6" s="31">
        <v>28974</v>
      </c>
      <c r="G6" s="47">
        <f>F6/1340</f>
        <v>21.622388059701493</v>
      </c>
      <c r="H6" s="18"/>
      <c r="I6" s="18">
        <f>H6*D6</f>
        <v>0</v>
      </c>
      <c r="J6" s="43">
        <f>G6*I6</f>
        <v>0</v>
      </c>
      <c r="K6"/>
      <c r="L6" s="12"/>
      <c r="M6" s="12">
        <f>L6*D6</f>
        <v>0</v>
      </c>
      <c r="N6" s="53">
        <f>G6*M6</f>
        <v>0</v>
      </c>
    </row>
    <row r="7" spans="1:14" ht="80.099999999999994" customHeight="1">
      <c r="A7" s="36">
        <v>8809409343747</v>
      </c>
      <c r="B7" s="32" t="s">
        <v>5</v>
      </c>
      <c r="C7" s="28" t="s">
        <v>206</v>
      </c>
      <c r="D7" s="29">
        <v>20</v>
      </c>
      <c r="E7" s="30">
        <v>30000</v>
      </c>
      <c r="F7" s="31">
        <v>7986</v>
      </c>
      <c r="G7" s="47">
        <f t="shared" ref="G7:G70" si="0">F7/1340</f>
        <v>5.9597014925373131</v>
      </c>
      <c r="H7" s="18"/>
      <c r="I7" s="18">
        <f>H7*D7</f>
        <v>0</v>
      </c>
      <c r="J7" s="43">
        <f t="shared" ref="J7:J70" si="1">G7*I7</f>
        <v>0</v>
      </c>
      <c r="K7"/>
      <c r="L7" s="12"/>
      <c r="M7" s="12">
        <f>L7*D7</f>
        <v>0</v>
      </c>
      <c r="N7" s="53">
        <f t="shared" ref="N7:N70" si="2">G7*M7</f>
        <v>0</v>
      </c>
    </row>
    <row r="8" spans="1:14" ht="80.099999999999994" customHeight="1">
      <c r="A8" s="36">
        <v>8809409343754</v>
      </c>
      <c r="B8" s="32" t="s">
        <v>6</v>
      </c>
      <c r="C8" s="28" t="s">
        <v>206</v>
      </c>
      <c r="D8" s="29">
        <v>20</v>
      </c>
      <c r="E8" s="30">
        <v>30000</v>
      </c>
      <c r="F8" s="31">
        <v>7986</v>
      </c>
      <c r="G8" s="47">
        <f t="shared" si="0"/>
        <v>5.9597014925373131</v>
      </c>
      <c r="H8" s="18"/>
      <c r="I8" s="18">
        <f>H8*D8</f>
        <v>0</v>
      </c>
      <c r="J8" s="43">
        <f t="shared" si="1"/>
        <v>0</v>
      </c>
      <c r="K8"/>
      <c r="L8" s="12"/>
      <c r="M8" s="12">
        <f>L8*D8</f>
        <v>0</v>
      </c>
      <c r="N8" s="53">
        <f t="shared" si="2"/>
        <v>0</v>
      </c>
    </row>
    <row r="9" spans="1:14" ht="80.099999999999994" customHeight="1">
      <c r="A9" s="36">
        <v>8809409345383</v>
      </c>
      <c r="B9" s="32" t="s">
        <v>7</v>
      </c>
      <c r="C9" s="28" t="s">
        <v>207</v>
      </c>
      <c r="D9" s="29">
        <v>30</v>
      </c>
      <c r="E9" s="30">
        <v>25000</v>
      </c>
      <c r="F9" s="31">
        <v>6347</v>
      </c>
      <c r="G9" s="47">
        <f t="shared" si="0"/>
        <v>4.7365671641791041</v>
      </c>
      <c r="H9" s="18"/>
      <c r="I9" s="18">
        <f>H9*D9</f>
        <v>0</v>
      </c>
      <c r="J9" s="43">
        <f t="shared" si="1"/>
        <v>0</v>
      </c>
      <c r="K9"/>
      <c r="L9" s="12"/>
      <c r="M9" s="12">
        <f>L9*D9</f>
        <v>0</v>
      </c>
      <c r="N9" s="53">
        <f t="shared" si="2"/>
        <v>0</v>
      </c>
    </row>
    <row r="10" spans="1:14" ht="80.099999999999994" customHeight="1">
      <c r="A10" s="36">
        <v>8809409345437</v>
      </c>
      <c r="B10" s="32" t="s">
        <v>8</v>
      </c>
      <c r="C10" s="28" t="s">
        <v>207</v>
      </c>
      <c r="D10" s="29">
        <v>30</v>
      </c>
      <c r="E10" s="30">
        <v>25000</v>
      </c>
      <c r="F10" s="31">
        <v>6347</v>
      </c>
      <c r="G10" s="47">
        <f t="shared" si="0"/>
        <v>4.7365671641791041</v>
      </c>
      <c r="H10" s="18"/>
      <c r="I10" s="18">
        <f>H10*D10</f>
        <v>0</v>
      </c>
      <c r="J10" s="43">
        <f t="shared" si="1"/>
        <v>0</v>
      </c>
      <c r="K10"/>
      <c r="L10" s="12"/>
      <c r="M10" s="12">
        <f>L10*D10</f>
        <v>0</v>
      </c>
      <c r="N10" s="53">
        <f t="shared" si="2"/>
        <v>0</v>
      </c>
    </row>
    <row r="11" spans="1:14" ht="80.099999999999994" customHeight="1">
      <c r="A11" s="36">
        <v>8809409345376</v>
      </c>
      <c r="B11" s="32" t="s">
        <v>9</v>
      </c>
      <c r="C11" s="28" t="s">
        <v>207</v>
      </c>
      <c r="D11" s="29">
        <v>30</v>
      </c>
      <c r="E11" s="30">
        <v>25000</v>
      </c>
      <c r="F11" s="31">
        <v>6347</v>
      </c>
      <c r="G11" s="47">
        <f t="shared" si="0"/>
        <v>4.7365671641791041</v>
      </c>
      <c r="H11" s="18"/>
      <c r="I11" s="18">
        <f>H11*D11</f>
        <v>0</v>
      </c>
      <c r="J11" s="43">
        <f t="shared" si="1"/>
        <v>0</v>
      </c>
      <c r="K11"/>
      <c r="L11" s="12"/>
      <c r="M11" s="12">
        <f>L11*D11</f>
        <v>0</v>
      </c>
      <c r="N11" s="53">
        <f t="shared" si="2"/>
        <v>0</v>
      </c>
    </row>
    <row r="12" spans="1:14" ht="80.099999999999994" customHeight="1">
      <c r="A12" s="54">
        <v>8809409343327</v>
      </c>
      <c r="B12" s="55" t="s">
        <v>10</v>
      </c>
      <c r="C12" s="56" t="s">
        <v>208</v>
      </c>
      <c r="D12" s="57">
        <v>117</v>
      </c>
      <c r="E12" s="58">
        <v>56000</v>
      </c>
      <c r="F12" s="59"/>
      <c r="G12" s="60"/>
      <c r="H12" s="61"/>
      <c r="I12" s="61">
        <f>H12*D12</f>
        <v>0</v>
      </c>
      <c r="J12" s="62">
        <f t="shared" si="1"/>
        <v>0</v>
      </c>
      <c r="K12" s="63"/>
      <c r="L12" s="61"/>
      <c r="M12" s="61">
        <f>L12*D12</f>
        <v>0</v>
      </c>
      <c r="N12" s="62">
        <f t="shared" si="2"/>
        <v>0</v>
      </c>
    </row>
    <row r="13" spans="1:14" ht="80.099999999999994" customHeight="1">
      <c r="A13" s="36">
        <v>8809409340432</v>
      </c>
      <c r="B13" s="32" t="s">
        <v>11</v>
      </c>
      <c r="C13" s="28" t="s">
        <v>208</v>
      </c>
      <c r="D13" s="29">
        <v>121</v>
      </c>
      <c r="E13" s="30">
        <v>56000</v>
      </c>
      <c r="F13" s="31">
        <v>4466</v>
      </c>
      <c r="G13" s="47">
        <f t="shared" si="0"/>
        <v>3.3328358208955224</v>
      </c>
      <c r="H13" s="18"/>
      <c r="I13" s="18">
        <f>H13*D13</f>
        <v>0</v>
      </c>
      <c r="J13" s="43">
        <f t="shared" si="1"/>
        <v>0</v>
      </c>
      <c r="K13"/>
      <c r="L13" s="12"/>
      <c r="M13" s="12">
        <f>L13*D13</f>
        <v>0</v>
      </c>
      <c r="N13" s="53">
        <f t="shared" si="2"/>
        <v>0</v>
      </c>
    </row>
    <row r="14" spans="1:14" ht="80.099999999999994" customHeight="1">
      <c r="A14" s="36">
        <v>8809409340951</v>
      </c>
      <c r="B14" s="32" t="s">
        <v>12</v>
      </c>
      <c r="C14" s="28" t="s">
        <v>209</v>
      </c>
      <c r="D14" s="29">
        <v>100</v>
      </c>
      <c r="E14" s="30">
        <v>20000</v>
      </c>
      <c r="F14" s="31">
        <v>5753</v>
      </c>
      <c r="G14" s="47">
        <f t="shared" si="0"/>
        <v>4.2932835820895523</v>
      </c>
      <c r="H14" s="18"/>
      <c r="I14" s="18">
        <f>H14*D14</f>
        <v>0</v>
      </c>
      <c r="J14" s="43">
        <f t="shared" si="1"/>
        <v>0</v>
      </c>
      <c r="K14"/>
      <c r="L14" s="12"/>
      <c r="M14" s="12">
        <f>L14*D14</f>
        <v>0</v>
      </c>
      <c r="N14" s="53">
        <f t="shared" si="2"/>
        <v>0</v>
      </c>
    </row>
    <row r="15" spans="1:14" ht="80.099999999999994" customHeight="1">
      <c r="A15" s="36">
        <v>8809409341477</v>
      </c>
      <c r="B15" s="33" t="s">
        <v>12</v>
      </c>
      <c r="C15" s="28" t="s">
        <v>210</v>
      </c>
      <c r="D15" s="29">
        <v>15</v>
      </c>
      <c r="E15" s="30">
        <v>210000</v>
      </c>
      <c r="F15" s="31">
        <v>35178</v>
      </c>
      <c r="G15" s="47">
        <f t="shared" si="0"/>
        <v>26.252238805970148</v>
      </c>
      <c r="H15" s="18"/>
      <c r="I15" s="18">
        <f>H15*D15</f>
        <v>0</v>
      </c>
      <c r="J15" s="43">
        <f t="shared" si="1"/>
        <v>0</v>
      </c>
      <c r="K15"/>
      <c r="L15" s="12"/>
      <c r="M15" s="12">
        <f>L15*D15</f>
        <v>0</v>
      </c>
      <c r="N15" s="53">
        <f t="shared" si="2"/>
        <v>0</v>
      </c>
    </row>
    <row r="16" spans="1:14" ht="80.099999999999994" customHeight="1">
      <c r="A16" s="36">
        <v>8809409345758</v>
      </c>
      <c r="B16" s="32" t="s">
        <v>13</v>
      </c>
      <c r="C16" s="28" t="s">
        <v>211</v>
      </c>
      <c r="D16" s="29">
        <v>36</v>
      </c>
      <c r="E16" s="30">
        <v>58000</v>
      </c>
      <c r="F16" s="31">
        <v>11858</v>
      </c>
      <c r="G16" s="47">
        <f t="shared" si="0"/>
        <v>8.8492537313432837</v>
      </c>
      <c r="H16" s="18"/>
      <c r="I16" s="18">
        <f>H16*D16</f>
        <v>0</v>
      </c>
      <c r="J16" s="43">
        <f t="shared" si="1"/>
        <v>0</v>
      </c>
      <c r="K16"/>
      <c r="L16" s="12"/>
      <c r="M16" s="12">
        <f>L16*D16</f>
        <v>0</v>
      </c>
      <c r="N16" s="53">
        <f t="shared" si="2"/>
        <v>0</v>
      </c>
    </row>
    <row r="17" spans="1:14" ht="80.099999999999994" customHeight="1">
      <c r="A17" s="36">
        <v>8809409348193</v>
      </c>
      <c r="B17" s="32" t="s">
        <v>14</v>
      </c>
      <c r="C17" s="28" t="s">
        <v>212</v>
      </c>
      <c r="D17" s="29">
        <v>100</v>
      </c>
      <c r="E17" s="30">
        <v>54000</v>
      </c>
      <c r="F17" s="31">
        <v>10098</v>
      </c>
      <c r="G17" s="47">
        <f t="shared" si="0"/>
        <v>7.535820895522388</v>
      </c>
      <c r="H17" s="18"/>
      <c r="I17" s="18">
        <f>H17*D17</f>
        <v>0</v>
      </c>
      <c r="J17" s="43">
        <f t="shared" si="1"/>
        <v>0</v>
      </c>
      <c r="K17"/>
      <c r="L17" s="12"/>
      <c r="M17" s="12">
        <f>L17*D17</f>
        <v>0</v>
      </c>
      <c r="N17" s="53">
        <f t="shared" si="2"/>
        <v>0</v>
      </c>
    </row>
    <row r="18" spans="1:14" ht="80.099999999999994" customHeight="1">
      <c r="A18" s="36">
        <v>8809409346793</v>
      </c>
      <c r="B18" s="32" t="s">
        <v>2</v>
      </c>
      <c r="C18" s="28" t="s">
        <v>213</v>
      </c>
      <c r="D18" s="29">
        <v>54</v>
      </c>
      <c r="E18" s="30">
        <v>70000</v>
      </c>
      <c r="F18" s="31">
        <v>11385</v>
      </c>
      <c r="G18" s="47">
        <f t="shared" si="0"/>
        <v>8.4962686567164187</v>
      </c>
      <c r="H18" s="18"/>
      <c r="I18" s="18">
        <f>H18*D18</f>
        <v>0</v>
      </c>
      <c r="J18" s="43">
        <f t="shared" si="1"/>
        <v>0</v>
      </c>
      <c r="K18"/>
      <c r="L18" s="12"/>
      <c r="M18" s="12">
        <f>L18*D18</f>
        <v>0</v>
      </c>
      <c r="N18" s="53">
        <f t="shared" si="2"/>
        <v>0</v>
      </c>
    </row>
    <row r="19" spans="1:14" ht="80.099999999999994" customHeight="1">
      <c r="A19" s="36">
        <v>8809409346793</v>
      </c>
      <c r="B19" s="32" t="s">
        <v>15</v>
      </c>
      <c r="C19" s="28" t="s">
        <v>213</v>
      </c>
      <c r="D19" s="29">
        <v>60</v>
      </c>
      <c r="E19" s="30">
        <v>70000</v>
      </c>
      <c r="F19" s="31">
        <v>11385</v>
      </c>
      <c r="G19" s="47">
        <f t="shared" si="0"/>
        <v>8.4962686567164187</v>
      </c>
      <c r="H19" s="18"/>
      <c r="I19" s="18">
        <f>H19*D19</f>
        <v>0</v>
      </c>
      <c r="J19" s="43">
        <f t="shared" si="1"/>
        <v>0</v>
      </c>
      <c r="K19"/>
      <c r="L19" s="12"/>
      <c r="M19" s="12">
        <f>L19*D19</f>
        <v>0</v>
      </c>
      <c r="N19" s="53">
        <f t="shared" si="2"/>
        <v>0</v>
      </c>
    </row>
    <row r="20" spans="1:14" ht="80.099999999999994" customHeight="1">
      <c r="A20" s="36">
        <v>8809941826159</v>
      </c>
      <c r="B20" s="32" t="s">
        <v>16</v>
      </c>
      <c r="C20" s="28" t="s">
        <v>214</v>
      </c>
      <c r="D20" s="29">
        <v>64</v>
      </c>
      <c r="E20" s="30">
        <v>24000</v>
      </c>
      <c r="F20" s="31">
        <v>7513</v>
      </c>
      <c r="G20" s="47">
        <f t="shared" si="0"/>
        <v>5.6067164179104481</v>
      </c>
      <c r="H20" s="18"/>
      <c r="I20" s="18">
        <f>H20*D20</f>
        <v>0</v>
      </c>
      <c r="J20" s="43">
        <f t="shared" si="1"/>
        <v>0</v>
      </c>
      <c r="K20"/>
      <c r="L20" s="12"/>
      <c r="M20" s="12">
        <f>L20*D20</f>
        <v>0</v>
      </c>
      <c r="N20" s="53">
        <f t="shared" si="2"/>
        <v>0</v>
      </c>
    </row>
    <row r="21" spans="1:14" ht="80.099999999999994" customHeight="1">
      <c r="A21" s="36">
        <v>8809409347004</v>
      </c>
      <c r="B21" s="32" t="s">
        <v>17</v>
      </c>
      <c r="C21" s="28" t="s">
        <v>211</v>
      </c>
      <c r="D21" s="29">
        <v>60</v>
      </c>
      <c r="E21" s="30">
        <v>30000</v>
      </c>
      <c r="F21" s="31">
        <v>9163</v>
      </c>
      <c r="G21" s="47">
        <f t="shared" si="0"/>
        <v>6.8380597014925373</v>
      </c>
      <c r="H21" s="18"/>
      <c r="I21" s="18">
        <f>H21*D21</f>
        <v>0</v>
      </c>
      <c r="J21" s="43">
        <f t="shared" si="1"/>
        <v>0</v>
      </c>
      <c r="K21"/>
      <c r="L21" s="12"/>
      <c r="M21" s="12">
        <f>L21*D21</f>
        <v>0</v>
      </c>
      <c r="N21" s="53">
        <f t="shared" si="2"/>
        <v>0</v>
      </c>
    </row>
    <row r="22" spans="1:14" ht="80.099999999999994" customHeight="1">
      <c r="A22" s="36">
        <v>8809409342061</v>
      </c>
      <c r="B22" s="32" t="s">
        <v>18</v>
      </c>
      <c r="C22" s="28" t="s">
        <v>215</v>
      </c>
      <c r="D22" s="29">
        <v>20</v>
      </c>
      <c r="E22" s="30">
        <v>75000</v>
      </c>
      <c r="F22" s="31">
        <v>13849</v>
      </c>
      <c r="G22" s="47">
        <f t="shared" si="0"/>
        <v>10.335074626865671</v>
      </c>
      <c r="H22" s="18"/>
      <c r="I22" s="18">
        <f>H22*D22</f>
        <v>0</v>
      </c>
      <c r="J22" s="43">
        <f t="shared" si="1"/>
        <v>0</v>
      </c>
      <c r="K22"/>
      <c r="L22" s="12"/>
      <c r="M22" s="12">
        <f>L22*D22</f>
        <v>0</v>
      </c>
      <c r="N22" s="53">
        <f t="shared" si="2"/>
        <v>0</v>
      </c>
    </row>
    <row r="23" spans="1:14" ht="80.099999999999994" customHeight="1">
      <c r="A23" s="36">
        <v>8809409347097</v>
      </c>
      <c r="B23" s="34" t="s">
        <v>19</v>
      </c>
      <c r="C23" s="28" t="s">
        <v>216</v>
      </c>
      <c r="D23" s="29">
        <v>60</v>
      </c>
      <c r="E23" s="30">
        <v>32000</v>
      </c>
      <c r="F23" s="31">
        <v>10098</v>
      </c>
      <c r="G23" s="47">
        <f t="shared" si="0"/>
        <v>7.535820895522388</v>
      </c>
      <c r="H23" s="18"/>
      <c r="I23" s="18">
        <f>H23*D23</f>
        <v>0</v>
      </c>
      <c r="J23" s="43">
        <f t="shared" si="1"/>
        <v>0</v>
      </c>
      <c r="K23"/>
      <c r="L23" s="12"/>
      <c r="M23" s="12">
        <f>L23*D23</f>
        <v>0</v>
      </c>
      <c r="N23" s="53">
        <f t="shared" si="2"/>
        <v>0</v>
      </c>
    </row>
    <row r="24" spans="1:14" ht="80.099999999999994" customHeight="1">
      <c r="A24" s="36">
        <v>8809409347080</v>
      </c>
      <c r="B24" s="34" t="s">
        <v>20</v>
      </c>
      <c r="C24" s="28" t="s">
        <v>212</v>
      </c>
      <c r="D24" s="29">
        <v>60</v>
      </c>
      <c r="E24" s="30">
        <v>32000</v>
      </c>
      <c r="F24" s="31">
        <v>10098</v>
      </c>
      <c r="G24" s="47">
        <f t="shared" si="0"/>
        <v>7.535820895522388</v>
      </c>
      <c r="H24" s="18"/>
      <c r="I24" s="18">
        <f>H24*D24</f>
        <v>0</v>
      </c>
      <c r="J24" s="43">
        <f t="shared" si="1"/>
        <v>0</v>
      </c>
      <c r="K24"/>
      <c r="L24" s="12"/>
      <c r="M24" s="12">
        <f>L24*D24</f>
        <v>0</v>
      </c>
      <c r="N24" s="53">
        <f t="shared" si="2"/>
        <v>0</v>
      </c>
    </row>
    <row r="25" spans="1:14" ht="80.099999999999994" customHeight="1">
      <c r="A25" s="36">
        <v>8809409347103</v>
      </c>
      <c r="B25" s="34" t="s">
        <v>21</v>
      </c>
      <c r="C25" s="28" t="s">
        <v>217</v>
      </c>
      <c r="D25" s="29">
        <v>45</v>
      </c>
      <c r="E25" s="30">
        <v>24000</v>
      </c>
      <c r="F25" s="31">
        <v>8217</v>
      </c>
      <c r="G25" s="47">
        <f t="shared" si="0"/>
        <v>6.1320895522388064</v>
      </c>
      <c r="H25" s="18"/>
      <c r="I25" s="18">
        <f>H25*D25</f>
        <v>0</v>
      </c>
      <c r="J25" s="43">
        <f t="shared" si="1"/>
        <v>0</v>
      </c>
      <c r="K25"/>
      <c r="L25" s="12"/>
      <c r="M25" s="12">
        <f>L25*D25</f>
        <v>0</v>
      </c>
      <c r="N25" s="53">
        <f t="shared" si="2"/>
        <v>0</v>
      </c>
    </row>
    <row r="26" spans="1:14" ht="80.099999999999994" customHeight="1">
      <c r="A26" s="36">
        <v>8809409347110</v>
      </c>
      <c r="B26" s="34" t="s">
        <v>22</v>
      </c>
      <c r="C26" s="28" t="s">
        <v>209</v>
      </c>
      <c r="D26" s="29">
        <v>84</v>
      </c>
      <c r="E26" s="30">
        <v>28000</v>
      </c>
      <c r="F26" s="31">
        <v>7040</v>
      </c>
      <c r="G26" s="47">
        <f t="shared" si="0"/>
        <v>5.2537313432835822</v>
      </c>
      <c r="H26" s="18"/>
      <c r="I26" s="18">
        <f>H26*D26</f>
        <v>0</v>
      </c>
      <c r="J26" s="43">
        <f t="shared" si="1"/>
        <v>0</v>
      </c>
      <c r="K26"/>
      <c r="L26" s="12"/>
      <c r="M26" s="12">
        <f>L26*D26</f>
        <v>0</v>
      </c>
      <c r="N26" s="53">
        <f t="shared" si="2"/>
        <v>0</v>
      </c>
    </row>
    <row r="27" spans="1:14" ht="80.099999999999994" customHeight="1">
      <c r="A27" s="54">
        <v>8809409347776</v>
      </c>
      <c r="B27" s="65" t="s">
        <v>23</v>
      </c>
      <c r="C27" s="56" t="s">
        <v>212</v>
      </c>
      <c r="D27" s="57">
        <v>60</v>
      </c>
      <c r="E27" s="58">
        <v>32000</v>
      </c>
      <c r="F27" s="59"/>
      <c r="G27" s="60"/>
      <c r="H27" s="61"/>
      <c r="I27" s="61"/>
      <c r="J27" s="62"/>
      <c r="K27" s="63"/>
      <c r="L27" s="61"/>
      <c r="M27" s="61"/>
      <c r="N27" s="62"/>
    </row>
    <row r="28" spans="1:14" ht="80.099999999999994" customHeight="1">
      <c r="A28" s="36" t="s">
        <v>2</v>
      </c>
      <c r="B28" s="34" t="s">
        <v>2</v>
      </c>
      <c r="C28" s="28" t="s">
        <v>2</v>
      </c>
      <c r="D28" s="29">
        <v>0</v>
      </c>
      <c r="E28" s="30">
        <v>35000</v>
      </c>
      <c r="F28" s="31">
        <v>8217</v>
      </c>
      <c r="G28" s="47">
        <f t="shared" si="0"/>
        <v>6.1320895522388064</v>
      </c>
      <c r="H28" s="18"/>
      <c r="I28" s="18">
        <f>H28*D28</f>
        <v>0</v>
      </c>
      <c r="J28" s="43">
        <f t="shared" si="1"/>
        <v>0</v>
      </c>
      <c r="K28"/>
      <c r="L28" s="12"/>
      <c r="M28" s="12">
        <f>L28*D28</f>
        <v>0</v>
      </c>
      <c r="N28" s="53">
        <f t="shared" si="2"/>
        <v>0</v>
      </c>
    </row>
    <row r="29" spans="1:14" ht="80.099999999999994" customHeight="1">
      <c r="A29" s="36">
        <v>8809409346342</v>
      </c>
      <c r="B29" s="32" t="s">
        <v>24</v>
      </c>
      <c r="C29" s="28" t="s">
        <v>218</v>
      </c>
      <c r="D29" s="29">
        <v>120</v>
      </c>
      <c r="E29" s="30">
        <v>21000</v>
      </c>
      <c r="F29" s="31">
        <v>7403</v>
      </c>
      <c r="G29" s="47">
        <f t="shared" si="0"/>
        <v>5.5246268656716415</v>
      </c>
      <c r="H29" s="18"/>
      <c r="I29" s="18">
        <f>H29*D29</f>
        <v>0</v>
      </c>
      <c r="J29" s="43">
        <f t="shared" si="1"/>
        <v>0</v>
      </c>
      <c r="K29"/>
      <c r="L29" s="12"/>
      <c r="M29" s="12">
        <f>L29*D29</f>
        <v>0</v>
      </c>
      <c r="N29" s="53">
        <f t="shared" si="2"/>
        <v>0</v>
      </c>
    </row>
    <row r="30" spans="1:14" ht="80.099999999999994" customHeight="1">
      <c r="A30" s="54">
        <v>8809409342887</v>
      </c>
      <c r="B30" s="55" t="s">
        <v>25</v>
      </c>
      <c r="C30" s="56" t="s">
        <v>217</v>
      </c>
      <c r="D30" s="57">
        <v>77</v>
      </c>
      <c r="E30" s="58">
        <v>34000</v>
      </c>
      <c r="F30" s="59"/>
      <c r="G30" s="60"/>
      <c r="H30" s="61"/>
      <c r="I30" s="61"/>
      <c r="J30" s="62"/>
      <c r="K30" s="63"/>
      <c r="L30" s="61"/>
      <c r="M30" s="61"/>
      <c r="N30" s="62"/>
    </row>
    <row r="31" spans="1:14" ht="80.099999999999994" customHeight="1">
      <c r="A31" s="36">
        <v>8809409343020</v>
      </c>
      <c r="B31" s="32" t="s">
        <v>26</v>
      </c>
      <c r="C31" s="28" t="s">
        <v>219</v>
      </c>
      <c r="D31" s="29">
        <v>86</v>
      </c>
      <c r="E31" s="30">
        <v>39000</v>
      </c>
      <c r="F31" s="31">
        <v>9515</v>
      </c>
      <c r="G31" s="47">
        <f t="shared" si="0"/>
        <v>7.1007462686567164</v>
      </c>
      <c r="H31" s="18"/>
      <c r="I31" s="18">
        <f>H31*D31</f>
        <v>0</v>
      </c>
      <c r="J31" s="43">
        <f t="shared" si="1"/>
        <v>0</v>
      </c>
      <c r="K31"/>
      <c r="L31" s="12"/>
      <c r="M31" s="12">
        <f>L31*D31</f>
        <v>0</v>
      </c>
      <c r="N31" s="53">
        <f t="shared" si="2"/>
        <v>0</v>
      </c>
    </row>
    <row r="32" spans="1:14" ht="80.099999999999994" customHeight="1">
      <c r="A32" s="36">
        <v>8809409342436</v>
      </c>
      <c r="B32" s="32" t="s">
        <v>27</v>
      </c>
      <c r="C32" s="28" t="s">
        <v>218</v>
      </c>
      <c r="D32" s="29">
        <v>63</v>
      </c>
      <c r="E32" s="30">
        <v>39000</v>
      </c>
      <c r="F32" s="31">
        <v>9515</v>
      </c>
      <c r="G32" s="47">
        <f t="shared" si="0"/>
        <v>7.1007462686567164</v>
      </c>
      <c r="H32" s="18"/>
      <c r="I32" s="18">
        <f>H32*D32</f>
        <v>0</v>
      </c>
      <c r="J32" s="43">
        <f t="shared" si="1"/>
        <v>0</v>
      </c>
      <c r="K32"/>
      <c r="L32" s="12"/>
      <c r="M32" s="12">
        <f>L32*D32</f>
        <v>0</v>
      </c>
      <c r="N32" s="53">
        <f t="shared" si="2"/>
        <v>0</v>
      </c>
    </row>
    <row r="33" spans="1:14" ht="80.099999999999994" customHeight="1">
      <c r="A33" s="36">
        <v>8809409341705</v>
      </c>
      <c r="B33" s="32" t="s">
        <v>28</v>
      </c>
      <c r="C33" s="28" t="s">
        <v>219</v>
      </c>
      <c r="D33" s="29">
        <v>154</v>
      </c>
      <c r="E33" s="30">
        <v>38000</v>
      </c>
      <c r="F33" s="31">
        <v>8569</v>
      </c>
      <c r="G33" s="47">
        <f t="shared" si="0"/>
        <v>6.3947761194029855</v>
      </c>
      <c r="H33" s="18"/>
      <c r="I33" s="18">
        <f>H33*D33</f>
        <v>0</v>
      </c>
      <c r="J33" s="43">
        <f t="shared" si="1"/>
        <v>0</v>
      </c>
      <c r="K33"/>
      <c r="L33" s="12"/>
      <c r="M33" s="12">
        <f>L33*D33</f>
        <v>0</v>
      </c>
      <c r="N33" s="53">
        <f t="shared" si="2"/>
        <v>0</v>
      </c>
    </row>
    <row r="34" spans="1:14" ht="80.099999999999994" customHeight="1">
      <c r="A34" s="36">
        <v>8809941825862</v>
      </c>
      <c r="B34" s="32" t="s">
        <v>29</v>
      </c>
      <c r="C34" s="28" t="s">
        <v>219</v>
      </c>
      <c r="D34" s="29">
        <v>150</v>
      </c>
      <c r="E34" s="30">
        <v>32000</v>
      </c>
      <c r="F34" s="31">
        <v>7513</v>
      </c>
      <c r="G34" s="47">
        <f t="shared" si="0"/>
        <v>5.6067164179104481</v>
      </c>
      <c r="H34" s="18"/>
      <c r="I34" s="18">
        <f>H34*D34</f>
        <v>0</v>
      </c>
      <c r="J34" s="43">
        <f t="shared" si="1"/>
        <v>0</v>
      </c>
      <c r="K34"/>
      <c r="L34" s="12"/>
      <c r="M34" s="12">
        <f>L34*D34</f>
        <v>0</v>
      </c>
      <c r="N34" s="53">
        <f t="shared" si="2"/>
        <v>0</v>
      </c>
    </row>
    <row r="35" spans="1:14" ht="80.099999999999994" customHeight="1">
      <c r="A35" s="36">
        <v>8809409342160</v>
      </c>
      <c r="B35" s="32" t="s">
        <v>30</v>
      </c>
      <c r="C35" s="28" t="s">
        <v>219</v>
      </c>
      <c r="D35" s="29">
        <v>150</v>
      </c>
      <c r="E35" s="30">
        <v>38000</v>
      </c>
      <c r="F35" s="31">
        <v>7513</v>
      </c>
      <c r="G35" s="47">
        <f t="shared" si="0"/>
        <v>5.6067164179104481</v>
      </c>
      <c r="H35" s="18"/>
      <c r="I35" s="18">
        <f>H35*D35</f>
        <v>0</v>
      </c>
      <c r="J35" s="43">
        <f t="shared" si="1"/>
        <v>0</v>
      </c>
      <c r="K35"/>
      <c r="L35" s="12"/>
      <c r="M35" s="12">
        <f>L35*D35</f>
        <v>0</v>
      </c>
      <c r="N35" s="53">
        <f t="shared" si="2"/>
        <v>0</v>
      </c>
    </row>
    <row r="36" spans="1:14" ht="80.099999999999994" customHeight="1">
      <c r="A36" s="36">
        <v>8809409342382</v>
      </c>
      <c r="B36" s="32" t="s">
        <v>31</v>
      </c>
      <c r="C36" s="28" t="s">
        <v>216</v>
      </c>
      <c r="D36" s="29">
        <v>56</v>
      </c>
      <c r="E36" s="30">
        <v>32000</v>
      </c>
      <c r="F36" s="31">
        <v>8217</v>
      </c>
      <c r="G36" s="47">
        <f t="shared" si="0"/>
        <v>6.1320895522388064</v>
      </c>
      <c r="H36" s="18"/>
      <c r="I36" s="18">
        <f>H36*D36</f>
        <v>0</v>
      </c>
      <c r="J36" s="43">
        <f t="shared" si="1"/>
        <v>0</v>
      </c>
      <c r="K36"/>
      <c r="L36" s="12"/>
      <c r="M36" s="12">
        <f>L36*D36</f>
        <v>0</v>
      </c>
      <c r="N36" s="53">
        <f t="shared" si="2"/>
        <v>0</v>
      </c>
    </row>
    <row r="37" spans="1:14" ht="80.099999999999994" customHeight="1">
      <c r="A37" s="36">
        <v>8809409342177</v>
      </c>
      <c r="B37" s="32" t="s">
        <v>32</v>
      </c>
      <c r="C37" s="28" t="s">
        <v>220</v>
      </c>
      <c r="D37" s="29">
        <v>100</v>
      </c>
      <c r="E37" s="30">
        <v>28000</v>
      </c>
      <c r="F37" s="31">
        <v>8448</v>
      </c>
      <c r="G37" s="47">
        <f t="shared" si="0"/>
        <v>6.3044776119402988</v>
      </c>
      <c r="H37" s="18"/>
      <c r="I37" s="18">
        <f>H37*D37</f>
        <v>0</v>
      </c>
      <c r="J37" s="43">
        <f t="shared" si="1"/>
        <v>0</v>
      </c>
      <c r="K37"/>
      <c r="L37" s="12"/>
      <c r="M37" s="12">
        <f>L37*D37</f>
        <v>0</v>
      </c>
      <c r="N37" s="53">
        <f t="shared" si="2"/>
        <v>0</v>
      </c>
    </row>
    <row r="38" spans="1:14" ht="80.099999999999994" customHeight="1">
      <c r="A38" s="36">
        <v>8809409343549</v>
      </c>
      <c r="B38" s="32" t="s">
        <v>33</v>
      </c>
      <c r="C38" s="28" t="s">
        <v>219</v>
      </c>
      <c r="D38" s="29">
        <v>96</v>
      </c>
      <c r="E38" s="30">
        <v>38000</v>
      </c>
      <c r="F38" s="31">
        <v>7513</v>
      </c>
      <c r="G38" s="47">
        <f t="shared" si="0"/>
        <v>5.6067164179104481</v>
      </c>
      <c r="H38" s="18"/>
      <c r="I38" s="18">
        <f>H38*D38</f>
        <v>0</v>
      </c>
      <c r="J38" s="43">
        <f t="shared" si="1"/>
        <v>0</v>
      </c>
      <c r="K38"/>
      <c r="L38" s="12"/>
      <c r="M38" s="12">
        <f>L38*D38</f>
        <v>0</v>
      </c>
      <c r="N38" s="53">
        <f t="shared" si="2"/>
        <v>0</v>
      </c>
    </row>
    <row r="39" spans="1:14" ht="80.099999999999994" customHeight="1">
      <c r="A39" s="36">
        <v>8809409343631</v>
      </c>
      <c r="B39" s="32" t="s">
        <v>34</v>
      </c>
      <c r="C39" s="28" t="s">
        <v>221</v>
      </c>
      <c r="D39" s="29">
        <v>72</v>
      </c>
      <c r="E39" s="30">
        <v>35000</v>
      </c>
      <c r="F39" s="31">
        <v>8800</v>
      </c>
      <c r="G39" s="47">
        <f t="shared" si="0"/>
        <v>6.5671641791044779</v>
      </c>
      <c r="H39" s="18"/>
      <c r="I39" s="18">
        <f>H39*D39</f>
        <v>0</v>
      </c>
      <c r="J39" s="43">
        <f t="shared" si="1"/>
        <v>0</v>
      </c>
      <c r="K39"/>
      <c r="L39" s="12"/>
      <c r="M39" s="12">
        <f>L39*D39</f>
        <v>0</v>
      </c>
      <c r="N39" s="53">
        <f t="shared" si="2"/>
        <v>0</v>
      </c>
    </row>
    <row r="40" spans="1:14" ht="80.099999999999994" customHeight="1">
      <c r="A40" s="36">
        <v>8809409343662</v>
      </c>
      <c r="B40" s="32" t="s">
        <v>35</v>
      </c>
      <c r="C40" s="28" t="s">
        <v>221</v>
      </c>
      <c r="D40" s="29">
        <v>72</v>
      </c>
      <c r="E40" s="30">
        <v>35000</v>
      </c>
      <c r="F40" s="31">
        <v>8448</v>
      </c>
      <c r="G40" s="47">
        <f t="shared" si="0"/>
        <v>6.3044776119402988</v>
      </c>
      <c r="H40" s="18"/>
      <c r="I40" s="18">
        <f>H40*D40</f>
        <v>0</v>
      </c>
      <c r="J40" s="43">
        <f t="shared" si="1"/>
        <v>0</v>
      </c>
      <c r="K40"/>
      <c r="L40" s="12"/>
      <c r="M40" s="12">
        <f>L40*D40</f>
        <v>0</v>
      </c>
      <c r="N40" s="53">
        <f t="shared" si="2"/>
        <v>0</v>
      </c>
    </row>
    <row r="41" spans="1:14" ht="80.099999999999994" customHeight="1">
      <c r="A41" s="36">
        <v>8809409343648</v>
      </c>
      <c r="B41" s="32" t="s">
        <v>36</v>
      </c>
      <c r="C41" s="28" t="s">
        <v>221</v>
      </c>
      <c r="D41" s="29">
        <v>72</v>
      </c>
      <c r="E41" s="30">
        <v>35000</v>
      </c>
      <c r="F41" s="31">
        <v>8569</v>
      </c>
      <c r="G41" s="47">
        <f t="shared" si="0"/>
        <v>6.3947761194029855</v>
      </c>
      <c r="H41" s="18"/>
      <c r="I41" s="18">
        <f>H41*D41</f>
        <v>0</v>
      </c>
      <c r="J41" s="43">
        <f t="shared" si="1"/>
        <v>0</v>
      </c>
      <c r="K41"/>
      <c r="L41" s="12"/>
      <c r="M41" s="12">
        <f>L41*D41</f>
        <v>0</v>
      </c>
      <c r="N41" s="53">
        <f t="shared" si="2"/>
        <v>0</v>
      </c>
    </row>
    <row r="42" spans="1:14" ht="80.099999999999994" customHeight="1">
      <c r="A42" s="54">
        <v>8809409343655</v>
      </c>
      <c r="B42" s="55" t="s">
        <v>37</v>
      </c>
      <c r="C42" s="56" t="s">
        <v>221</v>
      </c>
      <c r="D42" s="57">
        <v>72</v>
      </c>
      <c r="E42" s="58">
        <v>35000</v>
      </c>
      <c r="F42" s="59"/>
      <c r="G42" s="60"/>
      <c r="H42" s="61"/>
      <c r="I42" s="61">
        <f>H42*D42</f>
        <v>0</v>
      </c>
      <c r="J42" s="62"/>
      <c r="K42" s="63"/>
      <c r="L42" s="61"/>
      <c r="M42" s="61">
        <f>L42*D42</f>
        <v>0</v>
      </c>
      <c r="N42" s="62">
        <f t="shared" si="2"/>
        <v>0</v>
      </c>
    </row>
    <row r="43" spans="1:14" ht="80.099999999999994" customHeight="1">
      <c r="A43" s="54">
        <v>8809409344676</v>
      </c>
      <c r="B43" s="55" t="s">
        <v>38</v>
      </c>
      <c r="C43" s="56" t="s">
        <v>213</v>
      </c>
      <c r="D43" s="57">
        <v>40</v>
      </c>
      <c r="E43" s="58">
        <v>42000</v>
      </c>
      <c r="F43" s="59"/>
      <c r="G43" s="60"/>
      <c r="H43" s="61"/>
      <c r="I43" s="61">
        <f>H43*D43</f>
        <v>0</v>
      </c>
      <c r="J43" s="62"/>
      <c r="K43" s="63"/>
      <c r="L43" s="61"/>
      <c r="M43" s="61">
        <f>L43*D43</f>
        <v>0</v>
      </c>
      <c r="N43" s="62">
        <f t="shared" si="2"/>
        <v>0</v>
      </c>
    </row>
    <row r="44" spans="1:14" ht="80.099999999999994" customHeight="1">
      <c r="A44" s="54">
        <v>8809409344683</v>
      </c>
      <c r="B44" s="64" t="s">
        <v>39</v>
      </c>
      <c r="C44" s="56" t="s">
        <v>213</v>
      </c>
      <c r="D44" s="57">
        <v>40</v>
      </c>
      <c r="E44" s="58">
        <v>42000</v>
      </c>
      <c r="F44" s="59"/>
      <c r="G44" s="60"/>
      <c r="H44" s="61"/>
      <c r="I44" s="61">
        <f>H44*D44</f>
        <v>0</v>
      </c>
      <c r="J44" s="62"/>
      <c r="K44" s="63"/>
      <c r="L44" s="61"/>
      <c r="M44" s="61">
        <f>L44*D44</f>
        <v>0</v>
      </c>
      <c r="N44" s="62">
        <f t="shared" si="2"/>
        <v>0</v>
      </c>
    </row>
    <row r="45" spans="1:14" ht="80.099999999999994" customHeight="1">
      <c r="A45" s="36" t="s">
        <v>2</v>
      </c>
      <c r="B45" s="33" t="s">
        <v>2</v>
      </c>
      <c r="C45" s="28" t="s">
        <v>222</v>
      </c>
      <c r="D45" s="29">
        <v>0</v>
      </c>
      <c r="E45" s="30">
        <v>39000</v>
      </c>
      <c r="F45" s="31">
        <v>10208</v>
      </c>
      <c r="G45" s="47">
        <f t="shared" si="0"/>
        <v>7.6179104477611936</v>
      </c>
      <c r="H45" s="18"/>
      <c r="I45" s="18">
        <f>H45*D45</f>
        <v>0</v>
      </c>
      <c r="J45" s="43">
        <f t="shared" si="1"/>
        <v>0</v>
      </c>
      <c r="K45"/>
      <c r="L45" s="12"/>
      <c r="M45" s="12">
        <f>L45*D45</f>
        <v>0</v>
      </c>
      <c r="N45" s="53">
        <f t="shared" si="2"/>
        <v>0</v>
      </c>
    </row>
    <row r="46" spans="1:14" ht="80.099999999999994" customHeight="1">
      <c r="A46" s="36">
        <v>8809409346229</v>
      </c>
      <c r="B46" s="33" t="s">
        <v>40</v>
      </c>
      <c r="C46" s="28" t="s">
        <v>211</v>
      </c>
      <c r="D46" s="29">
        <v>96</v>
      </c>
      <c r="E46" s="30">
        <v>43000</v>
      </c>
      <c r="F46" s="31">
        <v>7040</v>
      </c>
      <c r="G46" s="47">
        <f t="shared" si="0"/>
        <v>5.2537313432835822</v>
      </c>
      <c r="H46" s="18"/>
      <c r="I46" s="18">
        <f>H46*D46</f>
        <v>0</v>
      </c>
      <c r="J46" s="43">
        <f t="shared" si="1"/>
        <v>0</v>
      </c>
      <c r="K46"/>
      <c r="L46" s="12"/>
      <c r="M46" s="12">
        <f>L46*D46</f>
        <v>0</v>
      </c>
      <c r="N46" s="53">
        <f t="shared" si="2"/>
        <v>0</v>
      </c>
    </row>
    <row r="47" spans="1:14" ht="80.099999999999994" customHeight="1">
      <c r="A47" s="36">
        <v>8809409347141</v>
      </c>
      <c r="B47" s="32" t="s">
        <v>41</v>
      </c>
      <c r="C47" s="28" t="s">
        <v>223</v>
      </c>
      <c r="D47" s="29">
        <v>24</v>
      </c>
      <c r="E47" s="30">
        <v>28000</v>
      </c>
      <c r="F47" s="31">
        <v>14553</v>
      </c>
      <c r="G47" s="47">
        <f t="shared" si="0"/>
        <v>10.860447761194029</v>
      </c>
      <c r="H47" s="18"/>
      <c r="I47" s="18">
        <f>H47*D47</f>
        <v>0</v>
      </c>
      <c r="J47" s="43">
        <f t="shared" si="1"/>
        <v>0</v>
      </c>
      <c r="K47"/>
      <c r="L47" s="12"/>
      <c r="M47" s="12">
        <f>L47*D47</f>
        <v>0</v>
      </c>
      <c r="N47" s="53">
        <f t="shared" si="2"/>
        <v>0</v>
      </c>
    </row>
    <row r="48" spans="1:14" ht="80.099999999999994" customHeight="1">
      <c r="A48" s="36">
        <v>8809409349534</v>
      </c>
      <c r="B48" s="32" t="s">
        <v>42</v>
      </c>
      <c r="C48" s="28" t="s">
        <v>206</v>
      </c>
      <c r="D48" s="29">
        <v>30</v>
      </c>
      <c r="E48" s="30">
        <v>30000</v>
      </c>
      <c r="F48" s="31">
        <v>8800</v>
      </c>
      <c r="G48" s="47">
        <f t="shared" si="0"/>
        <v>6.5671641791044779</v>
      </c>
      <c r="H48" s="18"/>
      <c r="I48" s="18">
        <f>H48*D48</f>
        <v>0</v>
      </c>
      <c r="J48" s="43">
        <f t="shared" si="1"/>
        <v>0</v>
      </c>
      <c r="K48"/>
      <c r="L48" s="12"/>
      <c r="M48" s="12">
        <f>L48*D48</f>
        <v>0</v>
      </c>
      <c r="N48" s="53">
        <f t="shared" si="2"/>
        <v>0</v>
      </c>
    </row>
    <row r="49" spans="1:14" ht="80.099999999999994" customHeight="1">
      <c r="A49" s="36">
        <v>8809409340289</v>
      </c>
      <c r="B49" s="32" t="s">
        <v>43</v>
      </c>
      <c r="C49" s="28" t="s">
        <v>221</v>
      </c>
      <c r="D49" s="29">
        <v>72</v>
      </c>
      <c r="E49" s="30">
        <v>35000</v>
      </c>
      <c r="F49" s="31">
        <v>10329</v>
      </c>
      <c r="G49" s="47">
        <f t="shared" si="0"/>
        <v>7.7082089552238804</v>
      </c>
      <c r="H49" s="18"/>
      <c r="I49" s="18">
        <f>H49*D49</f>
        <v>0</v>
      </c>
      <c r="J49" s="43">
        <f t="shared" si="1"/>
        <v>0</v>
      </c>
      <c r="K49"/>
      <c r="L49" s="12"/>
      <c r="M49" s="12">
        <f>L49*D49</f>
        <v>0</v>
      </c>
      <c r="N49" s="53">
        <f t="shared" si="2"/>
        <v>0</v>
      </c>
    </row>
    <row r="50" spans="1:14" ht="80.099999999999994" customHeight="1">
      <c r="A50" s="36">
        <v>8809409342504</v>
      </c>
      <c r="B50" s="32" t="s">
        <v>44</v>
      </c>
      <c r="C50" s="28" t="s">
        <v>216</v>
      </c>
      <c r="D50" s="29">
        <v>56</v>
      </c>
      <c r="E50" s="30">
        <v>25000</v>
      </c>
      <c r="F50" s="31">
        <v>17589</v>
      </c>
      <c r="G50" s="47">
        <f t="shared" si="0"/>
        <v>13.126119402985074</v>
      </c>
      <c r="H50" s="18"/>
      <c r="I50" s="18">
        <f>H50*D50</f>
        <v>0</v>
      </c>
      <c r="J50" s="43">
        <f t="shared" si="1"/>
        <v>0</v>
      </c>
      <c r="K50"/>
      <c r="L50" s="12"/>
      <c r="M50" s="12">
        <f>L50*D50</f>
        <v>0</v>
      </c>
      <c r="N50" s="53">
        <f t="shared" si="2"/>
        <v>0</v>
      </c>
    </row>
    <row r="51" spans="1:14" ht="80.099999999999994" customHeight="1">
      <c r="A51" s="36">
        <v>8809409340975</v>
      </c>
      <c r="B51" s="32" t="s">
        <v>45</v>
      </c>
      <c r="C51" s="28" t="s">
        <v>224</v>
      </c>
      <c r="D51" s="29">
        <v>40</v>
      </c>
      <c r="E51" s="30">
        <v>24000</v>
      </c>
      <c r="F51" s="31">
        <v>9977</v>
      </c>
      <c r="G51" s="47">
        <f t="shared" si="0"/>
        <v>7.4455223880597012</v>
      </c>
      <c r="H51" s="18"/>
      <c r="I51" s="18">
        <f>H51*D51</f>
        <v>0</v>
      </c>
      <c r="J51" s="43">
        <f t="shared" si="1"/>
        <v>0</v>
      </c>
      <c r="K51"/>
      <c r="L51" s="12"/>
      <c r="M51" s="12">
        <f>L51*D51</f>
        <v>0</v>
      </c>
      <c r="N51" s="53">
        <f t="shared" si="2"/>
        <v>0</v>
      </c>
    </row>
    <row r="52" spans="1:14" ht="80.099999999999994" customHeight="1">
      <c r="A52" s="36">
        <v>8809941822328</v>
      </c>
      <c r="B52" s="32" t="s">
        <v>46</v>
      </c>
      <c r="C52" s="28" t="s">
        <v>225</v>
      </c>
      <c r="D52" s="29">
        <v>24</v>
      </c>
      <c r="E52" s="30">
        <v>34000</v>
      </c>
      <c r="F52" s="31">
        <v>13145</v>
      </c>
      <c r="G52" s="47">
        <f t="shared" si="0"/>
        <v>9.8097014925373127</v>
      </c>
      <c r="H52" s="18"/>
      <c r="I52" s="18">
        <f>H52*D52</f>
        <v>0</v>
      </c>
      <c r="J52" s="43">
        <f t="shared" si="1"/>
        <v>0</v>
      </c>
      <c r="K52"/>
      <c r="L52" s="12"/>
      <c r="M52" s="12">
        <f>L52*D52</f>
        <v>0</v>
      </c>
      <c r="N52" s="53">
        <f t="shared" si="2"/>
        <v>0</v>
      </c>
    </row>
    <row r="53" spans="1:14" ht="80.099999999999994" customHeight="1">
      <c r="A53" s="36">
        <v>8809941822335</v>
      </c>
      <c r="B53" s="32" t="s">
        <v>47</v>
      </c>
      <c r="C53" s="28" t="s">
        <v>218</v>
      </c>
      <c r="D53" s="29">
        <v>28</v>
      </c>
      <c r="E53" s="30">
        <v>43000</v>
      </c>
      <c r="F53" s="31">
        <v>12551</v>
      </c>
      <c r="G53" s="47">
        <f t="shared" si="0"/>
        <v>9.3664179104477618</v>
      </c>
      <c r="H53" s="18"/>
      <c r="I53" s="18">
        <f>H53*D53</f>
        <v>0</v>
      </c>
      <c r="J53" s="43">
        <f t="shared" si="1"/>
        <v>0</v>
      </c>
      <c r="K53"/>
      <c r="L53" s="12"/>
      <c r="M53" s="12">
        <f>L53*D53</f>
        <v>0</v>
      </c>
      <c r="N53" s="53">
        <f t="shared" si="2"/>
        <v>0</v>
      </c>
    </row>
    <row r="54" spans="1:14" ht="80.099999999999994" customHeight="1">
      <c r="A54" s="36">
        <v>8809941822342</v>
      </c>
      <c r="B54" s="32" t="s">
        <v>48</v>
      </c>
      <c r="C54" s="28" t="s">
        <v>226</v>
      </c>
      <c r="D54" s="29">
        <v>24</v>
      </c>
      <c r="E54" s="30">
        <v>38000</v>
      </c>
      <c r="F54" s="31">
        <v>11264</v>
      </c>
      <c r="G54" s="47">
        <f t="shared" si="0"/>
        <v>8.4059701492537311</v>
      </c>
      <c r="H54" s="18"/>
      <c r="I54" s="18">
        <f>H54*D54</f>
        <v>0</v>
      </c>
      <c r="J54" s="43">
        <f t="shared" si="1"/>
        <v>0</v>
      </c>
      <c r="K54"/>
      <c r="L54" s="12"/>
      <c r="M54" s="12">
        <f>L54*D54</f>
        <v>0</v>
      </c>
      <c r="N54" s="53">
        <f t="shared" si="2"/>
        <v>0</v>
      </c>
    </row>
    <row r="55" spans="1:14" ht="80.099999999999994" customHeight="1">
      <c r="A55" s="36">
        <v>8809409346519</v>
      </c>
      <c r="B55" s="33" t="s">
        <v>49</v>
      </c>
      <c r="C55" s="28" t="s">
        <v>211</v>
      </c>
      <c r="D55" s="29">
        <v>100</v>
      </c>
      <c r="E55" s="30">
        <v>45000</v>
      </c>
      <c r="F55" s="31">
        <v>7865</v>
      </c>
      <c r="G55" s="47">
        <f t="shared" si="0"/>
        <v>5.8694029850746272</v>
      </c>
      <c r="H55" s="18"/>
      <c r="I55" s="18">
        <f>H55*D55</f>
        <v>0</v>
      </c>
      <c r="J55" s="43">
        <f t="shared" si="1"/>
        <v>0</v>
      </c>
      <c r="K55"/>
      <c r="L55" s="12"/>
      <c r="M55" s="12">
        <f>L55*D55</f>
        <v>0</v>
      </c>
      <c r="N55" s="53">
        <f t="shared" si="2"/>
        <v>0</v>
      </c>
    </row>
    <row r="56" spans="1:14" ht="80.099999999999994" customHeight="1">
      <c r="A56" s="36">
        <v>8809409348322</v>
      </c>
      <c r="B56" s="32" t="s">
        <v>50</v>
      </c>
      <c r="C56" s="28" t="s">
        <v>211</v>
      </c>
      <c r="D56" s="29">
        <v>100</v>
      </c>
      <c r="E56" s="30">
        <v>43000</v>
      </c>
      <c r="F56" s="31">
        <v>7865</v>
      </c>
      <c r="G56" s="47">
        <f t="shared" si="0"/>
        <v>5.8694029850746272</v>
      </c>
      <c r="H56" s="18"/>
      <c r="I56" s="18">
        <f>H56*D56</f>
        <v>0</v>
      </c>
      <c r="J56" s="43">
        <f t="shared" si="1"/>
        <v>0</v>
      </c>
      <c r="K56"/>
      <c r="L56" s="12"/>
      <c r="M56" s="12">
        <f>L56*D56</f>
        <v>0</v>
      </c>
      <c r="N56" s="53">
        <f t="shared" si="2"/>
        <v>0</v>
      </c>
    </row>
    <row r="57" spans="1:14" ht="80.099999999999994" customHeight="1">
      <c r="A57" s="54">
        <v>8809409345895</v>
      </c>
      <c r="B57" s="55" t="s">
        <v>51</v>
      </c>
      <c r="C57" s="56" t="s">
        <v>211</v>
      </c>
      <c r="D57" s="57">
        <v>56</v>
      </c>
      <c r="E57" s="58">
        <v>58000</v>
      </c>
      <c r="F57" s="59"/>
      <c r="G57" s="60"/>
      <c r="H57" s="61"/>
      <c r="I57" s="61"/>
      <c r="J57" s="62"/>
      <c r="K57" s="63"/>
      <c r="L57" s="61"/>
      <c r="M57" s="61"/>
      <c r="N57" s="62"/>
    </row>
    <row r="58" spans="1:14" ht="80.099999999999994" customHeight="1">
      <c r="A58" s="36">
        <v>8809409345901</v>
      </c>
      <c r="B58" s="32" t="s">
        <v>52</v>
      </c>
      <c r="C58" s="28" t="s">
        <v>209</v>
      </c>
      <c r="D58" s="29">
        <v>40</v>
      </c>
      <c r="E58" s="30">
        <v>75000</v>
      </c>
      <c r="F58" s="31">
        <v>12210</v>
      </c>
      <c r="G58" s="47">
        <f t="shared" si="0"/>
        <v>9.1119402985074629</v>
      </c>
      <c r="H58" s="18"/>
      <c r="I58" s="18">
        <f>H58*D58</f>
        <v>0</v>
      </c>
      <c r="J58" s="43">
        <f t="shared" si="1"/>
        <v>0</v>
      </c>
      <c r="K58"/>
      <c r="L58" s="12"/>
      <c r="M58" s="12">
        <f>L58*D58</f>
        <v>0</v>
      </c>
      <c r="N58" s="53">
        <f t="shared" si="2"/>
        <v>0</v>
      </c>
    </row>
    <row r="59" spans="1:14" ht="80.099999999999994" customHeight="1">
      <c r="A59" s="36">
        <v>8809409346441</v>
      </c>
      <c r="B59" s="32" t="s">
        <v>53</v>
      </c>
      <c r="C59" s="28" t="s">
        <v>224</v>
      </c>
      <c r="D59" s="29">
        <v>36</v>
      </c>
      <c r="E59" s="30">
        <v>32000</v>
      </c>
      <c r="F59" s="31">
        <v>10208</v>
      </c>
      <c r="G59" s="47">
        <f t="shared" si="0"/>
        <v>7.6179104477611936</v>
      </c>
      <c r="H59" s="18"/>
      <c r="I59" s="18">
        <f>H59*D59</f>
        <v>0</v>
      </c>
      <c r="J59" s="43">
        <f t="shared" si="1"/>
        <v>0</v>
      </c>
      <c r="K59"/>
      <c r="L59" s="12"/>
      <c r="M59" s="12">
        <f>L59*D59</f>
        <v>0</v>
      </c>
      <c r="N59" s="53">
        <f t="shared" si="2"/>
        <v>0</v>
      </c>
    </row>
    <row r="60" spans="1:14" ht="80.099999999999994" customHeight="1">
      <c r="A60" s="36">
        <v>8809409346830</v>
      </c>
      <c r="B60" s="32" t="s">
        <v>54</v>
      </c>
      <c r="C60" s="28" t="s">
        <v>227</v>
      </c>
      <c r="D60" s="29">
        <v>30</v>
      </c>
      <c r="E60" s="30">
        <v>25000</v>
      </c>
      <c r="F60" s="31">
        <v>9042</v>
      </c>
      <c r="G60" s="47">
        <f t="shared" si="0"/>
        <v>6.7477611940298505</v>
      </c>
      <c r="H60" s="18"/>
      <c r="I60" s="18">
        <f>H60*D60</f>
        <v>0</v>
      </c>
      <c r="J60" s="43">
        <f t="shared" si="1"/>
        <v>0</v>
      </c>
      <c r="K60"/>
      <c r="L60" s="12"/>
      <c r="M60" s="12">
        <f>L60*D60</f>
        <v>0</v>
      </c>
      <c r="N60" s="53">
        <f t="shared" si="2"/>
        <v>0</v>
      </c>
    </row>
    <row r="61" spans="1:14" ht="80.099999999999994" customHeight="1">
      <c r="A61" s="36">
        <v>8809409346656</v>
      </c>
      <c r="B61" s="32" t="s">
        <v>55</v>
      </c>
      <c r="C61" s="28" t="s">
        <v>211</v>
      </c>
      <c r="D61" s="29">
        <v>60</v>
      </c>
      <c r="E61" s="30">
        <v>30000</v>
      </c>
      <c r="F61" s="31">
        <v>9273</v>
      </c>
      <c r="G61" s="47">
        <f t="shared" si="0"/>
        <v>6.9201492537313429</v>
      </c>
      <c r="H61" s="18"/>
      <c r="I61" s="18">
        <f>H61*D61</f>
        <v>0</v>
      </c>
      <c r="J61" s="43">
        <f t="shared" si="1"/>
        <v>0</v>
      </c>
      <c r="K61"/>
      <c r="L61" s="12"/>
      <c r="M61" s="12">
        <f>L61*D61</f>
        <v>0</v>
      </c>
      <c r="N61" s="53">
        <f t="shared" si="2"/>
        <v>0</v>
      </c>
    </row>
    <row r="62" spans="1:14" ht="80.099999999999994" customHeight="1">
      <c r="A62" s="36">
        <v>8809941823158</v>
      </c>
      <c r="B62" s="32" t="s">
        <v>56</v>
      </c>
      <c r="C62" s="28" t="s">
        <v>219</v>
      </c>
      <c r="D62" s="29">
        <v>154</v>
      </c>
      <c r="E62" s="30">
        <v>39000</v>
      </c>
      <c r="F62" s="31">
        <v>8448</v>
      </c>
      <c r="G62" s="47">
        <f t="shared" si="0"/>
        <v>6.3044776119402988</v>
      </c>
      <c r="H62" s="18"/>
      <c r="I62" s="18">
        <f>H62*D62</f>
        <v>0</v>
      </c>
      <c r="J62" s="43">
        <f t="shared" si="1"/>
        <v>0</v>
      </c>
      <c r="K62"/>
      <c r="L62" s="12"/>
      <c r="M62" s="12">
        <f>L62*D62</f>
        <v>0</v>
      </c>
      <c r="N62" s="53">
        <f t="shared" si="2"/>
        <v>0</v>
      </c>
    </row>
    <row r="63" spans="1:14" ht="80.099999999999994" customHeight="1">
      <c r="A63" s="36">
        <v>8809409347165</v>
      </c>
      <c r="B63" s="34" t="s">
        <v>57</v>
      </c>
      <c r="C63" s="28" t="s">
        <v>216</v>
      </c>
      <c r="D63" s="29">
        <v>100</v>
      </c>
      <c r="E63" s="30">
        <v>43000</v>
      </c>
      <c r="F63" s="31">
        <v>10098</v>
      </c>
      <c r="G63" s="47">
        <f t="shared" si="0"/>
        <v>7.535820895522388</v>
      </c>
      <c r="H63" s="18"/>
      <c r="I63" s="18">
        <f>H63*D63</f>
        <v>0</v>
      </c>
      <c r="J63" s="43">
        <f t="shared" si="1"/>
        <v>0</v>
      </c>
      <c r="K63"/>
      <c r="L63" s="12"/>
      <c r="M63" s="12">
        <f>L63*D63</f>
        <v>0</v>
      </c>
      <c r="N63" s="53">
        <f t="shared" si="2"/>
        <v>0</v>
      </c>
    </row>
    <row r="64" spans="1:14" ht="80.099999999999994" customHeight="1">
      <c r="A64" s="36">
        <v>8809409347233</v>
      </c>
      <c r="B64" s="34" t="s">
        <v>58</v>
      </c>
      <c r="C64" s="28" t="s">
        <v>228</v>
      </c>
      <c r="D64" s="29">
        <v>16</v>
      </c>
      <c r="E64" s="30">
        <v>81000</v>
      </c>
      <c r="F64" s="31">
        <v>19349</v>
      </c>
      <c r="G64" s="47">
        <f t="shared" si="0"/>
        <v>14.43955223880597</v>
      </c>
      <c r="H64" s="18"/>
      <c r="I64" s="18">
        <f>H64*D64</f>
        <v>0</v>
      </c>
      <c r="J64" s="43">
        <f t="shared" si="1"/>
        <v>0</v>
      </c>
      <c r="K64"/>
      <c r="L64" s="12"/>
      <c r="M64" s="12">
        <f>L64*D64</f>
        <v>0</v>
      </c>
      <c r="N64" s="53">
        <f t="shared" si="2"/>
        <v>0</v>
      </c>
    </row>
    <row r="65" spans="1:14" ht="80.099999999999994" customHeight="1">
      <c r="A65" s="36">
        <v>8809409347462</v>
      </c>
      <c r="B65" s="34" t="s">
        <v>59</v>
      </c>
      <c r="C65" s="28" t="s">
        <v>211</v>
      </c>
      <c r="D65" s="29">
        <v>50</v>
      </c>
      <c r="E65" s="30">
        <v>43000</v>
      </c>
      <c r="F65" s="31">
        <v>8800</v>
      </c>
      <c r="G65" s="47">
        <f t="shared" si="0"/>
        <v>6.5671641791044779</v>
      </c>
      <c r="H65" s="18"/>
      <c r="I65" s="18">
        <f>H65*D65</f>
        <v>0</v>
      </c>
      <c r="J65" s="43">
        <f t="shared" si="1"/>
        <v>0</v>
      </c>
      <c r="K65"/>
      <c r="L65" s="12"/>
      <c r="M65" s="12">
        <f>L65*D65</f>
        <v>0</v>
      </c>
      <c r="N65" s="53">
        <f t="shared" si="2"/>
        <v>0</v>
      </c>
    </row>
    <row r="66" spans="1:14" ht="80.099999999999994" customHeight="1">
      <c r="A66" s="36">
        <v>8809409348315</v>
      </c>
      <c r="B66" s="34" t="s">
        <v>60</v>
      </c>
      <c r="C66" s="28" t="s">
        <v>229</v>
      </c>
      <c r="D66" s="29">
        <v>54</v>
      </c>
      <c r="E66" s="30">
        <v>38000</v>
      </c>
      <c r="F66" s="31">
        <v>7986</v>
      </c>
      <c r="G66" s="47">
        <f t="shared" si="0"/>
        <v>5.9597014925373131</v>
      </c>
      <c r="H66" s="18"/>
      <c r="I66" s="18">
        <f>H66*D66</f>
        <v>0</v>
      </c>
      <c r="J66" s="43">
        <f t="shared" si="1"/>
        <v>0</v>
      </c>
      <c r="K66"/>
      <c r="L66" s="12"/>
      <c r="M66" s="12">
        <f>L66*D66</f>
        <v>0</v>
      </c>
      <c r="N66" s="53">
        <f t="shared" si="2"/>
        <v>0</v>
      </c>
    </row>
    <row r="67" spans="1:14" ht="80.099999999999994" customHeight="1">
      <c r="A67" s="36">
        <v>8809409348247</v>
      </c>
      <c r="B67" s="34" t="s">
        <v>2</v>
      </c>
      <c r="C67" s="28" t="s">
        <v>230</v>
      </c>
      <c r="D67" s="29">
        <v>150</v>
      </c>
      <c r="E67" s="30">
        <v>39000</v>
      </c>
      <c r="F67" s="31">
        <v>8569</v>
      </c>
      <c r="G67" s="47">
        <f t="shared" si="0"/>
        <v>6.3947761194029855</v>
      </c>
      <c r="H67" s="18"/>
      <c r="I67" s="18">
        <f>H67*D67</f>
        <v>0</v>
      </c>
      <c r="J67" s="43">
        <f t="shared" si="1"/>
        <v>0</v>
      </c>
      <c r="K67"/>
      <c r="L67" s="12"/>
      <c r="M67" s="12">
        <f>L67*D67</f>
        <v>0</v>
      </c>
      <c r="N67" s="53">
        <f t="shared" si="2"/>
        <v>0</v>
      </c>
    </row>
    <row r="68" spans="1:14" ht="80.099999999999994" customHeight="1">
      <c r="A68" s="36">
        <v>8809409347264</v>
      </c>
      <c r="B68" s="34" t="s">
        <v>61</v>
      </c>
      <c r="C68" s="28" t="s">
        <v>231</v>
      </c>
      <c r="D68" s="29">
        <v>16</v>
      </c>
      <c r="E68" s="30">
        <v>81000</v>
      </c>
      <c r="F68" s="31">
        <v>19129</v>
      </c>
      <c r="G68" s="47">
        <f t="shared" si="0"/>
        <v>14.275373134328358</v>
      </c>
      <c r="H68" s="18"/>
      <c r="I68" s="18">
        <f>H68*D68</f>
        <v>0</v>
      </c>
      <c r="J68" s="43">
        <f t="shared" si="1"/>
        <v>0</v>
      </c>
      <c r="K68"/>
      <c r="L68" s="12"/>
      <c r="M68" s="12">
        <f>L68*D68</f>
        <v>0</v>
      </c>
      <c r="N68" s="53">
        <f t="shared" si="2"/>
        <v>0</v>
      </c>
    </row>
    <row r="69" spans="1:14" ht="80.099999999999994" customHeight="1">
      <c r="A69" s="36">
        <v>8809409347455</v>
      </c>
      <c r="B69" s="32" t="s">
        <v>62</v>
      </c>
      <c r="C69" s="28" t="s">
        <v>211</v>
      </c>
      <c r="D69" s="29">
        <v>50</v>
      </c>
      <c r="E69" s="30">
        <v>43000</v>
      </c>
      <c r="F69" s="31">
        <v>8800</v>
      </c>
      <c r="G69" s="47">
        <f t="shared" si="0"/>
        <v>6.5671641791044779</v>
      </c>
      <c r="H69" s="18"/>
      <c r="I69" s="18">
        <f>H69*D69</f>
        <v>0</v>
      </c>
      <c r="J69" s="43">
        <f t="shared" si="1"/>
        <v>0</v>
      </c>
      <c r="K69"/>
      <c r="L69" s="12"/>
      <c r="M69" s="12">
        <f>L69*D69</f>
        <v>0</v>
      </c>
      <c r="N69" s="53">
        <f t="shared" si="2"/>
        <v>0</v>
      </c>
    </row>
    <row r="70" spans="1:14" ht="80.099999999999994" customHeight="1">
      <c r="A70" s="36">
        <v>8809409348308</v>
      </c>
      <c r="B70" s="32" t="s">
        <v>63</v>
      </c>
      <c r="C70" s="28" t="s">
        <v>229</v>
      </c>
      <c r="D70" s="29">
        <v>54</v>
      </c>
      <c r="E70" s="30">
        <v>38000</v>
      </c>
      <c r="F70" s="31">
        <v>7623</v>
      </c>
      <c r="G70" s="47">
        <f t="shared" si="0"/>
        <v>5.6888059701492537</v>
      </c>
      <c r="H70" s="18"/>
      <c r="I70" s="18">
        <f>H70*D70</f>
        <v>0</v>
      </c>
      <c r="J70" s="43">
        <f t="shared" si="1"/>
        <v>0</v>
      </c>
      <c r="K70"/>
      <c r="L70" s="12"/>
      <c r="M70" s="12">
        <f>L70*D70</f>
        <v>0</v>
      </c>
      <c r="N70" s="53">
        <f t="shared" si="2"/>
        <v>0</v>
      </c>
    </row>
    <row r="71" spans="1:14" ht="80.099999999999994" customHeight="1">
      <c r="A71" s="36">
        <v>8809409348254</v>
      </c>
      <c r="B71" s="32" t="s">
        <v>64</v>
      </c>
      <c r="C71" s="28" t="s">
        <v>230</v>
      </c>
      <c r="D71" s="29">
        <v>150</v>
      </c>
      <c r="E71" s="30">
        <v>39000</v>
      </c>
      <c r="F71" s="31">
        <v>8569</v>
      </c>
      <c r="G71" s="47">
        <f t="shared" ref="G71:G134" si="3">F71/1340</f>
        <v>6.3947761194029855</v>
      </c>
      <c r="H71" s="18"/>
      <c r="I71" s="18">
        <f>H71*D71</f>
        <v>0</v>
      </c>
      <c r="J71" s="43">
        <f t="shared" ref="J71:J134" si="4">G71*I71</f>
        <v>0</v>
      </c>
      <c r="K71"/>
      <c r="L71" s="12"/>
      <c r="M71" s="12">
        <f>L71*D71</f>
        <v>0</v>
      </c>
      <c r="N71" s="53">
        <f t="shared" ref="N71:N134" si="5">G71*M71</f>
        <v>0</v>
      </c>
    </row>
    <row r="72" spans="1:14" ht="80.099999999999994" customHeight="1">
      <c r="A72" s="36">
        <v>8809409347646</v>
      </c>
      <c r="B72" s="32" t="s">
        <v>65</v>
      </c>
      <c r="C72" s="28" t="s">
        <v>232</v>
      </c>
      <c r="D72" s="29">
        <v>80</v>
      </c>
      <c r="E72" s="30">
        <v>55000</v>
      </c>
      <c r="F72" s="31">
        <v>7623</v>
      </c>
      <c r="G72" s="47">
        <f t="shared" si="3"/>
        <v>5.6888059701492537</v>
      </c>
      <c r="H72" s="18"/>
      <c r="I72" s="18">
        <f>H72*D72</f>
        <v>0</v>
      </c>
      <c r="J72" s="43">
        <f t="shared" si="4"/>
        <v>0</v>
      </c>
      <c r="K72"/>
      <c r="L72" s="12"/>
      <c r="M72" s="12">
        <f>L72*D72</f>
        <v>0</v>
      </c>
      <c r="N72" s="53">
        <f t="shared" si="5"/>
        <v>0</v>
      </c>
    </row>
    <row r="73" spans="1:14" ht="80.099999999999994" customHeight="1">
      <c r="A73" s="36">
        <v>8809409347639</v>
      </c>
      <c r="B73" s="32" t="s">
        <v>66</v>
      </c>
      <c r="C73" s="28" t="s">
        <v>232</v>
      </c>
      <c r="D73" s="29">
        <v>80</v>
      </c>
      <c r="E73" s="30">
        <v>55000</v>
      </c>
      <c r="F73" s="31">
        <v>7623</v>
      </c>
      <c r="G73" s="47">
        <f t="shared" si="3"/>
        <v>5.6888059701492537</v>
      </c>
      <c r="H73" s="18"/>
      <c r="I73" s="18">
        <f>H73*D73</f>
        <v>0</v>
      </c>
      <c r="J73" s="43">
        <f t="shared" si="4"/>
        <v>0</v>
      </c>
      <c r="K73"/>
      <c r="L73" s="12"/>
      <c r="M73" s="12">
        <f>L73*D73</f>
        <v>0</v>
      </c>
      <c r="N73" s="53">
        <f t="shared" si="5"/>
        <v>0</v>
      </c>
    </row>
    <row r="74" spans="1:14" ht="80.099999999999994" customHeight="1">
      <c r="A74" s="36">
        <v>8809409347653</v>
      </c>
      <c r="B74" s="32" t="s">
        <v>67</v>
      </c>
      <c r="C74" s="28" t="s">
        <v>232</v>
      </c>
      <c r="D74" s="29">
        <v>80</v>
      </c>
      <c r="E74" s="30">
        <v>55000</v>
      </c>
      <c r="F74" s="31">
        <v>7623</v>
      </c>
      <c r="G74" s="47">
        <f t="shared" si="3"/>
        <v>5.6888059701492537</v>
      </c>
      <c r="H74" s="18"/>
      <c r="I74" s="18">
        <f>H74*D74</f>
        <v>0</v>
      </c>
      <c r="J74" s="43">
        <f t="shared" si="4"/>
        <v>0</v>
      </c>
      <c r="K74"/>
      <c r="L74" s="12"/>
      <c r="M74" s="12">
        <f>L74*D74</f>
        <v>0</v>
      </c>
      <c r="N74" s="53">
        <f t="shared" si="5"/>
        <v>0</v>
      </c>
    </row>
    <row r="75" spans="1:14" ht="80.099999999999994" customHeight="1">
      <c r="A75" s="36">
        <v>8809409347660</v>
      </c>
      <c r="B75" s="32" t="s">
        <v>68</v>
      </c>
      <c r="C75" s="28" t="s">
        <v>232</v>
      </c>
      <c r="D75" s="29">
        <v>80</v>
      </c>
      <c r="E75" s="30">
        <v>55000</v>
      </c>
      <c r="F75" s="31">
        <v>7623</v>
      </c>
      <c r="G75" s="47">
        <f t="shared" si="3"/>
        <v>5.6888059701492537</v>
      </c>
      <c r="H75" s="18"/>
      <c r="I75" s="18">
        <f>H75*D75</f>
        <v>0</v>
      </c>
      <c r="J75" s="43">
        <f t="shared" si="4"/>
        <v>0</v>
      </c>
      <c r="K75"/>
      <c r="L75" s="12"/>
      <c r="M75" s="12">
        <f>L75*D75</f>
        <v>0</v>
      </c>
      <c r="N75" s="53">
        <f t="shared" si="5"/>
        <v>0</v>
      </c>
    </row>
    <row r="76" spans="1:14" ht="80.099999999999994" customHeight="1">
      <c r="A76" s="36">
        <v>8809409347783</v>
      </c>
      <c r="B76" s="32" t="s">
        <v>69</v>
      </c>
      <c r="C76" s="28" t="s">
        <v>233</v>
      </c>
      <c r="D76" s="29">
        <v>18</v>
      </c>
      <c r="E76" s="30">
        <v>45000</v>
      </c>
      <c r="F76" s="31">
        <v>7755</v>
      </c>
      <c r="G76" s="47">
        <f t="shared" si="3"/>
        <v>5.7873134328358207</v>
      </c>
      <c r="H76" s="18"/>
      <c r="I76" s="18">
        <f>H76*D76</f>
        <v>0</v>
      </c>
      <c r="J76" s="43">
        <f t="shared" si="4"/>
        <v>0</v>
      </c>
      <c r="K76"/>
      <c r="L76" s="12"/>
      <c r="M76" s="12">
        <f>L76*D76</f>
        <v>0</v>
      </c>
      <c r="N76" s="53">
        <f t="shared" si="5"/>
        <v>0</v>
      </c>
    </row>
    <row r="77" spans="1:14" ht="80.099999999999994" customHeight="1">
      <c r="A77" s="36">
        <v>8809409347790</v>
      </c>
      <c r="B77" s="32" t="s">
        <v>70</v>
      </c>
      <c r="C77" s="28" t="s">
        <v>233</v>
      </c>
      <c r="D77" s="29">
        <v>24</v>
      </c>
      <c r="E77" s="30">
        <v>25000</v>
      </c>
      <c r="F77" s="31">
        <v>9383</v>
      </c>
      <c r="G77" s="47">
        <f t="shared" si="3"/>
        <v>7.0022388059701495</v>
      </c>
      <c r="H77" s="18"/>
      <c r="I77" s="18">
        <f>H77*D77</f>
        <v>0</v>
      </c>
      <c r="J77" s="43">
        <f t="shared" si="4"/>
        <v>0</v>
      </c>
      <c r="K77"/>
      <c r="L77" s="12"/>
      <c r="M77" s="12">
        <f>L77*D77</f>
        <v>0</v>
      </c>
      <c r="N77" s="53">
        <f t="shared" si="5"/>
        <v>0</v>
      </c>
    </row>
    <row r="78" spans="1:14" ht="80.099999999999994" customHeight="1">
      <c r="A78" s="36">
        <v>8809409348230</v>
      </c>
      <c r="B78" s="32" t="s">
        <v>71</v>
      </c>
      <c r="C78" s="28" t="s">
        <v>230</v>
      </c>
      <c r="D78" s="29">
        <v>150</v>
      </c>
      <c r="E78" s="30">
        <v>39000</v>
      </c>
      <c r="F78" s="31">
        <v>8448</v>
      </c>
      <c r="G78" s="47">
        <f t="shared" si="3"/>
        <v>6.3044776119402988</v>
      </c>
      <c r="H78" s="18"/>
      <c r="I78" s="18">
        <f>H78*D78</f>
        <v>0</v>
      </c>
      <c r="J78" s="43">
        <f t="shared" si="4"/>
        <v>0</v>
      </c>
      <c r="K78"/>
      <c r="L78" s="12"/>
      <c r="M78" s="12">
        <f>L78*D78</f>
        <v>0</v>
      </c>
      <c r="N78" s="53">
        <f t="shared" si="5"/>
        <v>0</v>
      </c>
    </row>
    <row r="79" spans="1:14" ht="80.099999999999994" customHeight="1">
      <c r="A79" s="36">
        <v>8809409348537</v>
      </c>
      <c r="B79" s="32" t="s">
        <v>72</v>
      </c>
      <c r="C79" s="28" t="s">
        <v>234</v>
      </c>
      <c r="D79" s="29">
        <v>108</v>
      </c>
      <c r="E79" s="30">
        <v>38000</v>
      </c>
      <c r="F79" s="31">
        <v>11264</v>
      </c>
      <c r="G79" s="47">
        <f t="shared" si="3"/>
        <v>8.4059701492537311</v>
      </c>
      <c r="H79" s="18"/>
      <c r="I79" s="18">
        <f>H79*D79</f>
        <v>0</v>
      </c>
      <c r="J79" s="43">
        <f t="shared" si="4"/>
        <v>0</v>
      </c>
      <c r="K79"/>
      <c r="L79" s="12"/>
      <c r="M79" s="12">
        <f>L79*D79</f>
        <v>0</v>
      </c>
      <c r="N79" s="53">
        <f t="shared" si="5"/>
        <v>0</v>
      </c>
    </row>
    <row r="80" spans="1:14" ht="80.099999999999994" customHeight="1">
      <c r="A80" s="36">
        <v>8809409348667</v>
      </c>
      <c r="B80" s="32" t="s">
        <v>73</v>
      </c>
      <c r="C80" s="28" t="s">
        <v>219</v>
      </c>
      <c r="D80" s="29">
        <v>120</v>
      </c>
      <c r="E80" s="30">
        <v>36000</v>
      </c>
      <c r="F80" s="31">
        <v>8217</v>
      </c>
      <c r="G80" s="47">
        <f t="shared" si="3"/>
        <v>6.1320895522388064</v>
      </c>
      <c r="H80" s="18"/>
      <c r="I80" s="18">
        <f>H80*D80</f>
        <v>0</v>
      </c>
      <c r="J80" s="43">
        <f t="shared" si="4"/>
        <v>0</v>
      </c>
      <c r="K80"/>
      <c r="L80" s="12"/>
      <c r="M80" s="12">
        <f>L80*D80</f>
        <v>0</v>
      </c>
      <c r="N80" s="53">
        <f t="shared" si="5"/>
        <v>0</v>
      </c>
    </row>
    <row r="81" spans="1:14" ht="80.099999999999994" customHeight="1">
      <c r="A81" s="36">
        <v>8809409342634</v>
      </c>
      <c r="B81" s="32" t="s">
        <v>74</v>
      </c>
      <c r="C81" s="28" t="s">
        <v>211</v>
      </c>
      <c r="D81" s="29">
        <v>70</v>
      </c>
      <c r="E81" s="30">
        <v>43000</v>
      </c>
      <c r="F81" s="31">
        <v>9273</v>
      </c>
      <c r="G81" s="47">
        <f t="shared" si="3"/>
        <v>6.9201492537313429</v>
      </c>
      <c r="H81" s="18"/>
      <c r="I81" s="18">
        <f>H81*D81</f>
        <v>0</v>
      </c>
      <c r="J81" s="43">
        <f t="shared" si="4"/>
        <v>0</v>
      </c>
      <c r="K81"/>
      <c r="L81" s="12"/>
      <c r="M81" s="12">
        <f>L81*D81</f>
        <v>0</v>
      </c>
      <c r="N81" s="53">
        <f t="shared" si="5"/>
        <v>0</v>
      </c>
    </row>
    <row r="82" spans="1:14" ht="80.099999999999994" customHeight="1">
      <c r="A82" s="36">
        <v>8809409342634</v>
      </c>
      <c r="B82" s="32" t="s">
        <v>2</v>
      </c>
      <c r="C82" s="28" t="s">
        <v>211</v>
      </c>
      <c r="D82" s="29">
        <v>70</v>
      </c>
      <c r="E82" s="30">
        <v>43000</v>
      </c>
      <c r="F82" s="31">
        <v>9273</v>
      </c>
      <c r="G82" s="47">
        <f t="shared" si="3"/>
        <v>6.9201492537313429</v>
      </c>
      <c r="H82" s="18"/>
      <c r="I82" s="18">
        <f>H82*D82</f>
        <v>0</v>
      </c>
      <c r="J82" s="43">
        <f t="shared" si="4"/>
        <v>0</v>
      </c>
      <c r="K82"/>
      <c r="L82" s="12"/>
      <c r="M82" s="12">
        <f>L82*D82</f>
        <v>0</v>
      </c>
      <c r="N82" s="53">
        <f t="shared" si="5"/>
        <v>0</v>
      </c>
    </row>
    <row r="83" spans="1:14" ht="80.099999999999994" customHeight="1">
      <c r="A83" s="36" t="s">
        <v>2</v>
      </c>
      <c r="B83" s="32" t="s">
        <v>2</v>
      </c>
      <c r="C83" s="28" t="s">
        <v>2</v>
      </c>
      <c r="D83" s="29">
        <v>0</v>
      </c>
      <c r="E83" s="30">
        <v>34000</v>
      </c>
      <c r="F83" s="31">
        <v>7623</v>
      </c>
      <c r="G83" s="47">
        <f t="shared" si="3"/>
        <v>5.6888059701492537</v>
      </c>
      <c r="H83" s="18"/>
      <c r="I83" s="18">
        <f>H83*D83</f>
        <v>0</v>
      </c>
      <c r="J83" s="43">
        <f t="shared" si="4"/>
        <v>0</v>
      </c>
      <c r="K83"/>
      <c r="L83" s="12"/>
      <c r="M83" s="12">
        <f>L83*D83</f>
        <v>0</v>
      </c>
      <c r="N83" s="53">
        <f t="shared" si="5"/>
        <v>0</v>
      </c>
    </row>
    <row r="84" spans="1:14" ht="80.099999999999994" customHeight="1">
      <c r="A84" s="36">
        <v>8809409348803</v>
      </c>
      <c r="B84" s="33" t="s">
        <v>75</v>
      </c>
      <c r="C84" s="28" t="s">
        <v>210</v>
      </c>
      <c r="D84" s="29">
        <v>15</v>
      </c>
      <c r="E84" s="30">
        <v>55000</v>
      </c>
      <c r="F84" s="31">
        <v>10208</v>
      </c>
      <c r="G84" s="47">
        <f t="shared" si="3"/>
        <v>7.6179104477611936</v>
      </c>
      <c r="H84" s="18"/>
      <c r="I84" s="18">
        <f>H84*D84</f>
        <v>0</v>
      </c>
      <c r="J84" s="43">
        <f t="shared" si="4"/>
        <v>0</v>
      </c>
      <c r="K84"/>
      <c r="L84" s="12"/>
      <c r="M84" s="12">
        <f>L84*D84</f>
        <v>0</v>
      </c>
      <c r="N84" s="53">
        <f t="shared" si="5"/>
        <v>0</v>
      </c>
    </row>
    <row r="85" spans="1:14" ht="80.099999999999994" customHeight="1">
      <c r="A85" s="36">
        <v>8809409348872</v>
      </c>
      <c r="B85" s="33" t="s">
        <v>76</v>
      </c>
      <c r="C85" s="28" t="s">
        <v>222</v>
      </c>
      <c r="D85" s="29">
        <v>72</v>
      </c>
      <c r="E85" s="30">
        <v>29000</v>
      </c>
      <c r="F85" s="31">
        <v>9515</v>
      </c>
      <c r="G85" s="47">
        <f t="shared" si="3"/>
        <v>7.1007462686567164</v>
      </c>
      <c r="H85" s="18"/>
      <c r="I85" s="18">
        <f>H85*D85</f>
        <v>0</v>
      </c>
      <c r="J85" s="43">
        <f t="shared" si="4"/>
        <v>0</v>
      </c>
      <c r="K85"/>
      <c r="L85" s="12"/>
      <c r="M85" s="12">
        <f>L85*D85</f>
        <v>0</v>
      </c>
      <c r="N85" s="53">
        <f t="shared" si="5"/>
        <v>0</v>
      </c>
    </row>
    <row r="86" spans="1:14" ht="80.099999999999994" customHeight="1">
      <c r="A86" s="36">
        <v>8809409341521</v>
      </c>
      <c r="B86" s="33" t="s">
        <v>77</v>
      </c>
      <c r="C86" s="28" t="s">
        <v>209</v>
      </c>
      <c r="D86" s="29">
        <v>56</v>
      </c>
      <c r="E86" s="30">
        <v>32000</v>
      </c>
      <c r="F86" s="31">
        <v>9515</v>
      </c>
      <c r="G86" s="47">
        <f t="shared" si="3"/>
        <v>7.1007462686567164</v>
      </c>
      <c r="H86" s="18"/>
      <c r="I86" s="18">
        <f>H86*D86</f>
        <v>0</v>
      </c>
      <c r="J86" s="43">
        <f t="shared" si="4"/>
        <v>0</v>
      </c>
      <c r="K86"/>
      <c r="L86" s="12"/>
      <c r="M86" s="12">
        <f>L86*D86</f>
        <v>0</v>
      </c>
      <c r="N86" s="53">
        <f t="shared" si="5"/>
        <v>0</v>
      </c>
    </row>
    <row r="87" spans="1:14" ht="80.099999999999994" customHeight="1">
      <c r="A87" s="54">
        <v>8809409340319</v>
      </c>
      <c r="B87" s="55" t="s">
        <v>78</v>
      </c>
      <c r="C87" s="56" t="s">
        <v>234</v>
      </c>
      <c r="D87" s="57">
        <v>195</v>
      </c>
      <c r="E87" s="58">
        <v>42000</v>
      </c>
      <c r="F87" s="59"/>
      <c r="G87" s="60"/>
      <c r="H87" s="61"/>
      <c r="I87" s="61"/>
      <c r="J87" s="62"/>
      <c r="K87" s="63"/>
      <c r="L87" s="61"/>
      <c r="M87" s="61"/>
      <c r="N87" s="62"/>
    </row>
    <row r="88" spans="1:14" ht="80.099999999999994" customHeight="1">
      <c r="A88" s="36">
        <v>8809409348056</v>
      </c>
      <c r="B88" s="32" t="s">
        <v>79</v>
      </c>
      <c r="C88" s="28" t="s">
        <v>235</v>
      </c>
      <c r="D88" s="29">
        <v>100</v>
      </c>
      <c r="E88" s="30">
        <v>16000</v>
      </c>
      <c r="F88" s="31">
        <v>3883</v>
      </c>
      <c r="G88" s="47">
        <f t="shared" si="3"/>
        <v>2.8977611940298509</v>
      </c>
      <c r="H88" s="18"/>
      <c r="I88" s="18">
        <f>H88*D88</f>
        <v>0</v>
      </c>
      <c r="J88" s="43">
        <f t="shared" si="4"/>
        <v>0</v>
      </c>
      <c r="K88"/>
      <c r="L88" s="12"/>
      <c r="M88" s="12">
        <f>L88*D88</f>
        <v>0</v>
      </c>
      <c r="N88" s="53">
        <f t="shared" si="5"/>
        <v>0</v>
      </c>
    </row>
    <row r="89" spans="1:14" ht="80.099999999999994" customHeight="1">
      <c r="A89" s="36" t="s">
        <v>2</v>
      </c>
      <c r="B89" s="32" t="s">
        <v>2</v>
      </c>
      <c r="C89" s="28" t="s">
        <v>2</v>
      </c>
      <c r="D89" s="29">
        <v>0</v>
      </c>
      <c r="E89" s="30">
        <v>49000</v>
      </c>
      <c r="F89" s="31">
        <v>8217</v>
      </c>
      <c r="G89" s="47">
        <f t="shared" si="3"/>
        <v>6.1320895522388064</v>
      </c>
      <c r="H89" s="18"/>
      <c r="I89" s="18">
        <f>H89*D89</f>
        <v>0</v>
      </c>
      <c r="J89" s="43">
        <f t="shared" si="4"/>
        <v>0</v>
      </c>
      <c r="K89"/>
      <c r="L89" s="12"/>
      <c r="M89" s="12">
        <f>L89*D89</f>
        <v>0</v>
      </c>
      <c r="N89" s="53">
        <f t="shared" si="5"/>
        <v>0</v>
      </c>
    </row>
    <row r="90" spans="1:14" ht="80.099999999999994" customHeight="1">
      <c r="A90" s="36">
        <v>8809409349961</v>
      </c>
      <c r="B90" s="32" t="s">
        <v>80</v>
      </c>
      <c r="C90" s="28" t="s">
        <v>208</v>
      </c>
      <c r="D90" s="29">
        <v>200</v>
      </c>
      <c r="E90" s="30">
        <v>42000</v>
      </c>
      <c r="F90" s="31">
        <v>7865</v>
      </c>
      <c r="G90" s="47">
        <f t="shared" si="3"/>
        <v>5.8694029850746272</v>
      </c>
      <c r="H90" s="18"/>
      <c r="I90" s="18">
        <f>H90*D90</f>
        <v>0</v>
      </c>
      <c r="J90" s="43">
        <f t="shared" si="4"/>
        <v>0</v>
      </c>
      <c r="K90"/>
      <c r="L90" s="12"/>
      <c r="M90" s="12">
        <f>L90*D90</f>
        <v>0</v>
      </c>
      <c r="N90" s="53">
        <f t="shared" si="5"/>
        <v>0</v>
      </c>
    </row>
    <row r="91" spans="1:14" ht="80.099999999999994" customHeight="1">
      <c r="A91" s="36">
        <v>8809409341422</v>
      </c>
      <c r="B91" s="32" t="s">
        <v>81</v>
      </c>
      <c r="C91" s="28" t="s">
        <v>208</v>
      </c>
      <c r="D91" s="29">
        <v>150</v>
      </c>
      <c r="E91" s="30">
        <v>42000</v>
      </c>
      <c r="F91" s="31">
        <v>7513</v>
      </c>
      <c r="G91" s="47">
        <f t="shared" si="3"/>
        <v>5.6067164179104481</v>
      </c>
      <c r="H91" s="18"/>
      <c r="I91" s="18">
        <f>H91*D91</f>
        <v>0</v>
      </c>
      <c r="J91" s="43">
        <f t="shared" si="4"/>
        <v>0</v>
      </c>
      <c r="K91"/>
      <c r="L91" s="12"/>
      <c r="M91" s="12">
        <f>L91*D91</f>
        <v>0</v>
      </c>
      <c r="N91" s="53">
        <f t="shared" si="5"/>
        <v>0</v>
      </c>
    </row>
    <row r="92" spans="1:14" ht="80.099999999999994" customHeight="1">
      <c r="A92" s="36">
        <v>8809409340548</v>
      </c>
      <c r="B92" s="32" t="s">
        <v>82</v>
      </c>
      <c r="C92" s="28" t="s">
        <v>208</v>
      </c>
      <c r="D92" s="29">
        <v>200</v>
      </c>
      <c r="E92" s="30">
        <v>35000</v>
      </c>
      <c r="F92" s="31">
        <v>9515</v>
      </c>
      <c r="G92" s="47">
        <f t="shared" si="3"/>
        <v>7.1007462686567164</v>
      </c>
      <c r="H92" s="18"/>
      <c r="I92" s="18">
        <f>H92*D92</f>
        <v>0</v>
      </c>
      <c r="J92" s="43">
        <f t="shared" si="4"/>
        <v>0</v>
      </c>
      <c r="K92"/>
      <c r="L92" s="12"/>
      <c r="M92" s="12">
        <f>L92*D92</f>
        <v>0</v>
      </c>
      <c r="N92" s="53">
        <f t="shared" si="5"/>
        <v>0</v>
      </c>
    </row>
    <row r="93" spans="1:14" ht="80.099999999999994" customHeight="1">
      <c r="A93" s="36">
        <v>8809409341347</v>
      </c>
      <c r="B93" s="32" t="s">
        <v>83</v>
      </c>
      <c r="C93" s="28" t="s">
        <v>218</v>
      </c>
      <c r="D93" s="29">
        <v>50</v>
      </c>
      <c r="E93" s="30">
        <v>35000</v>
      </c>
      <c r="F93" s="31">
        <v>8800</v>
      </c>
      <c r="G93" s="47">
        <f t="shared" si="3"/>
        <v>6.5671641791044779</v>
      </c>
      <c r="H93" s="18"/>
      <c r="I93" s="18">
        <f>H93*D93</f>
        <v>0</v>
      </c>
      <c r="J93" s="43">
        <f t="shared" si="4"/>
        <v>0</v>
      </c>
      <c r="K93"/>
      <c r="L93" s="12"/>
      <c r="M93" s="12">
        <f>L93*D93</f>
        <v>0</v>
      </c>
      <c r="N93" s="53">
        <f t="shared" si="5"/>
        <v>0</v>
      </c>
    </row>
    <row r="94" spans="1:14" ht="80.099999999999994" customHeight="1">
      <c r="A94" s="36">
        <v>8809409341392</v>
      </c>
      <c r="B94" s="32" t="s">
        <v>84</v>
      </c>
      <c r="C94" s="28" t="s">
        <v>217</v>
      </c>
      <c r="D94" s="29">
        <v>50</v>
      </c>
      <c r="E94" s="30">
        <v>25000</v>
      </c>
      <c r="F94" s="31">
        <v>8569</v>
      </c>
      <c r="G94" s="47">
        <f t="shared" si="3"/>
        <v>6.3947761194029855</v>
      </c>
      <c r="H94" s="18"/>
      <c r="I94" s="18">
        <f>H94*D94</f>
        <v>0</v>
      </c>
      <c r="J94" s="43">
        <f t="shared" si="4"/>
        <v>0</v>
      </c>
      <c r="K94"/>
      <c r="L94" s="12"/>
      <c r="M94" s="12">
        <f>L94*D94</f>
        <v>0</v>
      </c>
      <c r="N94" s="53">
        <f t="shared" si="5"/>
        <v>0</v>
      </c>
    </row>
    <row r="95" spans="1:14" ht="80.099999999999994" customHeight="1">
      <c r="A95" s="36">
        <v>8809409345000</v>
      </c>
      <c r="B95" s="33" t="s">
        <v>85</v>
      </c>
      <c r="C95" s="28" t="s">
        <v>233</v>
      </c>
      <c r="D95" s="29">
        <v>24</v>
      </c>
      <c r="E95" s="30">
        <v>38000</v>
      </c>
      <c r="F95" s="31">
        <v>10450</v>
      </c>
      <c r="G95" s="47">
        <f t="shared" si="3"/>
        <v>7.7985074626865671</v>
      </c>
      <c r="H95" s="18"/>
      <c r="I95" s="18">
        <f>H95*D95</f>
        <v>0</v>
      </c>
      <c r="J95" s="43">
        <f t="shared" si="4"/>
        <v>0</v>
      </c>
      <c r="K95"/>
      <c r="L95" s="12"/>
      <c r="M95" s="12">
        <f>L95*D95</f>
        <v>0</v>
      </c>
      <c r="N95" s="53">
        <f t="shared" si="5"/>
        <v>0</v>
      </c>
    </row>
    <row r="96" spans="1:14" ht="80.099999999999994" customHeight="1">
      <c r="A96" s="36">
        <v>8809409349855</v>
      </c>
      <c r="B96" s="33" t="s">
        <v>2</v>
      </c>
      <c r="C96" s="28" t="s">
        <v>236</v>
      </c>
      <c r="D96" s="29">
        <v>1440</v>
      </c>
      <c r="E96" s="30">
        <v>3000</v>
      </c>
      <c r="F96" s="31">
        <v>2002</v>
      </c>
      <c r="G96" s="47">
        <f t="shared" si="3"/>
        <v>1.4940298507462686</v>
      </c>
      <c r="H96" s="18"/>
      <c r="I96" s="18">
        <f>H96*D96</f>
        <v>0</v>
      </c>
      <c r="J96" s="43">
        <f t="shared" si="4"/>
        <v>0</v>
      </c>
      <c r="K96"/>
      <c r="L96" s="12"/>
      <c r="M96" s="12">
        <f>L96*D96</f>
        <v>0</v>
      </c>
      <c r="N96" s="53">
        <f t="shared" si="5"/>
        <v>0</v>
      </c>
    </row>
    <row r="97" spans="1:14" ht="80.099999999999994" customHeight="1">
      <c r="A97" s="36">
        <v>8809409342672</v>
      </c>
      <c r="B97" s="33" t="s">
        <v>86</v>
      </c>
      <c r="C97" s="28" t="s">
        <v>223</v>
      </c>
      <c r="D97" s="29">
        <v>24</v>
      </c>
      <c r="E97" s="30">
        <v>28000</v>
      </c>
      <c r="F97" s="31">
        <v>8217</v>
      </c>
      <c r="G97" s="47">
        <f t="shared" si="3"/>
        <v>6.1320895522388064</v>
      </c>
      <c r="H97" s="18"/>
      <c r="I97" s="18">
        <f>H97*D97</f>
        <v>0</v>
      </c>
      <c r="J97" s="43">
        <f t="shared" si="4"/>
        <v>0</v>
      </c>
      <c r="K97"/>
      <c r="L97" s="12"/>
      <c r="M97" s="12">
        <f>L97*D97</f>
        <v>0</v>
      </c>
      <c r="N97" s="53">
        <f t="shared" si="5"/>
        <v>0</v>
      </c>
    </row>
    <row r="98" spans="1:14" ht="80.099999999999994" customHeight="1">
      <c r="A98" s="36">
        <v>8809409349442</v>
      </c>
      <c r="B98" s="33" t="s">
        <v>2</v>
      </c>
      <c r="C98" s="28" t="s">
        <v>222</v>
      </c>
      <c r="D98" s="29">
        <v>80</v>
      </c>
      <c r="E98" s="30">
        <v>28000</v>
      </c>
      <c r="F98" s="31">
        <v>8569</v>
      </c>
      <c r="G98" s="47">
        <f t="shared" si="3"/>
        <v>6.3947761194029855</v>
      </c>
      <c r="H98" s="18"/>
      <c r="I98" s="18">
        <f>H98*D98</f>
        <v>0</v>
      </c>
      <c r="J98" s="43">
        <f t="shared" si="4"/>
        <v>0</v>
      </c>
      <c r="K98"/>
      <c r="L98" s="12"/>
      <c r="M98" s="12">
        <f>L98*D98</f>
        <v>0</v>
      </c>
      <c r="N98" s="53">
        <f t="shared" si="5"/>
        <v>0</v>
      </c>
    </row>
    <row r="99" spans="1:14" ht="80.099999999999994" customHeight="1">
      <c r="A99" s="36">
        <v>8809409349268</v>
      </c>
      <c r="B99" s="33" t="s">
        <v>87</v>
      </c>
      <c r="C99" s="28" t="s">
        <v>217</v>
      </c>
      <c r="D99" s="29">
        <v>50</v>
      </c>
      <c r="E99" s="30">
        <v>35000</v>
      </c>
      <c r="F99" s="31">
        <v>10098</v>
      </c>
      <c r="G99" s="47">
        <f t="shared" si="3"/>
        <v>7.535820895522388</v>
      </c>
      <c r="H99" s="18"/>
      <c r="I99" s="18">
        <f>H99*D99</f>
        <v>0</v>
      </c>
      <c r="J99" s="43">
        <f t="shared" si="4"/>
        <v>0</v>
      </c>
      <c r="K99"/>
      <c r="L99" s="12"/>
      <c r="M99" s="12">
        <f>L99*D99</f>
        <v>0</v>
      </c>
      <c r="N99" s="53">
        <f t="shared" si="5"/>
        <v>0</v>
      </c>
    </row>
    <row r="100" spans="1:14" ht="80.099999999999994" customHeight="1">
      <c r="A100" s="36">
        <v>8809409342245</v>
      </c>
      <c r="B100" s="33" t="s">
        <v>88</v>
      </c>
      <c r="C100" s="28" t="s">
        <v>237</v>
      </c>
      <c r="D100" s="29">
        <v>48</v>
      </c>
      <c r="E100" s="30">
        <v>35000</v>
      </c>
      <c r="F100" s="31">
        <v>9383</v>
      </c>
      <c r="G100" s="47">
        <f t="shared" si="3"/>
        <v>7.0022388059701495</v>
      </c>
      <c r="H100" s="18"/>
      <c r="I100" s="18">
        <f>H100*D100</f>
        <v>0</v>
      </c>
      <c r="J100" s="43">
        <f t="shared" si="4"/>
        <v>0</v>
      </c>
      <c r="K100"/>
      <c r="L100" s="12"/>
      <c r="M100" s="12">
        <f>L100*D100</f>
        <v>0</v>
      </c>
      <c r="N100" s="53">
        <f t="shared" si="5"/>
        <v>0</v>
      </c>
    </row>
    <row r="101" spans="1:14" ht="80.099999999999994" customHeight="1">
      <c r="A101" s="36">
        <v>8809409349275</v>
      </c>
      <c r="B101" s="33" t="s">
        <v>89</v>
      </c>
      <c r="C101" s="28" t="s">
        <v>218</v>
      </c>
      <c r="D101" s="29">
        <v>72</v>
      </c>
      <c r="E101" s="30">
        <v>45000</v>
      </c>
      <c r="F101" s="31">
        <v>9625</v>
      </c>
      <c r="G101" s="47">
        <f t="shared" si="3"/>
        <v>7.1828358208955221</v>
      </c>
      <c r="H101" s="18"/>
      <c r="I101" s="18">
        <f>H101*D101</f>
        <v>0</v>
      </c>
      <c r="J101" s="43">
        <f t="shared" si="4"/>
        <v>0</v>
      </c>
      <c r="K101"/>
      <c r="L101" s="12"/>
      <c r="M101" s="12">
        <f>L101*D101</f>
        <v>0</v>
      </c>
      <c r="N101" s="53">
        <f t="shared" si="5"/>
        <v>0</v>
      </c>
    </row>
    <row r="102" spans="1:14" ht="80.099999999999994" customHeight="1">
      <c r="A102" s="54">
        <v>8809409342474</v>
      </c>
      <c r="B102" s="64" t="s">
        <v>90</v>
      </c>
      <c r="C102" s="56" t="s">
        <v>217</v>
      </c>
      <c r="D102" s="57">
        <v>50</v>
      </c>
      <c r="E102" s="58">
        <v>40000</v>
      </c>
      <c r="F102" s="59"/>
      <c r="G102" s="60"/>
      <c r="H102" s="61"/>
      <c r="I102" s="61"/>
      <c r="J102" s="62"/>
      <c r="K102" s="63"/>
      <c r="L102" s="61"/>
      <c r="M102" s="61"/>
      <c r="N102" s="62"/>
    </row>
    <row r="103" spans="1:14" ht="80.099999999999994" customHeight="1">
      <c r="A103" s="54">
        <v>8809409346458</v>
      </c>
      <c r="B103" s="64" t="s">
        <v>91</v>
      </c>
      <c r="C103" s="56" t="s">
        <v>218</v>
      </c>
      <c r="D103" s="57">
        <v>50</v>
      </c>
      <c r="E103" s="58">
        <v>40000</v>
      </c>
      <c r="F103" s="59"/>
      <c r="G103" s="60"/>
      <c r="H103" s="61"/>
      <c r="I103" s="61"/>
      <c r="J103" s="62"/>
      <c r="K103" s="63"/>
      <c r="L103" s="61"/>
      <c r="M103" s="61"/>
      <c r="N103" s="62"/>
    </row>
    <row r="104" spans="1:14" ht="80.099999999999994" customHeight="1">
      <c r="A104" s="54">
        <v>8809409346489</v>
      </c>
      <c r="B104" s="64" t="s">
        <v>92</v>
      </c>
      <c r="C104" s="56" t="s">
        <v>218</v>
      </c>
      <c r="D104" s="57">
        <v>60</v>
      </c>
      <c r="E104" s="58">
        <v>45000</v>
      </c>
      <c r="F104" s="59"/>
      <c r="G104" s="60"/>
      <c r="H104" s="61"/>
      <c r="I104" s="61"/>
      <c r="J104" s="62"/>
      <c r="K104" s="63"/>
      <c r="L104" s="61"/>
      <c r="M104" s="61"/>
      <c r="N104" s="62"/>
    </row>
    <row r="105" spans="1:14" ht="80.099999999999994" customHeight="1">
      <c r="A105" s="36">
        <v>8809409349824</v>
      </c>
      <c r="B105" s="33" t="s">
        <v>2</v>
      </c>
      <c r="C105" s="28" t="s">
        <v>219</v>
      </c>
      <c r="D105" s="29">
        <v>100</v>
      </c>
      <c r="E105" s="30">
        <v>30000</v>
      </c>
      <c r="F105" s="31">
        <v>8800</v>
      </c>
      <c r="G105" s="47">
        <f t="shared" si="3"/>
        <v>6.5671641791044779</v>
      </c>
      <c r="H105" s="18"/>
      <c r="I105" s="18">
        <f>H105*D105</f>
        <v>0</v>
      </c>
      <c r="J105" s="43">
        <f t="shared" si="4"/>
        <v>0</v>
      </c>
      <c r="K105"/>
      <c r="L105" s="12"/>
      <c r="M105" s="12">
        <f>L105*D105</f>
        <v>0</v>
      </c>
      <c r="N105" s="53">
        <f t="shared" si="5"/>
        <v>0</v>
      </c>
    </row>
    <row r="106" spans="1:14" ht="80.099999999999994" customHeight="1">
      <c r="A106" s="36">
        <v>8809409343709</v>
      </c>
      <c r="B106" s="33" t="s">
        <v>93</v>
      </c>
      <c r="C106" s="28" t="s">
        <v>219</v>
      </c>
      <c r="D106" s="29">
        <v>100</v>
      </c>
      <c r="E106" s="30">
        <v>56000</v>
      </c>
      <c r="F106" s="31">
        <v>8800</v>
      </c>
      <c r="G106" s="47">
        <f t="shared" si="3"/>
        <v>6.5671641791044779</v>
      </c>
      <c r="H106" s="18"/>
      <c r="I106" s="18">
        <f>H106*D106</f>
        <v>0</v>
      </c>
      <c r="J106" s="43">
        <f t="shared" si="4"/>
        <v>0</v>
      </c>
      <c r="K106"/>
      <c r="L106" s="12"/>
      <c r="M106" s="12">
        <f>L106*D106</f>
        <v>0</v>
      </c>
      <c r="N106" s="53">
        <f t="shared" si="5"/>
        <v>0</v>
      </c>
    </row>
    <row r="107" spans="1:14" ht="80.099999999999994" customHeight="1">
      <c r="A107" s="36">
        <v>8809941823646</v>
      </c>
      <c r="B107" s="33" t="s">
        <v>94</v>
      </c>
      <c r="C107" s="28" t="s">
        <v>238</v>
      </c>
      <c r="D107" s="29">
        <v>20</v>
      </c>
      <c r="E107" s="30">
        <v>35000</v>
      </c>
      <c r="F107" s="31">
        <v>9273</v>
      </c>
      <c r="G107" s="47">
        <f t="shared" si="3"/>
        <v>6.9201492537313429</v>
      </c>
      <c r="H107" s="18"/>
      <c r="I107" s="18">
        <f>H107*D107</f>
        <v>0</v>
      </c>
      <c r="J107" s="43">
        <f t="shared" si="4"/>
        <v>0</v>
      </c>
      <c r="K107"/>
      <c r="L107" s="12"/>
      <c r="M107" s="12">
        <f>L107*D107</f>
        <v>0</v>
      </c>
      <c r="N107" s="53">
        <f t="shared" si="5"/>
        <v>0</v>
      </c>
    </row>
    <row r="108" spans="1:14" ht="80.099999999999994" customHeight="1">
      <c r="A108" s="36">
        <v>8809409342719</v>
      </c>
      <c r="B108" s="33" t="s">
        <v>95</v>
      </c>
      <c r="C108" s="28" t="s">
        <v>213</v>
      </c>
      <c r="D108" s="29">
        <v>40</v>
      </c>
      <c r="E108" s="30">
        <v>25000</v>
      </c>
      <c r="F108" s="31">
        <v>6105</v>
      </c>
      <c r="G108" s="47">
        <f t="shared" si="3"/>
        <v>4.5559701492537314</v>
      </c>
      <c r="H108" s="18"/>
      <c r="I108" s="18">
        <f>H108*D108</f>
        <v>0</v>
      </c>
      <c r="J108" s="43">
        <f t="shared" si="4"/>
        <v>0</v>
      </c>
      <c r="K108"/>
      <c r="L108" s="12"/>
      <c r="M108" s="12">
        <f>L108*D108</f>
        <v>0</v>
      </c>
      <c r="N108" s="53">
        <f t="shared" si="5"/>
        <v>0</v>
      </c>
    </row>
    <row r="109" spans="1:14" ht="80.099999999999994" customHeight="1">
      <c r="A109" s="36">
        <v>8809409340234</v>
      </c>
      <c r="B109" s="33" t="s">
        <v>96</v>
      </c>
      <c r="C109" s="28" t="s">
        <v>218</v>
      </c>
      <c r="D109" s="29">
        <v>50</v>
      </c>
      <c r="E109" s="30">
        <v>45000</v>
      </c>
      <c r="F109" s="31">
        <v>9515</v>
      </c>
      <c r="G109" s="47">
        <f t="shared" si="3"/>
        <v>7.1007462686567164</v>
      </c>
      <c r="H109" s="18"/>
      <c r="I109" s="18">
        <f>H109*D109</f>
        <v>0</v>
      </c>
      <c r="J109" s="43">
        <f t="shared" si="4"/>
        <v>0</v>
      </c>
      <c r="K109"/>
      <c r="L109" s="12"/>
      <c r="M109" s="12">
        <f>L109*D109</f>
        <v>0</v>
      </c>
      <c r="N109" s="53">
        <f t="shared" si="5"/>
        <v>0</v>
      </c>
    </row>
    <row r="110" spans="1:14" ht="80.099999999999994" customHeight="1">
      <c r="A110" s="36">
        <v>8809409340029</v>
      </c>
      <c r="B110" s="33" t="s">
        <v>97</v>
      </c>
      <c r="C110" s="28" t="s">
        <v>218</v>
      </c>
      <c r="D110" s="29">
        <v>60</v>
      </c>
      <c r="E110" s="30">
        <v>45000</v>
      </c>
      <c r="F110" s="31">
        <v>9515</v>
      </c>
      <c r="G110" s="47">
        <f t="shared" si="3"/>
        <v>7.1007462686567164</v>
      </c>
      <c r="H110" s="18"/>
      <c r="I110" s="18">
        <f>H110*D110</f>
        <v>0</v>
      </c>
      <c r="J110" s="43">
        <f t="shared" si="4"/>
        <v>0</v>
      </c>
      <c r="K110"/>
      <c r="L110" s="12"/>
      <c r="M110" s="12">
        <f>L110*D110</f>
        <v>0</v>
      </c>
      <c r="N110" s="53">
        <f t="shared" si="5"/>
        <v>0</v>
      </c>
    </row>
    <row r="111" spans="1:14" ht="80.099999999999994" customHeight="1">
      <c r="A111" s="36">
        <v>8809409345963</v>
      </c>
      <c r="B111" s="33" t="s">
        <v>98</v>
      </c>
      <c r="C111" s="28" t="s">
        <v>217</v>
      </c>
      <c r="D111" s="29">
        <v>50</v>
      </c>
      <c r="E111" s="30">
        <v>35000</v>
      </c>
      <c r="F111" s="31">
        <v>8800</v>
      </c>
      <c r="G111" s="47">
        <f t="shared" si="3"/>
        <v>6.5671641791044779</v>
      </c>
      <c r="H111" s="18"/>
      <c r="I111" s="18">
        <f>H111*D111</f>
        <v>0</v>
      </c>
      <c r="J111" s="43">
        <f t="shared" si="4"/>
        <v>0</v>
      </c>
      <c r="K111"/>
      <c r="L111" s="12"/>
      <c r="M111" s="12">
        <f>L111*D111</f>
        <v>0</v>
      </c>
      <c r="N111" s="53">
        <f t="shared" si="5"/>
        <v>0</v>
      </c>
    </row>
    <row r="112" spans="1:14" ht="80.099999999999994" customHeight="1">
      <c r="A112" s="36">
        <v>8809409349183</v>
      </c>
      <c r="B112" s="33" t="s">
        <v>99</v>
      </c>
      <c r="C112" s="28" t="s">
        <v>209</v>
      </c>
      <c r="D112" s="29">
        <v>40</v>
      </c>
      <c r="E112" s="30">
        <v>58000</v>
      </c>
      <c r="F112" s="31">
        <v>16192</v>
      </c>
      <c r="G112" s="47">
        <f t="shared" si="3"/>
        <v>12.083582089552239</v>
      </c>
      <c r="H112" s="18"/>
      <c r="I112" s="18">
        <f>H112*D112</f>
        <v>0</v>
      </c>
      <c r="J112" s="43">
        <f t="shared" si="4"/>
        <v>0</v>
      </c>
      <c r="K112"/>
      <c r="L112" s="12"/>
      <c r="M112" s="12">
        <f>L112*D112</f>
        <v>0</v>
      </c>
      <c r="N112" s="53">
        <f t="shared" si="5"/>
        <v>0</v>
      </c>
    </row>
    <row r="113" spans="1:14" ht="80.099999999999994" customHeight="1">
      <c r="A113" s="36">
        <v>8809409340203</v>
      </c>
      <c r="B113" s="33" t="s">
        <v>100</v>
      </c>
      <c r="C113" s="28" t="s">
        <v>219</v>
      </c>
      <c r="D113" s="29">
        <v>100</v>
      </c>
      <c r="E113" s="30">
        <v>35000</v>
      </c>
      <c r="F113" s="31">
        <v>11385</v>
      </c>
      <c r="G113" s="47">
        <f t="shared" si="3"/>
        <v>8.4962686567164187</v>
      </c>
      <c r="H113" s="18"/>
      <c r="I113" s="18">
        <f>H113*D113</f>
        <v>0</v>
      </c>
      <c r="J113" s="43">
        <f t="shared" si="4"/>
        <v>0</v>
      </c>
      <c r="K113"/>
      <c r="L113" s="12"/>
      <c r="M113" s="12">
        <f>L113*D113</f>
        <v>0</v>
      </c>
      <c r="N113" s="53">
        <f t="shared" si="5"/>
        <v>0</v>
      </c>
    </row>
    <row r="114" spans="1:14" ht="80.099999999999994" customHeight="1">
      <c r="A114" s="36">
        <v>8809941820324</v>
      </c>
      <c r="B114" s="33" t="s">
        <v>101</v>
      </c>
      <c r="C114" s="28" t="s">
        <v>219</v>
      </c>
      <c r="D114" s="29">
        <v>130</v>
      </c>
      <c r="E114" s="30">
        <v>35000</v>
      </c>
      <c r="F114" s="31">
        <v>10098</v>
      </c>
      <c r="G114" s="47">
        <f t="shared" si="3"/>
        <v>7.535820895522388</v>
      </c>
      <c r="H114" s="18"/>
      <c r="I114" s="18">
        <f>H114*D114</f>
        <v>0</v>
      </c>
      <c r="J114" s="43">
        <f t="shared" si="4"/>
        <v>0</v>
      </c>
      <c r="K114"/>
      <c r="L114" s="12"/>
      <c r="M114" s="12">
        <f>L114*D114</f>
        <v>0</v>
      </c>
      <c r="N114" s="53">
        <f t="shared" si="5"/>
        <v>0</v>
      </c>
    </row>
    <row r="115" spans="1:14" ht="80.099999999999994" customHeight="1">
      <c r="A115" s="36">
        <v>8809941820331</v>
      </c>
      <c r="B115" s="33" t="s">
        <v>102</v>
      </c>
      <c r="C115" s="28" t="s">
        <v>211</v>
      </c>
      <c r="D115" s="29">
        <v>50</v>
      </c>
      <c r="E115" s="30">
        <v>35000</v>
      </c>
      <c r="F115" s="31">
        <v>10098</v>
      </c>
      <c r="G115" s="47">
        <f t="shared" si="3"/>
        <v>7.535820895522388</v>
      </c>
      <c r="H115" s="18"/>
      <c r="I115" s="18">
        <f>H115*D115</f>
        <v>0</v>
      </c>
      <c r="J115" s="43">
        <f t="shared" si="4"/>
        <v>0</v>
      </c>
      <c r="K115"/>
      <c r="L115" s="12"/>
      <c r="M115" s="12">
        <f>L115*D115</f>
        <v>0</v>
      </c>
      <c r="N115" s="53">
        <f t="shared" si="5"/>
        <v>0</v>
      </c>
    </row>
    <row r="116" spans="1:14" ht="80.099999999999994" customHeight="1">
      <c r="A116" s="36">
        <v>8809941820348</v>
      </c>
      <c r="B116" s="33" t="s">
        <v>103</v>
      </c>
      <c r="C116" s="28" t="s">
        <v>239</v>
      </c>
      <c r="D116" s="29">
        <v>70</v>
      </c>
      <c r="E116" s="30">
        <v>18500</v>
      </c>
      <c r="F116" s="31">
        <v>9163</v>
      </c>
      <c r="G116" s="47">
        <f t="shared" si="3"/>
        <v>6.8380597014925373</v>
      </c>
      <c r="H116" s="18"/>
      <c r="I116" s="18">
        <f>H116*D116</f>
        <v>0</v>
      </c>
      <c r="J116" s="43">
        <f t="shared" si="4"/>
        <v>0</v>
      </c>
      <c r="K116"/>
      <c r="L116" s="12"/>
      <c r="M116" s="12">
        <f>L116*D116</f>
        <v>0</v>
      </c>
      <c r="N116" s="53">
        <f t="shared" si="5"/>
        <v>0</v>
      </c>
    </row>
    <row r="117" spans="1:14" ht="80.099999999999994" customHeight="1">
      <c r="A117" s="36">
        <v>8809941820690</v>
      </c>
      <c r="B117" s="33" t="s">
        <v>104</v>
      </c>
      <c r="C117" s="28" t="s">
        <v>224</v>
      </c>
      <c r="D117" s="29">
        <v>40</v>
      </c>
      <c r="E117" s="30">
        <v>28000</v>
      </c>
      <c r="F117" s="31">
        <v>8217</v>
      </c>
      <c r="G117" s="47">
        <f t="shared" si="3"/>
        <v>6.1320895522388064</v>
      </c>
      <c r="H117" s="18"/>
      <c r="I117" s="18">
        <f>H117*D117</f>
        <v>0</v>
      </c>
      <c r="J117" s="43">
        <f t="shared" si="4"/>
        <v>0</v>
      </c>
      <c r="K117"/>
      <c r="L117" s="12"/>
      <c r="M117" s="12">
        <f>L117*D117</f>
        <v>0</v>
      </c>
      <c r="N117" s="53">
        <f t="shared" si="5"/>
        <v>0</v>
      </c>
    </row>
    <row r="118" spans="1:14" ht="80.099999999999994" customHeight="1">
      <c r="A118" s="36">
        <v>8809409343266</v>
      </c>
      <c r="B118" s="33" t="s">
        <v>105</v>
      </c>
      <c r="C118" s="28" t="s">
        <v>240</v>
      </c>
      <c r="D118" s="29">
        <v>30</v>
      </c>
      <c r="E118" s="30">
        <v>120000</v>
      </c>
      <c r="F118" s="31">
        <v>17589</v>
      </c>
      <c r="G118" s="47">
        <f t="shared" si="3"/>
        <v>13.126119402985074</v>
      </c>
      <c r="H118" s="18"/>
      <c r="I118" s="18">
        <f>H118*D118</f>
        <v>0</v>
      </c>
      <c r="J118" s="43">
        <f t="shared" si="4"/>
        <v>0</v>
      </c>
      <c r="K118"/>
      <c r="L118" s="12"/>
      <c r="M118" s="12">
        <f>L118*D118</f>
        <v>0</v>
      </c>
      <c r="N118" s="53">
        <f t="shared" si="5"/>
        <v>0</v>
      </c>
    </row>
    <row r="119" spans="1:14" ht="80.099999999999994" customHeight="1">
      <c r="A119" s="36">
        <v>8809941820492</v>
      </c>
      <c r="B119" s="33" t="s">
        <v>106</v>
      </c>
      <c r="C119" s="28" t="s">
        <v>231</v>
      </c>
      <c r="D119" s="29">
        <v>16</v>
      </c>
      <c r="E119" s="30">
        <v>65000</v>
      </c>
      <c r="F119" s="31">
        <v>19129</v>
      </c>
      <c r="G119" s="47">
        <f t="shared" si="3"/>
        <v>14.275373134328358</v>
      </c>
      <c r="H119" s="18"/>
      <c r="I119" s="18">
        <f>H119*D119</f>
        <v>0</v>
      </c>
      <c r="J119" s="43">
        <f t="shared" si="4"/>
        <v>0</v>
      </c>
      <c r="K119"/>
      <c r="L119" s="12"/>
      <c r="M119" s="12">
        <f>L119*D119</f>
        <v>0</v>
      </c>
      <c r="N119" s="53">
        <f t="shared" si="5"/>
        <v>0</v>
      </c>
    </row>
    <row r="120" spans="1:14" ht="80.099999999999994" customHeight="1">
      <c r="A120" s="36">
        <v>8809941825688</v>
      </c>
      <c r="B120" s="33" t="s">
        <v>107</v>
      </c>
      <c r="C120" s="28" t="s">
        <v>209</v>
      </c>
      <c r="D120" s="29">
        <v>60</v>
      </c>
      <c r="E120" s="30">
        <v>55000</v>
      </c>
      <c r="F120" s="31">
        <v>9515</v>
      </c>
      <c r="G120" s="47">
        <f t="shared" si="3"/>
        <v>7.1007462686567164</v>
      </c>
      <c r="H120" s="18"/>
      <c r="I120" s="18">
        <f>H120*D120</f>
        <v>0</v>
      </c>
      <c r="J120" s="43">
        <f t="shared" si="4"/>
        <v>0</v>
      </c>
      <c r="K120"/>
      <c r="L120" s="12"/>
      <c r="M120" s="12">
        <f>L120*D120</f>
        <v>0</v>
      </c>
      <c r="N120" s="53">
        <f t="shared" si="5"/>
        <v>0</v>
      </c>
    </row>
    <row r="121" spans="1:14" ht="80.099999999999994" customHeight="1">
      <c r="A121" s="36">
        <v>8809941820676</v>
      </c>
      <c r="B121" s="33" t="s">
        <v>108</v>
      </c>
      <c r="C121" s="28" t="s">
        <v>217</v>
      </c>
      <c r="D121" s="29">
        <v>50</v>
      </c>
      <c r="E121" s="30">
        <v>32000</v>
      </c>
      <c r="F121" s="31">
        <v>8448</v>
      </c>
      <c r="G121" s="47">
        <f t="shared" si="3"/>
        <v>6.3044776119402988</v>
      </c>
      <c r="H121" s="18"/>
      <c r="I121" s="18">
        <f>H121*D121</f>
        <v>0</v>
      </c>
      <c r="J121" s="43">
        <f t="shared" si="4"/>
        <v>0</v>
      </c>
      <c r="K121"/>
      <c r="L121" s="12"/>
      <c r="M121" s="12">
        <f>L121*D121</f>
        <v>0</v>
      </c>
      <c r="N121" s="53">
        <f t="shared" si="5"/>
        <v>0</v>
      </c>
    </row>
    <row r="122" spans="1:14" ht="80.099999999999994" customHeight="1">
      <c r="A122" s="36">
        <v>8809941820386</v>
      </c>
      <c r="B122" s="33" t="s">
        <v>109</v>
      </c>
      <c r="C122" s="28" t="s">
        <v>209</v>
      </c>
      <c r="D122" s="29">
        <v>40</v>
      </c>
      <c r="E122" s="30">
        <v>59000</v>
      </c>
      <c r="F122" s="31">
        <v>16544</v>
      </c>
      <c r="G122" s="47">
        <f t="shared" si="3"/>
        <v>12.346268656716418</v>
      </c>
      <c r="H122" s="18"/>
      <c r="I122" s="18">
        <f>H122*D122</f>
        <v>0</v>
      </c>
      <c r="J122" s="43">
        <f t="shared" si="4"/>
        <v>0</v>
      </c>
      <c r="K122"/>
      <c r="L122" s="12"/>
      <c r="M122" s="12">
        <f>L122*D122</f>
        <v>0</v>
      </c>
      <c r="N122" s="53">
        <f t="shared" si="5"/>
        <v>0</v>
      </c>
    </row>
    <row r="123" spans="1:14" ht="80.099999999999994" customHeight="1">
      <c r="A123" s="36">
        <v>8809941820416</v>
      </c>
      <c r="B123" s="33" t="s">
        <v>110</v>
      </c>
      <c r="C123" s="28" t="s">
        <v>209</v>
      </c>
      <c r="D123" s="29">
        <v>40</v>
      </c>
      <c r="E123" s="30">
        <v>59000</v>
      </c>
      <c r="F123" s="31">
        <v>16313</v>
      </c>
      <c r="G123" s="47">
        <f t="shared" si="3"/>
        <v>12.173880597014925</v>
      </c>
      <c r="H123" s="18"/>
      <c r="I123" s="18">
        <f>H123*D123</f>
        <v>0</v>
      </c>
      <c r="J123" s="43">
        <f t="shared" si="4"/>
        <v>0</v>
      </c>
      <c r="K123"/>
      <c r="L123" s="12"/>
      <c r="M123" s="12">
        <f>L123*D123</f>
        <v>0</v>
      </c>
      <c r="N123" s="53">
        <f t="shared" si="5"/>
        <v>0</v>
      </c>
    </row>
    <row r="124" spans="1:14" ht="80.099999999999994" customHeight="1">
      <c r="A124" s="36">
        <v>8809941820621</v>
      </c>
      <c r="B124" s="33" t="s">
        <v>111</v>
      </c>
      <c r="C124" s="28" t="s">
        <v>209</v>
      </c>
      <c r="D124" s="29">
        <v>40</v>
      </c>
      <c r="E124" s="30">
        <v>57000</v>
      </c>
      <c r="F124" s="31">
        <v>9746</v>
      </c>
      <c r="G124" s="47">
        <f t="shared" si="3"/>
        <v>7.2731343283582088</v>
      </c>
      <c r="H124" s="18"/>
      <c r="I124" s="18">
        <f>H124*D124</f>
        <v>0</v>
      </c>
      <c r="J124" s="43">
        <f t="shared" si="4"/>
        <v>0</v>
      </c>
      <c r="K124"/>
      <c r="L124" s="12"/>
      <c r="M124" s="12">
        <f>L124*D124</f>
        <v>0</v>
      </c>
      <c r="N124" s="53">
        <f t="shared" si="5"/>
        <v>0</v>
      </c>
    </row>
    <row r="125" spans="1:14" ht="80.099999999999994" customHeight="1">
      <c r="A125" s="36">
        <v>8809941820430</v>
      </c>
      <c r="B125" s="33" t="s">
        <v>112</v>
      </c>
      <c r="C125" s="28" t="s">
        <v>211</v>
      </c>
      <c r="D125" s="29">
        <v>60</v>
      </c>
      <c r="E125" s="30">
        <v>47000</v>
      </c>
      <c r="F125" s="31">
        <v>9383</v>
      </c>
      <c r="G125" s="47">
        <f t="shared" si="3"/>
        <v>7.0022388059701495</v>
      </c>
      <c r="H125" s="18"/>
      <c r="I125" s="18">
        <f>H125*D125</f>
        <v>0</v>
      </c>
      <c r="J125" s="43">
        <f t="shared" si="4"/>
        <v>0</v>
      </c>
      <c r="K125"/>
      <c r="L125" s="12"/>
      <c r="M125" s="12">
        <f>L125*D125</f>
        <v>0</v>
      </c>
      <c r="N125" s="53">
        <f t="shared" si="5"/>
        <v>0</v>
      </c>
    </row>
    <row r="126" spans="1:14" ht="80.099999999999994" customHeight="1">
      <c r="A126" s="36">
        <v>8809409340944</v>
      </c>
      <c r="B126" s="33" t="s">
        <v>113</v>
      </c>
      <c r="C126" s="28" t="s">
        <v>224</v>
      </c>
      <c r="D126" s="29">
        <v>40</v>
      </c>
      <c r="E126" s="30">
        <v>24000</v>
      </c>
      <c r="F126" s="31">
        <v>8217</v>
      </c>
      <c r="G126" s="47">
        <f t="shared" si="3"/>
        <v>6.1320895522388064</v>
      </c>
      <c r="H126" s="18"/>
      <c r="I126" s="18">
        <f>H126*D126</f>
        <v>0</v>
      </c>
      <c r="J126" s="43">
        <f t="shared" si="4"/>
        <v>0</v>
      </c>
      <c r="K126"/>
      <c r="L126" s="12"/>
      <c r="M126" s="12">
        <f>L126*D126</f>
        <v>0</v>
      </c>
      <c r="N126" s="53">
        <f t="shared" si="5"/>
        <v>0</v>
      </c>
    </row>
    <row r="127" spans="1:14" ht="80.099999999999994" customHeight="1">
      <c r="A127" s="36">
        <v>8809941820454</v>
      </c>
      <c r="B127" s="33" t="s">
        <v>114</v>
      </c>
      <c r="C127" s="28" t="s">
        <v>241</v>
      </c>
      <c r="D127" s="29">
        <v>100</v>
      </c>
      <c r="E127" s="30">
        <v>44000</v>
      </c>
      <c r="F127" s="31">
        <v>8800</v>
      </c>
      <c r="G127" s="47">
        <f t="shared" si="3"/>
        <v>6.5671641791044779</v>
      </c>
      <c r="H127" s="18"/>
      <c r="I127" s="18">
        <f>H127*D127</f>
        <v>0</v>
      </c>
      <c r="J127" s="43">
        <f t="shared" si="4"/>
        <v>0</v>
      </c>
      <c r="K127"/>
      <c r="L127" s="12"/>
      <c r="M127" s="12">
        <f>L127*D127</f>
        <v>0</v>
      </c>
      <c r="N127" s="53">
        <f t="shared" si="5"/>
        <v>0</v>
      </c>
    </row>
    <row r="128" spans="1:14" ht="80.099999999999994" customHeight="1">
      <c r="A128" s="54">
        <v>8809941820447</v>
      </c>
      <c r="B128" s="64" t="s">
        <v>115</v>
      </c>
      <c r="C128" s="56" t="s">
        <v>211</v>
      </c>
      <c r="D128" s="57">
        <v>40</v>
      </c>
      <c r="E128" s="58">
        <v>47000</v>
      </c>
      <c r="F128" s="59"/>
      <c r="G128" s="60"/>
      <c r="H128" s="61"/>
      <c r="I128" s="61"/>
      <c r="J128" s="62"/>
      <c r="K128" s="63"/>
      <c r="L128" s="61"/>
      <c r="M128" s="61"/>
      <c r="N128" s="62"/>
    </row>
    <row r="129" spans="1:14" ht="80.099999999999994" customHeight="1">
      <c r="A129" s="36">
        <v>8809941821048</v>
      </c>
      <c r="B129" s="33" t="s">
        <v>116</v>
      </c>
      <c r="C129" s="28" t="s">
        <v>225</v>
      </c>
      <c r="D129" s="29">
        <v>54</v>
      </c>
      <c r="E129" s="30">
        <v>21000</v>
      </c>
      <c r="F129" s="31">
        <v>8690</v>
      </c>
      <c r="G129" s="47">
        <f t="shared" si="3"/>
        <v>6.4850746268656714</v>
      </c>
      <c r="H129" s="18"/>
      <c r="I129" s="18">
        <f>H129*D129</f>
        <v>0</v>
      </c>
      <c r="J129" s="43">
        <f t="shared" si="4"/>
        <v>0</v>
      </c>
      <c r="K129"/>
      <c r="L129" s="12"/>
      <c r="M129" s="12">
        <f>L129*D129</f>
        <v>0</v>
      </c>
      <c r="N129" s="53">
        <f t="shared" si="5"/>
        <v>0</v>
      </c>
    </row>
    <row r="130" spans="1:14" ht="80.099999999999994" customHeight="1">
      <c r="A130" s="36">
        <v>8809409348896</v>
      </c>
      <c r="B130" s="33" t="s">
        <v>117</v>
      </c>
      <c r="C130" s="28" t="s">
        <v>2</v>
      </c>
      <c r="D130" s="29">
        <v>72</v>
      </c>
      <c r="E130" s="30">
        <v>39000</v>
      </c>
      <c r="F130" s="31">
        <v>6105</v>
      </c>
      <c r="G130" s="47">
        <f t="shared" si="3"/>
        <v>4.5559701492537314</v>
      </c>
      <c r="H130" s="18"/>
      <c r="I130" s="18">
        <f>H130*D130</f>
        <v>0</v>
      </c>
      <c r="J130" s="43">
        <f t="shared" si="4"/>
        <v>0</v>
      </c>
      <c r="K130"/>
      <c r="L130" s="12"/>
      <c r="M130" s="12">
        <f>L130*D130</f>
        <v>0</v>
      </c>
      <c r="N130" s="53">
        <f t="shared" si="5"/>
        <v>0</v>
      </c>
    </row>
    <row r="131" spans="1:14" ht="80.099999999999994" customHeight="1">
      <c r="A131" s="36">
        <v>8809941821208</v>
      </c>
      <c r="B131" s="33" t="s">
        <v>118</v>
      </c>
      <c r="C131" s="28" t="s">
        <v>242</v>
      </c>
      <c r="D131" s="29">
        <v>50</v>
      </c>
      <c r="E131" s="30">
        <v>25000</v>
      </c>
      <c r="F131" s="31">
        <v>7865</v>
      </c>
      <c r="G131" s="47">
        <f t="shared" si="3"/>
        <v>5.8694029850746272</v>
      </c>
      <c r="H131" s="18"/>
      <c r="I131" s="18">
        <f>H131*D131</f>
        <v>0</v>
      </c>
      <c r="J131" s="43">
        <f t="shared" si="4"/>
        <v>0</v>
      </c>
      <c r="K131"/>
      <c r="L131" s="12"/>
      <c r="M131" s="12">
        <f>L131*D131</f>
        <v>0</v>
      </c>
      <c r="N131" s="53">
        <f t="shared" si="5"/>
        <v>0</v>
      </c>
    </row>
    <row r="132" spans="1:14" ht="80.099999999999994" customHeight="1">
      <c r="A132" s="36">
        <v>8809941821611</v>
      </c>
      <c r="B132" s="33" t="s">
        <v>119</v>
      </c>
      <c r="C132" s="28" t="s">
        <v>243</v>
      </c>
      <c r="D132" s="29">
        <v>100</v>
      </c>
      <c r="E132" s="30">
        <v>19000</v>
      </c>
      <c r="F132" s="31">
        <v>6688</v>
      </c>
      <c r="G132" s="47">
        <f t="shared" si="3"/>
        <v>4.991044776119403</v>
      </c>
      <c r="H132" s="18"/>
      <c r="I132" s="18">
        <f>H132*D132</f>
        <v>0</v>
      </c>
      <c r="J132" s="43">
        <f t="shared" si="4"/>
        <v>0</v>
      </c>
      <c r="K132"/>
      <c r="L132" s="12"/>
      <c r="M132" s="12">
        <f>L132*D132</f>
        <v>0</v>
      </c>
      <c r="N132" s="53">
        <f t="shared" si="5"/>
        <v>0</v>
      </c>
    </row>
    <row r="133" spans="1:14" ht="80.099999999999994" customHeight="1">
      <c r="A133" s="36">
        <v>8809941825695</v>
      </c>
      <c r="B133" s="33" t="s">
        <v>120</v>
      </c>
      <c r="C133" s="28" t="s">
        <v>244</v>
      </c>
      <c r="D133" s="29">
        <v>100</v>
      </c>
      <c r="E133" s="30">
        <v>32000</v>
      </c>
      <c r="F133" s="31">
        <v>10560</v>
      </c>
      <c r="G133" s="47">
        <f t="shared" si="3"/>
        <v>7.8805970149253728</v>
      </c>
      <c r="H133" s="18"/>
      <c r="I133" s="18">
        <f>H133*D133</f>
        <v>0</v>
      </c>
      <c r="J133" s="43">
        <f t="shared" si="4"/>
        <v>0</v>
      </c>
      <c r="K133"/>
      <c r="L133" s="12"/>
      <c r="M133" s="12">
        <f>L133*D133</f>
        <v>0</v>
      </c>
      <c r="N133" s="53">
        <f t="shared" si="5"/>
        <v>0</v>
      </c>
    </row>
    <row r="134" spans="1:14" ht="80.099999999999994" customHeight="1">
      <c r="A134" s="36">
        <v>8809941820997</v>
      </c>
      <c r="B134" s="33" t="s">
        <v>121</v>
      </c>
      <c r="C134" s="28" t="s">
        <v>217</v>
      </c>
      <c r="D134" s="29">
        <v>77</v>
      </c>
      <c r="E134" s="30">
        <v>36000</v>
      </c>
      <c r="F134" s="31">
        <v>8800</v>
      </c>
      <c r="G134" s="47">
        <f t="shared" si="3"/>
        <v>6.5671641791044779</v>
      </c>
      <c r="H134" s="18"/>
      <c r="I134" s="18">
        <f>H134*D134</f>
        <v>0</v>
      </c>
      <c r="J134" s="43">
        <f t="shared" si="4"/>
        <v>0</v>
      </c>
      <c r="K134"/>
      <c r="L134" s="12"/>
      <c r="M134" s="12">
        <f>L134*D134</f>
        <v>0</v>
      </c>
      <c r="N134" s="53">
        <f t="shared" si="5"/>
        <v>0</v>
      </c>
    </row>
    <row r="135" spans="1:14" ht="80.099999999999994" customHeight="1">
      <c r="A135" s="36">
        <v>8809941821673</v>
      </c>
      <c r="B135" s="33" t="s">
        <v>122</v>
      </c>
      <c r="C135" s="28" t="s">
        <v>221</v>
      </c>
      <c r="D135" s="29">
        <v>72</v>
      </c>
      <c r="E135" s="30">
        <v>37000</v>
      </c>
      <c r="F135" s="31">
        <v>8569</v>
      </c>
      <c r="G135" s="47">
        <f t="shared" ref="G135:G198" si="6">F135/1340</f>
        <v>6.3947761194029855</v>
      </c>
      <c r="H135" s="18"/>
      <c r="I135" s="18">
        <f>H135*D135</f>
        <v>0</v>
      </c>
      <c r="J135" s="43">
        <f t="shared" ref="J135:J198" si="7">G135*I135</f>
        <v>0</v>
      </c>
      <c r="K135"/>
      <c r="L135" s="12"/>
      <c r="M135" s="12">
        <f>L135*D135</f>
        <v>0</v>
      </c>
      <c r="N135" s="53">
        <f t="shared" ref="N135:N198" si="8">G135*M135</f>
        <v>0</v>
      </c>
    </row>
    <row r="136" spans="1:14" ht="80.099999999999994" customHeight="1">
      <c r="A136" s="36">
        <v>8809941821512</v>
      </c>
      <c r="B136" s="33" t="s">
        <v>123</v>
      </c>
      <c r="C136" s="28" t="s">
        <v>219</v>
      </c>
      <c r="D136" s="29">
        <v>100</v>
      </c>
      <c r="E136" s="30">
        <v>45000</v>
      </c>
      <c r="F136" s="31">
        <v>8338</v>
      </c>
      <c r="G136" s="47">
        <f t="shared" si="6"/>
        <v>6.2223880597014922</v>
      </c>
      <c r="H136" s="18"/>
      <c r="I136" s="18">
        <f>H136*D136</f>
        <v>0</v>
      </c>
      <c r="J136" s="43">
        <f t="shared" si="7"/>
        <v>0</v>
      </c>
      <c r="K136"/>
      <c r="L136" s="12"/>
      <c r="M136" s="12">
        <f>L136*D136</f>
        <v>0</v>
      </c>
      <c r="N136" s="53">
        <f t="shared" si="8"/>
        <v>0</v>
      </c>
    </row>
    <row r="137" spans="1:14" ht="80.099999999999994" customHeight="1">
      <c r="A137" s="36">
        <v>8809941821802</v>
      </c>
      <c r="B137" s="33" t="s">
        <v>124</v>
      </c>
      <c r="C137" s="28" t="s">
        <v>209</v>
      </c>
      <c r="D137" s="29">
        <v>40</v>
      </c>
      <c r="E137" s="30">
        <v>59000</v>
      </c>
      <c r="F137" s="31">
        <v>16313</v>
      </c>
      <c r="G137" s="47">
        <f t="shared" si="6"/>
        <v>12.173880597014925</v>
      </c>
      <c r="H137" s="18"/>
      <c r="I137" s="18">
        <f>H137*D137</f>
        <v>0</v>
      </c>
      <c r="J137" s="43">
        <f t="shared" si="7"/>
        <v>0</v>
      </c>
      <c r="K137"/>
      <c r="L137" s="12"/>
      <c r="M137" s="12">
        <f>L137*D137</f>
        <v>0</v>
      </c>
      <c r="N137" s="53">
        <f t="shared" si="8"/>
        <v>0</v>
      </c>
    </row>
    <row r="138" spans="1:14" ht="80.099999999999994" customHeight="1">
      <c r="A138" s="36">
        <v>8809941820317</v>
      </c>
      <c r="B138" s="33" t="s">
        <v>125</v>
      </c>
      <c r="C138" s="28" t="s">
        <v>213</v>
      </c>
      <c r="D138" s="29">
        <v>40</v>
      </c>
      <c r="E138" s="30">
        <v>45000</v>
      </c>
      <c r="F138" s="31">
        <v>8800</v>
      </c>
      <c r="G138" s="47">
        <f t="shared" si="6"/>
        <v>6.5671641791044779</v>
      </c>
      <c r="H138" s="18"/>
      <c r="I138" s="18">
        <f>H138*D138</f>
        <v>0</v>
      </c>
      <c r="J138" s="43">
        <f t="shared" si="7"/>
        <v>0</v>
      </c>
      <c r="K138"/>
      <c r="L138" s="12"/>
      <c r="M138" s="12">
        <f>L138*D138</f>
        <v>0</v>
      </c>
      <c r="N138" s="53">
        <f t="shared" si="8"/>
        <v>0</v>
      </c>
    </row>
    <row r="139" spans="1:14" ht="80.099999999999994" customHeight="1">
      <c r="A139" s="36">
        <v>8809941822083</v>
      </c>
      <c r="B139" s="33" t="s">
        <v>126</v>
      </c>
      <c r="C139" s="28" t="s">
        <v>227</v>
      </c>
      <c r="D139" s="29">
        <v>20</v>
      </c>
      <c r="E139" s="30">
        <v>28000</v>
      </c>
      <c r="F139" s="31">
        <v>8690</v>
      </c>
      <c r="G139" s="47">
        <f t="shared" si="6"/>
        <v>6.4850746268656714</v>
      </c>
      <c r="H139" s="18"/>
      <c r="I139" s="18">
        <f>H139*D139</f>
        <v>0</v>
      </c>
      <c r="J139" s="43">
        <f t="shared" si="7"/>
        <v>0</v>
      </c>
      <c r="K139"/>
      <c r="L139" s="12"/>
      <c r="M139" s="12">
        <f>L139*D139</f>
        <v>0</v>
      </c>
      <c r="N139" s="53">
        <f t="shared" si="8"/>
        <v>0</v>
      </c>
    </row>
    <row r="140" spans="1:14" ht="80.099999999999994" customHeight="1">
      <c r="A140" s="36">
        <v>8809941822229</v>
      </c>
      <c r="B140" s="33" t="s">
        <v>127</v>
      </c>
      <c r="C140" s="28" t="s">
        <v>245</v>
      </c>
      <c r="D140" s="29">
        <v>200</v>
      </c>
      <c r="E140" s="30">
        <v>34000</v>
      </c>
      <c r="F140" s="31">
        <v>6578</v>
      </c>
      <c r="G140" s="47">
        <f t="shared" si="6"/>
        <v>4.9089552238805974</v>
      </c>
      <c r="H140" s="18"/>
      <c r="I140" s="18">
        <f>H140*D140</f>
        <v>0</v>
      </c>
      <c r="J140" s="43">
        <f t="shared" si="7"/>
        <v>0</v>
      </c>
      <c r="K140"/>
      <c r="L140" s="12"/>
      <c r="M140" s="12">
        <f>L140*D140</f>
        <v>0</v>
      </c>
      <c r="N140" s="53">
        <f t="shared" si="8"/>
        <v>0</v>
      </c>
    </row>
    <row r="141" spans="1:14" ht="80.099999999999994" customHeight="1">
      <c r="A141" s="36">
        <v>8809941821154</v>
      </c>
      <c r="B141" s="33" t="s">
        <v>128</v>
      </c>
      <c r="C141" s="28" t="s">
        <v>246</v>
      </c>
      <c r="D141" s="29">
        <v>30</v>
      </c>
      <c r="E141" s="30">
        <v>25000</v>
      </c>
      <c r="F141" s="31">
        <v>7986</v>
      </c>
      <c r="G141" s="47">
        <f t="shared" si="6"/>
        <v>5.9597014925373131</v>
      </c>
      <c r="H141" s="18"/>
      <c r="I141" s="18">
        <f>H141*D141</f>
        <v>0</v>
      </c>
      <c r="J141" s="43">
        <f t="shared" si="7"/>
        <v>0</v>
      </c>
      <c r="K141"/>
      <c r="L141" s="12"/>
      <c r="M141" s="12">
        <f>L141*D141</f>
        <v>0</v>
      </c>
      <c r="N141" s="53">
        <f t="shared" si="8"/>
        <v>0</v>
      </c>
    </row>
    <row r="142" spans="1:14" ht="80.099999999999994" customHeight="1">
      <c r="A142" s="36">
        <v>8809941821451</v>
      </c>
      <c r="B142" s="33" t="s">
        <v>129</v>
      </c>
      <c r="C142" s="28" t="s">
        <v>242</v>
      </c>
      <c r="D142" s="29">
        <v>30</v>
      </c>
      <c r="E142" s="30">
        <v>25000</v>
      </c>
      <c r="F142" s="31">
        <v>8096</v>
      </c>
      <c r="G142" s="47">
        <f t="shared" si="6"/>
        <v>6.0417910447761196</v>
      </c>
      <c r="H142" s="18"/>
      <c r="I142" s="18">
        <f>H142*D142</f>
        <v>0</v>
      </c>
      <c r="J142" s="43">
        <f t="shared" si="7"/>
        <v>0</v>
      </c>
      <c r="K142"/>
      <c r="L142" s="12"/>
      <c r="M142" s="12">
        <f>L142*D142</f>
        <v>0</v>
      </c>
      <c r="N142" s="53">
        <f t="shared" si="8"/>
        <v>0</v>
      </c>
    </row>
    <row r="143" spans="1:14" ht="80.099999999999994" customHeight="1">
      <c r="A143" s="36">
        <v>8809941820423</v>
      </c>
      <c r="B143" s="33" t="s">
        <v>130</v>
      </c>
      <c r="C143" s="28" t="s">
        <v>218</v>
      </c>
      <c r="D143" s="29">
        <v>84</v>
      </c>
      <c r="E143" s="30">
        <v>40000</v>
      </c>
      <c r="F143" s="31">
        <v>9515</v>
      </c>
      <c r="G143" s="47">
        <f t="shared" si="6"/>
        <v>7.1007462686567164</v>
      </c>
      <c r="H143" s="18"/>
      <c r="I143" s="18">
        <f>H143*D143</f>
        <v>0</v>
      </c>
      <c r="J143" s="43">
        <f t="shared" si="7"/>
        <v>0</v>
      </c>
      <c r="K143"/>
      <c r="L143" s="12"/>
      <c r="M143" s="12">
        <f>L143*D143</f>
        <v>0</v>
      </c>
      <c r="N143" s="53">
        <f t="shared" si="8"/>
        <v>0</v>
      </c>
    </row>
    <row r="144" spans="1:14" ht="80.099999999999994" customHeight="1">
      <c r="A144" s="36">
        <v>8809941820898</v>
      </c>
      <c r="B144" s="33" t="s">
        <v>131</v>
      </c>
      <c r="C144" s="28" t="s">
        <v>224</v>
      </c>
      <c r="D144" s="29">
        <v>40</v>
      </c>
      <c r="E144" s="30">
        <v>26000</v>
      </c>
      <c r="F144" s="31">
        <v>10098</v>
      </c>
      <c r="G144" s="47">
        <f t="shared" si="6"/>
        <v>7.535820895522388</v>
      </c>
      <c r="H144" s="18"/>
      <c r="I144" s="18">
        <f>H144*D144</f>
        <v>0</v>
      </c>
      <c r="J144" s="43">
        <f t="shared" si="7"/>
        <v>0</v>
      </c>
      <c r="K144"/>
      <c r="L144" s="12"/>
      <c r="M144" s="12">
        <f>L144*D144</f>
        <v>0</v>
      </c>
      <c r="N144" s="53">
        <f t="shared" si="8"/>
        <v>0</v>
      </c>
    </row>
    <row r="145" spans="1:14" ht="80.099999999999994" customHeight="1">
      <c r="A145" s="36">
        <v>8809941820904</v>
      </c>
      <c r="B145" s="33" t="s">
        <v>132</v>
      </c>
      <c r="C145" s="28" t="s">
        <v>219</v>
      </c>
      <c r="D145" s="29">
        <v>70</v>
      </c>
      <c r="E145" s="30">
        <v>24900</v>
      </c>
      <c r="F145" s="31">
        <v>7040</v>
      </c>
      <c r="G145" s="47">
        <f t="shared" si="6"/>
        <v>5.2537313432835822</v>
      </c>
      <c r="H145" s="18"/>
      <c r="I145" s="18">
        <f>H145*D145</f>
        <v>0</v>
      </c>
      <c r="J145" s="43">
        <f t="shared" si="7"/>
        <v>0</v>
      </c>
      <c r="K145"/>
      <c r="L145" s="12"/>
      <c r="M145" s="12">
        <f>L145*D145</f>
        <v>0</v>
      </c>
      <c r="N145" s="53">
        <f t="shared" si="8"/>
        <v>0</v>
      </c>
    </row>
    <row r="146" spans="1:14" ht="80.099999999999994" customHeight="1">
      <c r="A146" s="36">
        <v>8809941820935</v>
      </c>
      <c r="B146" s="33" t="s">
        <v>133</v>
      </c>
      <c r="C146" s="28" t="s">
        <v>211</v>
      </c>
      <c r="D146" s="29">
        <v>70</v>
      </c>
      <c r="E146" s="30">
        <v>25900</v>
      </c>
      <c r="F146" s="31">
        <v>7282</v>
      </c>
      <c r="G146" s="47">
        <f t="shared" si="6"/>
        <v>5.4343283582089557</v>
      </c>
      <c r="H146" s="18"/>
      <c r="I146" s="18">
        <f>H146*D146</f>
        <v>0</v>
      </c>
      <c r="J146" s="43">
        <f t="shared" si="7"/>
        <v>0</v>
      </c>
      <c r="K146"/>
      <c r="L146" s="12"/>
      <c r="M146" s="12">
        <f>L146*D146</f>
        <v>0</v>
      </c>
      <c r="N146" s="53">
        <f t="shared" si="8"/>
        <v>0</v>
      </c>
    </row>
    <row r="147" spans="1:14" ht="80.099999999999994" customHeight="1">
      <c r="A147" s="36">
        <v>8809941821437</v>
      </c>
      <c r="B147" s="33" t="s">
        <v>134</v>
      </c>
      <c r="C147" s="28" t="s">
        <v>247</v>
      </c>
      <c r="D147" s="29">
        <v>28</v>
      </c>
      <c r="E147" s="30">
        <v>25000</v>
      </c>
      <c r="F147" s="31">
        <v>8569</v>
      </c>
      <c r="G147" s="47">
        <f t="shared" si="6"/>
        <v>6.3947761194029855</v>
      </c>
      <c r="H147" s="18"/>
      <c r="I147" s="18">
        <f>H147*D147</f>
        <v>0</v>
      </c>
      <c r="J147" s="43">
        <f t="shared" si="7"/>
        <v>0</v>
      </c>
      <c r="K147"/>
      <c r="L147" s="12"/>
      <c r="M147" s="12">
        <f>L147*D147</f>
        <v>0</v>
      </c>
      <c r="N147" s="53">
        <f t="shared" si="8"/>
        <v>0</v>
      </c>
    </row>
    <row r="148" spans="1:14" ht="80.099999999999994" customHeight="1">
      <c r="A148" s="54">
        <v>8809941822236</v>
      </c>
      <c r="B148" s="64" t="s">
        <v>135</v>
      </c>
      <c r="C148" s="56" t="s">
        <v>211</v>
      </c>
      <c r="D148" s="57">
        <v>50</v>
      </c>
      <c r="E148" s="58">
        <v>53000</v>
      </c>
      <c r="F148" s="59"/>
      <c r="G148" s="60"/>
      <c r="H148" s="61"/>
      <c r="I148" s="61"/>
      <c r="J148" s="62"/>
      <c r="K148" s="63"/>
      <c r="L148" s="61"/>
      <c r="M148" s="61"/>
      <c r="N148" s="62"/>
    </row>
    <row r="149" spans="1:14" ht="80.099999999999994" customHeight="1">
      <c r="A149" s="36">
        <v>8809941821680</v>
      </c>
      <c r="B149" s="33" t="s">
        <v>136</v>
      </c>
      <c r="C149" s="28" t="s">
        <v>216</v>
      </c>
      <c r="D149" s="29">
        <v>56</v>
      </c>
      <c r="E149" s="30">
        <v>25000</v>
      </c>
      <c r="F149" s="31">
        <v>12683</v>
      </c>
      <c r="G149" s="47">
        <f t="shared" si="6"/>
        <v>9.4649253731343279</v>
      </c>
      <c r="H149" s="18"/>
      <c r="I149" s="18">
        <f>H149*D149</f>
        <v>0</v>
      </c>
      <c r="J149" s="43">
        <f t="shared" si="7"/>
        <v>0</v>
      </c>
      <c r="K149"/>
      <c r="L149" s="12"/>
      <c r="M149" s="12">
        <f>L149*D149</f>
        <v>0</v>
      </c>
      <c r="N149" s="53">
        <f t="shared" si="8"/>
        <v>0</v>
      </c>
    </row>
    <row r="150" spans="1:14" ht="80.099999999999994" customHeight="1">
      <c r="A150" s="36">
        <v>8809941822694</v>
      </c>
      <c r="B150" s="33" t="s">
        <v>137</v>
      </c>
      <c r="C150" s="28" t="s">
        <v>225</v>
      </c>
      <c r="D150" s="29">
        <v>36</v>
      </c>
      <c r="E150" s="30">
        <v>30000</v>
      </c>
      <c r="F150" s="31">
        <v>8338</v>
      </c>
      <c r="G150" s="47">
        <f t="shared" si="6"/>
        <v>6.2223880597014922</v>
      </c>
      <c r="H150" s="18"/>
      <c r="I150" s="18">
        <f>H150*D150</f>
        <v>0</v>
      </c>
      <c r="J150" s="43">
        <f t="shared" si="7"/>
        <v>0</v>
      </c>
      <c r="K150"/>
      <c r="L150" s="12"/>
      <c r="M150" s="12">
        <f>L150*D150</f>
        <v>0</v>
      </c>
      <c r="N150" s="53">
        <f t="shared" si="8"/>
        <v>0</v>
      </c>
    </row>
    <row r="151" spans="1:14" ht="80.099999999999994" customHeight="1">
      <c r="A151" s="36">
        <v>8809941820706</v>
      </c>
      <c r="B151" s="33" t="s">
        <v>138</v>
      </c>
      <c r="C151" s="28" t="s">
        <v>222</v>
      </c>
      <c r="D151" s="29">
        <v>24</v>
      </c>
      <c r="E151" s="30">
        <v>14000</v>
      </c>
      <c r="F151" s="31">
        <v>4466</v>
      </c>
      <c r="G151" s="47">
        <f t="shared" si="6"/>
        <v>3.3328358208955224</v>
      </c>
      <c r="H151" s="18"/>
      <c r="I151" s="18">
        <f>H151*D151</f>
        <v>0</v>
      </c>
      <c r="J151" s="43">
        <f t="shared" si="7"/>
        <v>0</v>
      </c>
      <c r="K151"/>
      <c r="L151" s="12"/>
      <c r="M151" s="12">
        <f>L151*D151</f>
        <v>0</v>
      </c>
      <c r="N151" s="53">
        <f t="shared" si="8"/>
        <v>0</v>
      </c>
    </row>
    <row r="152" spans="1:14" ht="80.099999999999994" customHeight="1">
      <c r="A152" s="36">
        <v>8809941822359</v>
      </c>
      <c r="B152" s="33" t="s">
        <v>139</v>
      </c>
      <c r="C152" s="28" t="s">
        <v>218</v>
      </c>
      <c r="D152" s="29">
        <v>50</v>
      </c>
      <c r="E152" s="30">
        <v>43000</v>
      </c>
      <c r="F152" s="31">
        <v>11616</v>
      </c>
      <c r="G152" s="47">
        <f t="shared" si="6"/>
        <v>8.6686567164179102</v>
      </c>
      <c r="H152" s="18"/>
      <c r="I152" s="18">
        <f>H152*D152</f>
        <v>0</v>
      </c>
      <c r="J152" s="43">
        <f t="shared" si="7"/>
        <v>0</v>
      </c>
      <c r="K152"/>
      <c r="L152" s="12"/>
      <c r="M152" s="12">
        <f>L152*D152</f>
        <v>0</v>
      </c>
      <c r="N152" s="53">
        <f t="shared" si="8"/>
        <v>0</v>
      </c>
    </row>
    <row r="153" spans="1:14" ht="80.099999999999994" customHeight="1">
      <c r="A153" s="36">
        <v>8809941822366</v>
      </c>
      <c r="B153" s="33" t="s">
        <v>140</v>
      </c>
      <c r="C153" s="28" t="s">
        <v>218</v>
      </c>
      <c r="D153" s="29">
        <v>50</v>
      </c>
      <c r="E153" s="30">
        <v>48000</v>
      </c>
      <c r="F153" s="31">
        <v>15136</v>
      </c>
      <c r="G153" s="47">
        <f t="shared" si="6"/>
        <v>11.295522388059702</v>
      </c>
      <c r="H153" s="18"/>
      <c r="I153" s="18">
        <f>H153*D153</f>
        <v>0</v>
      </c>
      <c r="J153" s="43">
        <f t="shared" si="7"/>
        <v>0</v>
      </c>
      <c r="K153"/>
      <c r="L153" s="12"/>
      <c r="M153" s="12">
        <f>L153*D153</f>
        <v>0</v>
      </c>
      <c r="N153" s="53">
        <f t="shared" si="8"/>
        <v>0</v>
      </c>
    </row>
    <row r="154" spans="1:14" ht="80.099999999999994" customHeight="1">
      <c r="A154" s="36">
        <v>8809941820270</v>
      </c>
      <c r="B154" s="33" t="s">
        <v>113</v>
      </c>
      <c r="C154" s="28" t="s">
        <v>222</v>
      </c>
      <c r="D154" s="29">
        <v>24</v>
      </c>
      <c r="E154" s="30">
        <v>12000</v>
      </c>
      <c r="F154" s="31">
        <v>4466</v>
      </c>
      <c r="G154" s="47">
        <f t="shared" si="6"/>
        <v>3.3328358208955224</v>
      </c>
      <c r="H154" s="18"/>
      <c r="I154" s="18">
        <f>H154*D154</f>
        <v>0</v>
      </c>
      <c r="J154" s="43">
        <f t="shared" si="7"/>
        <v>0</v>
      </c>
      <c r="K154"/>
      <c r="L154" s="12"/>
      <c r="M154" s="12">
        <f>L154*D154</f>
        <v>0</v>
      </c>
      <c r="N154" s="53">
        <f t="shared" si="8"/>
        <v>0</v>
      </c>
    </row>
    <row r="155" spans="1:14" ht="80.099999999999994" customHeight="1">
      <c r="A155" s="36">
        <v>8809941822281</v>
      </c>
      <c r="B155" s="33" t="s">
        <v>141</v>
      </c>
      <c r="C155" s="28" t="s">
        <v>248</v>
      </c>
      <c r="D155" s="29">
        <v>150</v>
      </c>
      <c r="E155" s="30">
        <v>4000</v>
      </c>
      <c r="F155" s="31">
        <v>2354</v>
      </c>
      <c r="G155" s="47">
        <f t="shared" si="6"/>
        <v>1.7567164179104477</v>
      </c>
      <c r="H155" s="18"/>
      <c r="I155" s="18">
        <f>H155*D155</f>
        <v>0</v>
      </c>
      <c r="J155" s="43">
        <f t="shared" si="7"/>
        <v>0</v>
      </c>
      <c r="K155"/>
      <c r="L155" s="12"/>
      <c r="M155" s="12">
        <f>L155*D155</f>
        <v>0</v>
      </c>
      <c r="N155" s="53">
        <f t="shared" si="8"/>
        <v>0</v>
      </c>
    </row>
    <row r="156" spans="1:14" ht="80.099999999999994" customHeight="1">
      <c r="A156" s="36">
        <v>8809941822298</v>
      </c>
      <c r="B156" s="33" t="s">
        <v>142</v>
      </c>
      <c r="C156" s="28" t="s">
        <v>248</v>
      </c>
      <c r="D156" s="29">
        <v>150</v>
      </c>
      <c r="E156" s="30">
        <v>4000</v>
      </c>
      <c r="F156" s="31">
        <v>2354</v>
      </c>
      <c r="G156" s="47">
        <f t="shared" si="6"/>
        <v>1.7567164179104477</v>
      </c>
      <c r="H156" s="18"/>
      <c r="I156" s="18">
        <f>H156*D156</f>
        <v>0</v>
      </c>
      <c r="J156" s="43">
        <f t="shared" si="7"/>
        <v>0</v>
      </c>
      <c r="K156"/>
      <c r="L156" s="12"/>
      <c r="M156" s="12">
        <f>L156*D156</f>
        <v>0</v>
      </c>
      <c r="N156" s="53">
        <f t="shared" si="8"/>
        <v>0</v>
      </c>
    </row>
    <row r="157" spans="1:14" ht="80.099999999999994" customHeight="1">
      <c r="A157" s="36">
        <v>8809941822304</v>
      </c>
      <c r="B157" s="33" t="s">
        <v>143</v>
      </c>
      <c r="C157" s="28" t="s">
        <v>248</v>
      </c>
      <c r="D157" s="29">
        <v>150</v>
      </c>
      <c r="E157" s="30">
        <v>4000</v>
      </c>
      <c r="F157" s="31">
        <v>2354</v>
      </c>
      <c r="G157" s="47">
        <f t="shared" si="6"/>
        <v>1.7567164179104477</v>
      </c>
      <c r="H157" s="18"/>
      <c r="I157" s="18">
        <f>H157*D157</f>
        <v>0</v>
      </c>
      <c r="J157" s="43">
        <f t="shared" si="7"/>
        <v>0</v>
      </c>
      <c r="K157"/>
      <c r="L157" s="12"/>
      <c r="M157" s="12">
        <f>L157*D157</f>
        <v>0</v>
      </c>
      <c r="N157" s="53">
        <f t="shared" si="8"/>
        <v>0</v>
      </c>
    </row>
    <row r="158" spans="1:14" ht="80.099999999999994" customHeight="1">
      <c r="A158" s="36">
        <v>8809941822311</v>
      </c>
      <c r="B158" s="33" t="s">
        <v>144</v>
      </c>
      <c r="C158" s="28" t="s">
        <v>248</v>
      </c>
      <c r="D158" s="29">
        <v>150</v>
      </c>
      <c r="E158" s="30">
        <v>4000</v>
      </c>
      <c r="F158" s="31">
        <v>2354</v>
      </c>
      <c r="G158" s="47">
        <f t="shared" si="6"/>
        <v>1.7567164179104477</v>
      </c>
      <c r="H158" s="18"/>
      <c r="I158" s="18">
        <f>H158*D158</f>
        <v>0</v>
      </c>
      <c r="J158" s="43">
        <f t="shared" si="7"/>
        <v>0</v>
      </c>
      <c r="K158"/>
      <c r="L158" s="12"/>
      <c r="M158" s="12">
        <f>L158*D158</f>
        <v>0</v>
      </c>
      <c r="N158" s="53">
        <f t="shared" si="8"/>
        <v>0</v>
      </c>
    </row>
    <row r="159" spans="1:14" ht="80.099999999999994" customHeight="1">
      <c r="A159" s="36">
        <v>8809941822373</v>
      </c>
      <c r="B159" s="33" t="s">
        <v>145</v>
      </c>
      <c r="C159" s="28" t="s">
        <v>216</v>
      </c>
      <c r="D159" s="29">
        <v>56</v>
      </c>
      <c r="E159" s="30">
        <v>28000</v>
      </c>
      <c r="F159" s="31">
        <v>12683</v>
      </c>
      <c r="G159" s="47">
        <f t="shared" si="6"/>
        <v>9.4649253731343279</v>
      </c>
      <c r="H159" s="18"/>
      <c r="I159" s="18">
        <f>H159*D159</f>
        <v>0</v>
      </c>
      <c r="J159" s="43">
        <f t="shared" si="7"/>
        <v>0</v>
      </c>
      <c r="K159"/>
      <c r="L159" s="12"/>
      <c r="M159" s="12">
        <f>L159*D159</f>
        <v>0</v>
      </c>
      <c r="N159" s="53">
        <f t="shared" si="8"/>
        <v>0</v>
      </c>
    </row>
    <row r="160" spans="1:14" ht="80.099999999999994" customHeight="1">
      <c r="A160" s="36">
        <v>8809941822243</v>
      </c>
      <c r="B160" s="33" t="s">
        <v>146</v>
      </c>
      <c r="C160" s="28" t="s">
        <v>219</v>
      </c>
      <c r="D160" s="29">
        <v>70</v>
      </c>
      <c r="E160" s="30">
        <v>42000</v>
      </c>
      <c r="F160" s="31">
        <v>10791</v>
      </c>
      <c r="G160" s="47">
        <f t="shared" si="6"/>
        <v>8.0529850746268661</v>
      </c>
      <c r="H160" s="18"/>
      <c r="I160" s="18">
        <f>H160*D160</f>
        <v>0</v>
      </c>
      <c r="J160" s="43">
        <f t="shared" si="7"/>
        <v>0</v>
      </c>
      <c r="K160"/>
      <c r="L160" s="12"/>
      <c r="M160" s="12">
        <f>L160*D160</f>
        <v>0</v>
      </c>
      <c r="N160" s="53">
        <f t="shared" si="8"/>
        <v>0</v>
      </c>
    </row>
    <row r="161" spans="1:14" ht="80.099999999999994" customHeight="1">
      <c r="A161" s="36">
        <v>8809941821833</v>
      </c>
      <c r="B161" s="33" t="s">
        <v>147</v>
      </c>
      <c r="C161" s="28" t="s">
        <v>249</v>
      </c>
      <c r="D161" s="29">
        <v>50</v>
      </c>
      <c r="E161" s="30">
        <v>29000</v>
      </c>
      <c r="F161" s="31">
        <v>9746</v>
      </c>
      <c r="G161" s="47">
        <f t="shared" si="6"/>
        <v>7.2731343283582088</v>
      </c>
      <c r="H161" s="18"/>
      <c r="I161" s="18">
        <f>H161*D161</f>
        <v>0</v>
      </c>
      <c r="J161" s="43">
        <f t="shared" si="7"/>
        <v>0</v>
      </c>
      <c r="K161"/>
      <c r="L161" s="12"/>
      <c r="M161" s="12">
        <f>L161*D161</f>
        <v>0</v>
      </c>
      <c r="N161" s="53">
        <f t="shared" si="8"/>
        <v>0</v>
      </c>
    </row>
    <row r="162" spans="1:14" ht="80.099999999999994" customHeight="1">
      <c r="A162" s="36">
        <v>8809941822175</v>
      </c>
      <c r="B162" s="33" t="s">
        <v>148</v>
      </c>
      <c r="C162" s="28" t="s">
        <v>211</v>
      </c>
      <c r="D162" s="29">
        <v>50</v>
      </c>
      <c r="E162" s="30">
        <v>75000</v>
      </c>
      <c r="F162" s="31">
        <v>16071</v>
      </c>
      <c r="G162" s="47">
        <f t="shared" si="6"/>
        <v>11.993283582089552</v>
      </c>
      <c r="H162" s="18"/>
      <c r="I162" s="18">
        <f>H162*D162</f>
        <v>0</v>
      </c>
      <c r="J162" s="43">
        <f t="shared" si="7"/>
        <v>0</v>
      </c>
      <c r="K162"/>
      <c r="L162" s="12"/>
      <c r="M162" s="12">
        <f>L162*D162</f>
        <v>0</v>
      </c>
      <c r="N162" s="53">
        <f t="shared" si="8"/>
        <v>0</v>
      </c>
    </row>
    <row r="163" spans="1:14" ht="80.099999999999994" customHeight="1">
      <c r="A163" s="36">
        <v>8809941822168</v>
      </c>
      <c r="B163" s="33" t="s">
        <v>149</v>
      </c>
      <c r="C163" s="28" t="s">
        <v>218</v>
      </c>
      <c r="D163" s="29">
        <v>40</v>
      </c>
      <c r="E163" s="30">
        <v>70000</v>
      </c>
      <c r="F163" s="31">
        <v>16654</v>
      </c>
      <c r="G163" s="47">
        <f t="shared" si="6"/>
        <v>12.428358208955224</v>
      </c>
      <c r="H163" s="18"/>
      <c r="I163" s="18">
        <f>H163*D163</f>
        <v>0</v>
      </c>
      <c r="J163" s="43">
        <f t="shared" si="7"/>
        <v>0</v>
      </c>
      <c r="K163"/>
      <c r="L163" s="12"/>
      <c r="M163" s="12">
        <f>L163*D163</f>
        <v>0</v>
      </c>
      <c r="N163" s="53">
        <f t="shared" si="8"/>
        <v>0</v>
      </c>
    </row>
    <row r="164" spans="1:14" ht="80.099999999999994" customHeight="1">
      <c r="A164" s="36">
        <v>8809941823554</v>
      </c>
      <c r="B164" s="33" t="s">
        <v>150</v>
      </c>
      <c r="C164" s="28" t="s">
        <v>250</v>
      </c>
      <c r="D164" s="29">
        <v>12</v>
      </c>
      <c r="E164" s="30">
        <v>48000</v>
      </c>
      <c r="F164" s="31">
        <v>22649</v>
      </c>
      <c r="G164" s="47">
        <f t="shared" si="6"/>
        <v>16.90223880597015</v>
      </c>
      <c r="H164" s="18"/>
      <c r="I164" s="18">
        <f>H164*D164</f>
        <v>0</v>
      </c>
      <c r="J164" s="43">
        <f t="shared" si="7"/>
        <v>0</v>
      </c>
      <c r="K164"/>
      <c r="L164" s="12"/>
      <c r="M164" s="12">
        <f>L164*D164</f>
        <v>0</v>
      </c>
      <c r="N164" s="53">
        <f t="shared" si="8"/>
        <v>0</v>
      </c>
    </row>
    <row r="165" spans="1:14" ht="80.099999999999994" customHeight="1">
      <c r="A165" s="36">
        <v>8809941823561</v>
      </c>
      <c r="B165" s="33" t="s">
        <v>151</v>
      </c>
      <c r="C165" s="28" t="s">
        <v>250</v>
      </c>
      <c r="D165" s="29">
        <v>12</v>
      </c>
      <c r="E165" s="30">
        <v>48000</v>
      </c>
      <c r="F165" s="31">
        <v>22649</v>
      </c>
      <c r="G165" s="47">
        <f t="shared" si="6"/>
        <v>16.90223880597015</v>
      </c>
      <c r="H165" s="18"/>
      <c r="I165" s="18">
        <f>H165*D165</f>
        <v>0</v>
      </c>
      <c r="J165" s="43">
        <f t="shared" si="7"/>
        <v>0</v>
      </c>
      <c r="K165"/>
      <c r="L165" s="12"/>
      <c r="M165" s="12">
        <f>L165*D165</f>
        <v>0</v>
      </c>
      <c r="N165" s="53">
        <f t="shared" si="8"/>
        <v>0</v>
      </c>
    </row>
    <row r="166" spans="1:14" ht="80.099999999999994" customHeight="1">
      <c r="A166" s="36">
        <v>8809941823578</v>
      </c>
      <c r="B166" s="33" t="s">
        <v>152</v>
      </c>
      <c r="C166" s="28" t="s">
        <v>250</v>
      </c>
      <c r="D166" s="29">
        <v>12</v>
      </c>
      <c r="E166" s="30">
        <v>48000</v>
      </c>
      <c r="F166" s="31">
        <v>22649</v>
      </c>
      <c r="G166" s="47">
        <f t="shared" si="6"/>
        <v>16.90223880597015</v>
      </c>
      <c r="H166" s="18"/>
      <c r="I166" s="18">
        <f>H166*D166</f>
        <v>0</v>
      </c>
      <c r="J166" s="43">
        <f t="shared" si="7"/>
        <v>0</v>
      </c>
      <c r="K166"/>
      <c r="L166" s="12"/>
      <c r="M166" s="12">
        <f>L166*D166</f>
        <v>0</v>
      </c>
      <c r="N166" s="53">
        <f t="shared" si="8"/>
        <v>0</v>
      </c>
    </row>
    <row r="167" spans="1:14" ht="80.099999999999994" customHeight="1">
      <c r="A167" s="36">
        <v>8809941823585</v>
      </c>
      <c r="B167" s="33" t="s">
        <v>153</v>
      </c>
      <c r="C167" s="28" t="s">
        <v>250</v>
      </c>
      <c r="D167" s="29">
        <v>12</v>
      </c>
      <c r="E167" s="30">
        <v>48000</v>
      </c>
      <c r="F167" s="31">
        <v>22649</v>
      </c>
      <c r="G167" s="47">
        <f t="shared" si="6"/>
        <v>16.90223880597015</v>
      </c>
      <c r="H167" s="18"/>
      <c r="I167" s="18">
        <f>H167*D167</f>
        <v>0</v>
      </c>
      <c r="J167" s="43">
        <f t="shared" si="7"/>
        <v>0</v>
      </c>
      <c r="K167"/>
      <c r="L167" s="12"/>
      <c r="M167" s="12">
        <f>L167*D167</f>
        <v>0</v>
      </c>
      <c r="N167" s="53">
        <f t="shared" si="8"/>
        <v>0</v>
      </c>
    </row>
    <row r="168" spans="1:14" ht="80.099999999999994" customHeight="1">
      <c r="A168" s="36">
        <v>8809941823035</v>
      </c>
      <c r="B168" s="33" t="s">
        <v>154</v>
      </c>
      <c r="C168" s="28" t="s">
        <v>251</v>
      </c>
      <c r="D168" s="29">
        <v>30</v>
      </c>
      <c r="E168" s="30">
        <v>28000</v>
      </c>
      <c r="F168" s="31">
        <v>8338</v>
      </c>
      <c r="G168" s="47">
        <f t="shared" si="6"/>
        <v>6.2223880597014922</v>
      </c>
      <c r="H168" s="18"/>
      <c r="I168" s="18">
        <f>H168*D168</f>
        <v>0</v>
      </c>
      <c r="J168" s="43">
        <f t="shared" si="7"/>
        <v>0</v>
      </c>
      <c r="K168"/>
      <c r="L168" s="12"/>
      <c r="M168" s="12">
        <f>L168*D168</f>
        <v>0</v>
      </c>
      <c r="N168" s="53">
        <f t="shared" si="8"/>
        <v>0</v>
      </c>
    </row>
    <row r="169" spans="1:14" ht="80.099999999999994" customHeight="1">
      <c r="A169" s="36">
        <v>8809941823103</v>
      </c>
      <c r="B169" s="33" t="s">
        <v>155</v>
      </c>
      <c r="C169" s="28" t="s">
        <v>252</v>
      </c>
      <c r="D169" s="29">
        <v>60</v>
      </c>
      <c r="E169" s="30">
        <v>23000</v>
      </c>
      <c r="F169" s="31">
        <v>9515</v>
      </c>
      <c r="G169" s="47">
        <f t="shared" si="6"/>
        <v>7.1007462686567164</v>
      </c>
      <c r="H169" s="18"/>
      <c r="I169" s="18">
        <f>H169*D169</f>
        <v>0</v>
      </c>
      <c r="J169" s="43">
        <f t="shared" si="7"/>
        <v>0</v>
      </c>
      <c r="K169"/>
      <c r="L169" s="12"/>
      <c r="M169" s="12">
        <f>L169*D169</f>
        <v>0</v>
      </c>
      <c r="N169" s="53">
        <f t="shared" si="8"/>
        <v>0</v>
      </c>
    </row>
    <row r="170" spans="1:14" ht="80.099999999999994" customHeight="1">
      <c r="A170" s="36">
        <v>8809941821734</v>
      </c>
      <c r="B170" s="33" t="s">
        <v>156</v>
      </c>
      <c r="C170" s="28" t="s">
        <v>225</v>
      </c>
      <c r="D170" s="29">
        <v>40</v>
      </c>
      <c r="E170" s="30">
        <v>21000</v>
      </c>
      <c r="F170" s="31">
        <v>14432</v>
      </c>
      <c r="G170" s="47">
        <f t="shared" si="6"/>
        <v>10.770149253731343</v>
      </c>
      <c r="H170" s="18"/>
      <c r="I170" s="18">
        <f>H170*D170</f>
        <v>0</v>
      </c>
      <c r="J170" s="43">
        <f t="shared" si="7"/>
        <v>0</v>
      </c>
      <c r="K170"/>
      <c r="L170" s="12"/>
      <c r="M170" s="12">
        <f>L170*D170</f>
        <v>0</v>
      </c>
      <c r="N170" s="53">
        <f t="shared" si="8"/>
        <v>0</v>
      </c>
    </row>
    <row r="171" spans="1:14" ht="80.099999999999994" customHeight="1">
      <c r="A171" s="36">
        <v>8809409348407</v>
      </c>
      <c r="B171" s="33" t="s">
        <v>157</v>
      </c>
      <c r="C171" s="28" t="s">
        <v>209</v>
      </c>
      <c r="D171" s="29">
        <v>56</v>
      </c>
      <c r="E171" s="30">
        <v>24500</v>
      </c>
      <c r="F171" s="31">
        <v>11968</v>
      </c>
      <c r="G171" s="47">
        <f t="shared" si="6"/>
        <v>8.9313432835820894</v>
      </c>
      <c r="H171" s="18"/>
      <c r="I171" s="18">
        <f>H171*D171</f>
        <v>0</v>
      </c>
      <c r="J171" s="43">
        <f t="shared" si="7"/>
        <v>0</v>
      </c>
      <c r="K171"/>
      <c r="L171" s="12"/>
      <c r="M171" s="12">
        <f>L171*D171</f>
        <v>0</v>
      </c>
      <c r="N171" s="53">
        <f t="shared" si="8"/>
        <v>0</v>
      </c>
    </row>
    <row r="172" spans="1:14" ht="80.099999999999994" customHeight="1">
      <c r="A172" s="36">
        <v>8809409345116</v>
      </c>
      <c r="B172" s="33" t="s">
        <v>158</v>
      </c>
      <c r="C172" s="28" t="s">
        <v>253</v>
      </c>
      <c r="D172" s="29">
        <v>10</v>
      </c>
      <c r="E172" s="30">
        <v>129000</v>
      </c>
      <c r="F172" s="31">
        <v>35178</v>
      </c>
      <c r="G172" s="47">
        <f t="shared" si="6"/>
        <v>26.252238805970148</v>
      </c>
      <c r="H172" s="18"/>
      <c r="I172" s="18">
        <f>H172*D172</f>
        <v>0</v>
      </c>
      <c r="J172" s="43">
        <f t="shared" si="7"/>
        <v>0</v>
      </c>
      <c r="K172"/>
      <c r="L172" s="12"/>
      <c r="M172" s="12">
        <f>L172*D172</f>
        <v>0</v>
      </c>
      <c r="N172" s="53">
        <f t="shared" si="8"/>
        <v>0</v>
      </c>
    </row>
    <row r="173" spans="1:14" ht="80.099999999999994" customHeight="1">
      <c r="A173" s="36">
        <v>8809941823677</v>
      </c>
      <c r="B173" s="33" t="s">
        <v>159</v>
      </c>
      <c r="C173" s="28" t="s">
        <v>227</v>
      </c>
      <c r="D173" s="29">
        <v>30</v>
      </c>
      <c r="E173" s="30">
        <v>30000</v>
      </c>
      <c r="F173" s="31">
        <v>8448</v>
      </c>
      <c r="G173" s="47">
        <f t="shared" si="6"/>
        <v>6.3044776119402988</v>
      </c>
      <c r="H173" s="18"/>
      <c r="I173" s="18">
        <f>H173*D173</f>
        <v>0</v>
      </c>
      <c r="J173" s="43">
        <f t="shared" si="7"/>
        <v>0</v>
      </c>
      <c r="K173"/>
      <c r="L173" s="12"/>
      <c r="M173" s="12">
        <f>L173*D173</f>
        <v>0</v>
      </c>
      <c r="N173" s="53">
        <f t="shared" si="8"/>
        <v>0</v>
      </c>
    </row>
    <row r="174" spans="1:14" ht="80.099999999999994" customHeight="1">
      <c r="A174" s="54">
        <v>8809941823424</v>
      </c>
      <c r="B174" s="64" t="s">
        <v>160</v>
      </c>
      <c r="C174" s="56" t="s">
        <v>217</v>
      </c>
      <c r="D174" s="57">
        <v>50</v>
      </c>
      <c r="E174" s="58">
        <v>45000</v>
      </c>
      <c r="F174" s="59"/>
      <c r="G174" s="60"/>
      <c r="H174" s="61"/>
      <c r="I174" s="61"/>
      <c r="J174" s="62"/>
      <c r="K174" s="63"/>
      <c r="L174" s="61"/>
      <c r="M174" s="61"/>
      <c r="N174" s="62"/>
    </row>
    <row r="175" spans="1:14" ht="80.099999999999994" customHeight="1">
      <c r="A175" s="54">
        <v>8809409340883</v>
      </c>
      <c r="B175" s="64" t="s">
        <v>105</v>
      </c>
      <c r="C175" s="56" t="s">
        <v>218</v>
      </c>
      <c r="D175" s="57">
        <v>70</v>
      </c>
      <c r="E175" s="58">
        <v>74000</v>
      </c>
      <c r="F175" s="59"/>
      <c r="G175" s="60"/>
      <c r="H175" s="61"/>
      <c r="I175" s="61"/>
      <c r="J175" s="62"/>
      <c r="K175" s="63"/>
      <c r="L175" s="61"/>
      <c r="M175" s="61"/>
      <c r="N175" s="62"/>
    </row>
    <row r="176" spans="1:14" ht="80.099999999999994" customHeight="1">
      <c r="A176" s="36">
        <v>8809941823653</v>
      </c>
      <c r="B176" s="33" t="s">
        <v>161</v>
      </c>
      <c r="C176" s="28" t="s">
        <v>216</v>
      </c>
      <c r="D176" s="29">
        <v>63</v>
      </c>
      <c r="E176" s="30">
        <v>52000</v>
      </c>
      <c r="F176" s="31">
        <v>13728</v>
      </c>
      <c r="G176" s="47">
        <f t="shared" si="6"/>
        <v>10.244776119402985</v>
      </c>
      <c r="H176" s="18"/>
      <c r="I176" s="18">
        <f>H176*D176</f>
        <v>0</v>
      </c>
      <c r="J176" s="43">
        <f t="shared" si="7"/>
        <v>0</v>
      </c>
      <c r="K176"/>
      <c r="L176" s="12"/>
      <c r="M176" s="12">
        <f>L176*D176</f>
        <v>0</v>
      </c>
      <c r="N176" s="53">
        <f t="shared" si="8"/>
        <v>0</v>
      </c>
    </row>
    <row r="177" spans="1:14" ht="80.099999999999994" customHeight="1">
      <c r="A177" s="36">
        <v>8809941821055</v>
      </c>
      <c r="B177" s="33" t="s">
        <v>162</v>
      </c>
      <c r="C177" s="28" t="s">
        <v>216</v>
      </c>
      <c r="D177" s="29">
        <v>56</v>
      </c>
      <c r="E177" s="30">
        <v>28000</v>
      </c>
      <c r="F177" s="31">
        <v>17589</v>
      </c>
      <c r="G177" s="47">
        <f t="shared" si="6"/>
        <v>13.126119402985074</v>
      </c>
      <c r="H177" s="18"/>
      <c r="I177" s="18">
        <f>H177*D177</f>
        <v>0</v>
      </c>
      <c r="J177" s="43">
        <f t="shared" si="7"/>
        <v>0</v>
      </c>
      <c r="K177"/>
      <c r="L177" s="12"/>
      <c r="M177" s="12">
        <f>L177*D177</f>
        <v>0</v>
      </c>
      <c r="N177" s="53">
        <f t="shared" si="8"/>
        <v>0</v>
      </c>
    </row>
    <row r="178" spans="1:14" ht="80.099999999999994" customHeight="1">
      <c r="A178" s="36">
        <v>8809941824230</v>
      </c>
      <c r="B178" s="33" t="s">
        <v>163</v>
      </c>
      <c r="C178" s="28" t="s">
        <v>226</v>
      </c>
      <c r="D178" s="29">
        <v>48</v>
      </c>
      <c r="E178" s="30">
        <v>38000</v>
      </c>
      <c r="F178" s="31">
        <v>11264</v>
      </c>
      <c r="G178" s="47">
        <f t="shared" si="6"/>
        <v>8.4059701492537311</v>
      </c>
      <c r="H178" s="18"/>
      <c r="I178" s="18">
        <f>H178*D178</f>
        <v>0</v>
      </c>
      <c r="J178" s="43">
        <f t="shared" si="7"/>
        <v>0</v>
      </c>
      <c r="K178"/>
      <c r="L178" s="12"/>
      <c r="M178" s="12">
        <f>L178*D178</f>
        <v>0</v>
      </c>
      <c r="N178" s="53">
        <f t="shared" si="8"/>
        <v>0</v>
      </c>
    </row>
    <row r="179" spans="1:14" ht="80.099999999999994" customHeight="1">
      <c r="A179" s="36">
        <v>8809409340098</v>
      </c>
      <c r="B179" s="33" t="s">
        <v>45</v>
      </c>
      <c r="C179" s="28" t="s">
        <v>222</v>
      </c>
      <c r="D179" s="29">
        <v>24</v>
      </c>
      <c r="E179" s="30">
        <v>14000</v>
      </c>
      <c r="F179" s="31">
        <v>4587</v>
      </c>
      <c r="G179" s="47">
        <f t="shared" si="6"/>
        <v>3.4231343283582087</v>
      </c>
      <c r="H179" s="18"/>
      <c r="I179" s="18">
        <f>H179*D179</f>
        <v>0</v>
      </c>
      <c r="J179" s="43">
        <f t="shared" si="7"/>
        <v>0</v>
      </c>
      <c r="K179"/>
      <c r="L179" s="12"/>
      <c r="M179" s="12">
        <f>L179*D179</f>
        <v>0</v>
      </c>
      <c r="N179" s="53">
        <f t="shared" si="8"/>
        <v>0</v>
      </c>
    </row>
    <row r="180" spans="1:14" ht="80.099999999999994" customHeight="1">
      <c r="A180" s="36">
        <v>8809941824025</v>
      </c>
      <c r="B180" s="33" t="s">
        <v>164</v>
      </c>
      <c r="C180" s="28" t="s">
        <v>218</v>
      </c>
      <c r="D180" s="29">
        <v>50</v>
      </c>
      <c r="E180" s="30">
        <v>43000</v>
      </c>
      <c r="F180" s="31">
        <v>11264</v>
      </c>
      <c r="G180" s="47">
        <f t="shared" si="6"/>
        <v>8.4059701492537311</v>
      </c>
      <c r="H180" s="18"/>
      <c r="I180" s="18">
        <f>H180*D180</f>
        <v>0</v>
      </c>
      <c r="J180" s="43">
        <f t="shared" si="7"/>
        <v>0</v>
      </c>
      <c r="K180"/>
      <c r="L180" s="12"/>
      <c r="M180" s="12">
        <f>L180*D180</f>
        <v>0</v>
      </c>
      <c r="N180" s="53">
        <f t="shared" si="8"/>
        <v>0</v>
      </c>
    </row>
    <row r="181" spans="1:14" ht="80.099999999999994" customHeight="1">
      <c r="A181" s="36">
        <v>8809941823356</v>
      </c>
      <c r="B181" s="33" t="s">
        <v>2</v>
      </c>
      <c r="C181" s="28" t="s">
        <v>2</v>
      </c>
      <c r="D181" s="29">
        <v>1000</v>
      </c>
      <c r="E181" s="30">
        <v>2000</v>
      </c>
      <c r="F181" s="31">
        <v>2002</v>
      </c>
      <c r="G181" s="47">
        <f t="shared" si="6"/>
        <v>1.4940298507462686</v>
      </c>
      <c r="H181" s="18"/>
      <c r="I181" s="18">
        <f>H181*D181</f>
        <v>0</v>
      </c>
      <c r="J181" s="43">
        <f t="shared" si="7"/>
        <v>0</v>
      </c>
      <c r="K181"/>
      <c r="L181" s="12"/>
      <c r="M181" s="12">
        <f>L181*D181</f>
        <v>0</v>
      </c>
      <c r="N181" s="53">
        <f t="shared" si="8"/>
        <v>0</v>
      </c>
    </row>
    <row r="182" spans="1:14" ht="80.099999999999994" customHeight="1">
      <c r="A182" s="36">
        <v>8809941824261</v>
      </c>
      <c r="B182" s="33" t="s">
        <v>165</v>
      </c>
      <c r="C182" s="28" t="s">
        <v>216</v>
      </c>
      <c r="D182" s="29">
        <v>56</v>
      </c>
      <c r="E182" s="30">
        <v>28000</v>
      </c>
      <c r="F182" s="31">
        <v>15719</v>
      </c>
      <c r="G182" s="47">
        <f t="shared" si="6"/>
        <v>11.730597014925372</v>
      </c>
      <c r="H182" s="18"/>
      <c r="I182" s="18">
        <f>H182*D182</f>
        <v>0</v>
      </c>
      <c r="J182" s="43">
        <f t="shared" si="7"/>
        <v>0</v>
      </c>
      <c r="K182"/>
      <c r="L182" s="12"/>
      <c r="M182" s="12">
        <f>L182*D182</f>
        <v>0</v>
      </c>
      <c r="N182" s="53">
        <f t="shared" si="8"/>
        <v>0</v>
      </c>
    </row>
    <row r="183" spans="1:14" ht="80.099999999999994" customHeight="1">
      <c r="A183" s="36">
        <v>8809941824483</v>
      </c>
      <c r="B183" s="33" t="s">
        <v>166</v>
      </c>
      <c r="C183" s="28" t="s">
        <v>254</v>
      </c>
      <c r="D183" s="29">
        <v>50</v>
      </c>
      <c r="E183" s="30">
        <v>16000</v>
      </c>
      <c r="F183" s="31">
        <v>10560</v>
      </c>
      <c r="G183" s="47">
        <f t="shared" si="6"/>
        <v>7.8805970149253728</v>
      </c>
      <c r="H183" s="18"/>
      <c r="I183" s="18">
        <f>H183*D183</f>
        <v>0</v>
      </c>
      <c r="J183" s="43">
        <f t="shared" si="7"/>
        <v>0</v>
      </c>
      <c r="K183"/>
      <c r="L183" s="12"/>
      <c r="M183" s="12">
        <f>L183*D183</f>
        <v>0</v>
      </c>
      <c r="N183" s="53">
        <f t="shared" si="8"/>
        <v>0</v>
      </c>
    </row>
    <row r="184" spans="1:14" ht="80.099999999999994" customHeight="1">
      <c r="A184" s="36">
        <v>8809941824285</v>
      </c>
      <c r="B184" s="33" t="s">
        <v>167</v>
      </c>
      <c r="C184" s="28" t="s">
        <v>216</v>
      </c>
      <c r="D184" s="29">
        <v>56</v>
      </c>
      <c r="E184" s="30">
        <v>35000</v>
      </c>
      <c r="F184" s="31">
        <v>18887</v>
      </c>
      <c r="G184" s="47">
        <f t="shared" si="6"/>
        <v>14.094776119402985</v>
      </c>
      <c r="H184" s="18"/>
      <c r="I184" s="18">
        <f>H184*D184</f>
        <v>0</v>
      </c>
      <c r="J184" s="43">
        <f t="shared" si="7"/>
        <v>0</v>
      </c>
      <c r="K184"/>
      <c r="L184" s="12"/>
      <c r="M184" s="12">
        <f>L184*D184</f>
        <v>0</v>
      </c>
      <c r="N184" s="53">
        <f t="shared" si="8"/>
        <v>0</v>
      </c>
    </row>
    <row r="185" spans="1:14" ht="80.099999999999994" customHeight="1">
      <c r="A185" s="36">
        <v>8809941823684</v>
      </c>
      <c r="B185" s="33" t="s">
        <v>168</v>
      </c>
      <c r="C185" s="28" t="s">
        <v>255</v>
      </c>
      <c r="D185" s="29">
        <v>48</v>
      </c>
      <c r="E185" s="30"/>
      <c r="F185" s="31">
        <v>5280</v>
      </c>
      <c r="G185" s="47">
        <f t="shared" si="6"/>
        <v>3.9402985074626864</v>
      </c>
      <c r="H185" s="18"/>
      <c r="I185" s="18">
        <f>H185*D185</f>
        <v>0</v>
      </c>
      <c r="J185" s="43">
        <f t="shared" si="7"/>
        <v>0</v>
      </c>
      <c r="K185"/>
      <c r="L185" s="12"/>
      <c r="M185" s="12">
        <f>L185*D185</f>
        <v>0</v>
      </c>
      <c r="N185" s="53">
        <f t="shared" si="8"/>
        <v>0</v>
      </c>
    </row>
    <row r="186" spans="1:14" ht="80.099999999999994" customHeight="1">
      <c r="A186" s="36">
        <v>8809941823691</v>
      </c>
      <c r="B186" s="33" t="s">
        <v>169</v>
      </c>
      <c r="C186" s="28" t="s">
        <v>255</v>
      </c>
      <c r="D186" s="29">
        <v>48</v>
      </c>
      <c r="E186" s="30"/>
      <c r="F186" s="31">
        <v>5280</v>
      </c>
      <c r="G186" s="47">
        <f t="shared" si="6"/>
        <v>3.9402985074626864</v>
      </c>
      <c r="H186" s="18"/>
      <c r="I186" s="18">
        <f>H186*D186</f>
        <v>0</v>
      </c>
      <c r="J186" s="43">
        <f t="shared" si="7"/>
        <v>0</v>
      </c>
      <c r="K186"/>
      <c r="L186" s="12"/>
      <c r="M186" s="12">
        <f>L186*D186</f>
        <v>0</v>
      </c>
      <c r="N186" s="53">
        <f t="shared" si="8"/>
        <v>0</v>
      </c>
    </row>
    <row r="187" spans="1:14" ht="80.099999999999994" customHeight="1">
      <c r="A187" s="36">
        <v>8809941823707</v>
      </c>
      <c r="B187" s="33" t="s">
        <v>170</v>
      </c>
      <c r="C187" s="28" t="s">
        <v>255</v>
      </c>
      <c r="D187" s="29">
        <v>48</v>
      </c>
      <c r="E187" s="30"/>
      <c r="F187" s="31">
        <v>5280</v>
      </c>
      <c r="G187" s="47">
        <f t="shared" si="6"/>
        <v>3.9402985074626864</v>
      </c>
      <c r="H187" s="18"/>
      <c r="I187" s="18">
        <f>H187*D187</f>
        <v>0</v>
      </c>
      <c r="J187" s="43">
        <f t="shared" si="7"/>
        <v>0</v>
      </c>
      <c r="K187"/>
      <c r="L187" s="12"/>
      <c r="M187" s="12">
        <f>L187*D187</f>
        <v>0</v>
      </c>
      <c r="N187" s="53">
        <f t="shared" si="8"/>
        <v>0</v>
      </c>
    </row>
    <row r="188" spans="1:14" ht="80.099999999999994" customHeight="1">
      <c r="A188" s="36">
        <v>8809941823714</v>
      </c>
      <c r="B188" s="33" t="s">
        <v>171</v>
      </c>
      <c r="C188" s="28" t="s">
        <v>255</v>
      </c>
      <c r="D188" s="29">
        <v>48</v>
      </c>
      <c r="E188" s="30"/>
      <c r="F188" s="31">
        <v>5280</v>
      </c>
      <c r="G188" s="47">
        <f t="shared" si="6"/>
        <v>3.9402985074626864</v>
      </c>
      <c r="H188" s="18"/>
      <c r="I188" s="18">
        <f>H188*D188</f>
        <v>0</v>
      </c>
      <c r="J188" s="43">
        <f t="shared" si="7"/>
        <v>0</v>
      </c>
      <c r="K188"/>
      <c r="L188" s="12"/>
      <c r="M188" s="12">
        <f>L188*D188</f>
        <v>0</v>
      </c>
      <c r="N188" s="53">
        <f t="shared" si="8"/>
        <v>0</v>
      </c>
    </row>
    <row r="189" spans="1:14" ht="80.099999999999994" customHeight="1">
      <c r="A189" s="36">
        <v>8809409343082</v>
      </c>
      <c r="B189" s="33" t="s">
        <v>172</v>
      </c>
      <c r="C189" s="28" t="s">
        <v>209</v>
      </c>
      <c r="D189" s="29">
        <v>63</v>
      </c>
      <c r="E189" s="30"/>
      <c r="F189" s="31">
        <v>8800</v>
      </c>
      <c r="G189" s="47">
        <f t="shared" si="6"/>
        <v>6.5671641791044779</v>
      </c>
      <c r="H189" s="18"/>
      <c r="I189" s="18">
        <f>H189*D189</f>
        <v>0</v>
      </c>
      <c r="J189" s="43">
        <f t="shared" si="7"/>
        <v>0</v>
      </c>
      <c r="K189"/>
      <c r="L189" s="12"/>
      <c r="M189" s="12">
        <f>L189*D189</f>
        <v>0</v>
      </c>
      <c r="N189" s="53">
        <f t="shared" si="8"/>
        <v>0</v>
      </c>
    </row>
    <row r="190" spans="1:14" ht="80.099999999999994" customHeight="1">
      <c r="A190" s="36">
        <v>8809409348445</v>
      </c>
      <c r="B190" s="33" t="s">
        <v>173</v>
      </c>
      <c r="C190" s="28" t="s">
        <v>209</v>
      </c>
      <c r="D190" s="29">
        <v>60</v>
      </c>
      <c r="E190" s="30">
        <v>144000</v>
      </c>
      <c r="F190" s="31">
        <v>6457</v>
      </c>
      <c r="G190" s="47">
        <f t="shared" si="6"/>
        <v>4.8186567164179106</v>
      </c>
      <c r="H190" s="18"/>
      <c r="I190" s="18">
        <f>H190*D190</f>
        <v>0</v>
      </c>
      <c r="J190" s="43">
        <f t="shared" si="7"/>
        <v>0</v>
      </c>
      <c r="K190"/>
      <c r="L190" s="12"/>
      <c r="M190" s="12">
        <f>L190*D190</f>
        <v>0</v>
      </c>
      <c r="N190" s="53">
        <f t="shared" si="8"/>
        <v>0</v>
      </c>
    </row>
    <row r="191" spans="1:14" ht="80.099999999999994" customHeight="1">
      <c r="A191" s="36">
        <v>8809409340616</v>
      </c>
      <c r="B191" s="33" t="s">
        <v>174</v>
      </c>
      <c r="C191" s="28" t="s">
        <v>218</v>
      </c>
      <c r="D191" s="29">
        <v>110</v>
      </c>
      <c r="E191" s="30">
        <v>58000</v>
      </c>
      <c r="F191" s="31">
        <v>6347</v>
      </c>
      <c r="G191" s="47">
        <f t="shared" si="6"/>
        <v>4.7365671641791041</v>
      </c>
      <c r="H191" s="18"/>
      <c r="I191" s="18">
        <f>H191*D191</f>
        <v>0</v>
      </c>
      <c r="J191" s="43">
        <f t="shared" si="7"/>
        <v>0</v>
      </c>
      <c r="K191"/>
      <c r="L191" s="12"/>
      <c r="M191" s="12">
        <f>L191*D191</f>
        <v>0</v>
      </c>
      <c r="N191" s="53">
        <f t="shared" si="8"/>
        <v>0</v>
      </c>
    </row>
    <row r="192" spans="1:14" ht="80.099999999999994" customHeight="1">
      <c r="A192" s="36">
        <v>8809409341545</v>
      </c>
      <c r="B192" s="33" t="s">
        <v>2</v>
      </c>
      <c r="C192" s="28" t="s">
        <v>218</v>
      </c>
      <c r="D192" s="29">
        <v>96</v>
      </c>
      <c r="E192" s="30">
        <v>59000</v>
      </c>
      <c r="F192" s="31">
        <v>4235</v>
      </c>
      <c r="G192" s="47">
        <f t="shared" si="6"/>
        <v>3.16044776119403</v>
      </c>
      <c r="H192" s="18"/>
      <c r="I192" s="18">
        <f>H192*D192</f>
        <v>0</v>
      </c>
      <c r="J192" s="43">
        <f t="shared" si="7"/>
        <v>0</v>
      </c>
      <c r="K192"/>
      <c r="L192" s="12"/>
      <c r="M192" s="12">
        <f>L192*D192</f>
        <v>0</v>
      </c>
      <c r="N192" s="53">
        <f t="shared" si="8"/>
        <v>0</v>
      </c>
    </row>
    <row r="193" spans="1:14" ht="80.099999999999994" customHeight="1">
      <c r="A193" s="54">
        <v>8809409343273</v>
      </c>
      <c r="B193" s="64" t="s">
        <v>175</v>
      </c>
      <c r="C193" s="56" t="s">
        <v>256</v>
      </c>
      <c r="D193" s="57">
        <v>6</v>
      </c>
      <c r="E193" s="58">
        <v>75000</v>
      </c>
      <c r="F193" s="59"/>
      <c r="G193" s="60"/>
      <c r="H193" s="61"/>
      <c r="I193" s="61"/>
      <c r="J193" s="62"/>
      <c r="K193" s="63"/>
      <c r="L193" s="61"/>
      <c r="M193" s="61"/>
      <c r="N193" s="62"/>
    </row>
    <row r="194" spans="1:14" ht="80.099999999999994" customHeight="1">
      <c r="A194" s="54">
        <v>8809409343273</v>
      </c>
      <c r="B194" s="64" t="s">
        <v>175</v>
      </c>
      <c r="C194" s="56" t="s">
        <v>257</v>
      </c>
      <c r="D194" s="57">
        <v>6</v>
      </c>
      <c r="E194" s="58">
        <v>75000</v>
      </c>
      <c r="F194" s="59"/>
      <c r="G194" s="60"/>
      <c r="H194" s="61"/>
      <c r="I194" s="61"/>
      <c r="J194" s="62"/>
      <c r="K194" s="63"/>
      <c r="L194" s="61"/>
      <c r="M194" s="61"/>
      <c r="N194" s="62"/>
    </row>
    <row r="195" spans="1:14" ht="80.099999999999994" customHeight="1">
      <c r="A195" s="54">
        <v>8809409348278</v>
      </c>
      <c r="B195" s="64" t="s">
        <v>176</v>
      </c>
      <c r="C195" s="56" t="s">
        <v>258</v>
      </c>
      <c r="D195" s="57">
        <v>6</v>
      </c>
      <c r="E195" s="58">
        <v>75000</v>
      </c>
      <c r="F195" s="59"/>
      <c r="G195" s="60"/>
      <c r="H195" s="61"/>
      <c r="I195" s="61"/>
      <c r="J195" s="62"/>
      <c r="K195" s="63"/>
      <c r="L195" s="61"/>
      <c r="M195" s="61"/>
      <c r="N195" s="62"/>
    </row>
    <row r="196" spans="1:14" ht="80.099999999999994" customHeight="1">
      <c r="A196" s="36">
        <v>8809941821994</v>
      </c>
      <c r="B196" s="33" t="s">
        <v>177</v>
      </c>
      <c r="C196" s="28" t="s">
        <v>258</v>
      </c>
      <c r="D196" s="29">
        <v>6</v>
      </c>
      <c r="E196" s="30">
        <v>75000</v>
      </c>
      <c r="F196" s="31">
        <v>16071</v>
      </c>
      <c r="G196" s="47">
        <f t="shared" si="6"/>
        <v>11.993283582089552</v>
      </c>
      <c r="H196" s="18"/>
      <c r="I196" s="18">
        <f>H196*D196</f>
        <v>0</v>
      </c>
      <c r="J196" s="43">
        <f t="shared" si="7"/>
        <v>0</v>
      </c>
      <c r="K196"/>
      <c r="L196" s="12"/>
      <c r="M196" s="12">
        <f>L196*D196</f>
        <v>0</v>
      </c>
      <c r="N196" s="53">
        <f t="shared" si="8"/>
        <v>0</v>
      </c>
    </row>
    <row r="197" spans="1:14" ht="80.099999999999994" customHeight="1">
      <c r="A197" s="54">
        <v>8809941821543</v>
      </c>
      <c r="B197" s="64" t="s">
        <v>178</v>
      </c>
      <c r="C197" s="56" t="s">
        <v>259</v>
      </c>
      <c r="D197" s="57">
        <v>6</v>
      </c>
      <c r="E197" s="58">
        <v>105000</v>
      </c>
      <c r="F197" s="59"/>
      <c r="G197" s="60"/>
      <c r="H197" s="61"/>
      <c r="I197" s="61"/>
      <c r="J197" s="62"/>
      <c r="K197" s="63"/>
      <c r="L197" s="61"/>
      <c r="M197" s="61"/>
      <c r="N197" s="62"/>
    </row>
    <row r="198" spans="1:14" ht="80.099999999999994" customHeight="1">
      <c r="A198" s="36" t="s">
        <v>2</v>
      </c>
      <c r="B198" s="33" t="s">
        <v>2</v>
      </c>
      <c r="C198" s="28" t="s">
        <v>2</v>
      </c>
      <c r="D198" s="29">
        <v>0</v>
      </c>
      <c r="E198" s="30">
        <v>70000</v>
      </c>
      <c r="F198" s="31">
        <v>13849</v>
      </c>
      <c r="G198" s="47">
        <f t="shared" si="6"/>
        <v>10.335074626865671</v>
      </c>
      <c r="H198" s="18"/>
      <c r="I198" s="18">
        <f>H198*D198</f>
        <v>0</v>
      </c>
      <c r="J198" s="43">
        <f t="shared" si="7"/>
        <v>0</v>
      </c>
      <c r="K198"/>
      <c r="L198" s="12"/>
      <c r="M198" s="12">
        <f>L198*D198</f>
        <v>0</v>
      </c>
      <c r="N198" s="53">
        <f t="shared" si="8"/>
        <v>0</v>
      </c>
    </row>
    <row r="199" spans="1:14" ht="80.099999999999994" customHeight="1">
      <c r="A199" s="36" t="s">
        <v>2</v>
      </c>
      <c r="B199" s="33" t="s">
        <v>2</v>
      </c>
      <c r="C199" s="28" t="s">
        <v>2</v>
      </c>
      <c r="D199" s="29">
        <v>0</v>
      </c>
      <c r="E199" s="30">
        <v>70000</v>
      </c>
      <c r="F199" s="31">
        <v>13849</v>
      </c>
      <c r="G199" s="47">
        <f t="shared" ref="G199:G227" si="9">F199/1340</f>
        <v>10.335074626865671</v>
      </c>
      <c r="H199" s="18"/>
      <c r="I199" s="18">
        <f>H199*D199</f>
        <v>0</v>
      </c>
      <c r="J199" s="43">
        <f t="shared" ref="J199:J227" si="10">G199*I199</f>
        <v>0</v>
      </c>
      <c r="K199"/>
      <c r="L199" s="12"/>
      <c r="M199" s="12">
        <f>L199*D199</f>
        <v>0</v>
      </c>
      <c r="N199" s="53">
        <f t="shared" ref="N199:N227" si="11">G199*M199</f>
        <v>0</v>
      </c>
    </row>
    <row r="200" spans="1:14" ht="80.099999999999994" customHeight="1">
      <c r="A200" s="36">
        <v>8809941823523</v>
      </c>
      <c r="B200" s="33" t="s">
        <v>179</v>
      </c>
      <c r="C200" s="28" t="s">
        <v>207</v>
      </c>
      <c r="D200" s="29">
        <v>45</v>
      </c>
      <c r="E200" s="30"/>
      <c r="F200" s="31">
        <v>3762</v>
      </c>
      <c r="G200" s="47">
        <f t="shared" si="9"/>
        <v>2.8074626865671641</v>
      </c>
      <c r="H200" s="18"/>
      <c r="I200" s="18">
        <f>H200*D200</f>
        <v>0</v>
      </c>
      <c r="J200" s="43">
        <f t="shared" si="10"/>
        <v>0</v>
      </c>
      <c r="K200"/>
      <c r="L200" s="12"/>
      <c r="M200" s="12">
        <f>L200*D200</f>
        <v>0</v>
      </c>
      <c r="N200" s="53">
        <f t="shared" si="11"/>
        <v>0</v>
      </c>
    </row>
    <row r="201" spans="1:14" ht="80.099999999999994" customHeight="1">
      <c r="A201" s="36">
        <v>8809941822052</v>
      </c>
      <c r="B201" s="33" t="s">
        <v>180</v>
      </c>
      <c r="C201" s="28" t="s">
        <v>260</v>
      </c>
      <c r="D201" s="29">
        <v>3</v>
      </c>
      <c r="E201" s="30"/>
      <c r="F201" s="31">
        <v>26158</v>
      </c>
      <c r="G201" s="47">
        <f t="shared" si="9"/>
        <v>19.520895522388059</v>
      </c>
      <c r="H201" s="18"/>
      <c r="I201" s="18">
        <f>H201*D201</f>
        <v>0</v>
      </c>
      <c r="J201" s="43">
        <f t="shared" si="10"/>
        <v>0</v>
      </c>
      <c r="K201"/>
      <c r="L201" s="12"/>
      <c r="M201" s="12">
        <f>L201*D201</f>
        <v>0</v>
      </c>
      <c r="N201" s="53">
        <f t="shared" si="11"/>
        <v>0</v>
      </c>
    </row>
    <row r="202" spans="1:14" ht="80.099999999999994" customHeight="1">
      <c r="A202" s="36">
        <v>8809941822045</v>
      </c>
      <c r="B202" s="33" t="s">
        <v>181</v>
      </c>
      <c r="C202" s="28" t="s">
        <v>260</v>
      </c>
      <c r="D202" s="29">
        <v>3</v>
      </c>
      <c r="E202" s="30"/>
      <c r="F202" s="31">
        <v>26158</v>
      </c>
      <c r="G202" s="47">
        <f t="shared" si="9"/>
        <v>19.520895522388059</v>
      </c>
      <c r="H202" s="18"/>
      <c r="I202" s="18">
        <f>H202*D202</f>
        <v>0</v>
      </c>
      <c r="J202" s="43">
        <f t="shared" si="10"/>
        <v>0</v>
      </c>
      <c r="K202"/>
      <c r="L202" s="12"/>
      <c r="M202" s="12">
        <f>L202*D202</f>
        <v>0</v>
      </c>
      <c r="N202" s="53">
        <f t="shared" si="11"/>
        <v>0</v>
      </c>
    </row>
    <row r="203" spans="1:14" ht="80.099999999999994" customHeight="1">
      <c r="A203" s="36">
        <v>8809941822038</v>
      </c>
      <c r="B203" s="33" t="s">
        <v>182</v>
      </c>
      <c r="C203" s="28" t="s">
        <v>260</v>
      </c>
      <c r="D203" s="29">
        <v>3</v>
      </c>
      <c r="E203" s="30"/>
      <c r="F203" s="31">
        <v>26158</v>
      </c>
      <c r="G203" s="47">
        <f t="shared" si="9"/>
        <v>19.520895522388059</v>
      </c>
      <c r="H203" s="18"/>
      <c r="I203" s="18">
        <f>H203*D203</f>
        <v>0</v>
      </c>
      <c r="J203" s="43">
        <f t="shared" si="10"/>
        <v>0</v>
      </c>
      <c r="K203"/>
      <c r="L203" s="12"/>
      <c r="M203" s="12">
        <f>L203*D203</f>
        <v>0</v>
      </c>
      <c r="N203" s="53">
        <f t="shared" si="11"/>
        <v>0</v>
      </c>
    </row>
    <row r="204" spans="1:14" ht="80.099999999999994" customHeight="1">
      <c r="A204" s="36">
        <v>8809941824186</v>
      </c>
      <c r="B204" s="33" t="s">
        <v>183</v>
      </c>
      <c r="C204" s="28" t="s">
        <v>218</v>
      </c>
      <c r="D204" s="29">
        <v>50</v>
      </c>
      <c r="E204" s="30">
        <v>35000</v>
      </c>
      <c r="F204" s="31">
        <v>16313</v>
      </c>
      <c r="G204" s="47">
        <f t="shared" si="9"/>
        <v>12.173880597014925</v>
      </c>
      <c r="H204" s="18"/>
      <c r="I204" s="18">
        <f>H204*D204</f>
        <v>0</v>
      </c>
      <c r="J204" s="43">
        <f t="shared" si="10"/>
        <v>0</v>
      </c>
      <c r="K204"/>
      <c r="L204" s="12"/>
      <c r="M204" s="12">
        <f>L204*D204</f>
        <v>0</v>
      </c>
      <c r="N204" s="53">
        <f t="shared" si="11"/>
        <v>0</v>
      </c>
    </row>
    <row r="205" spans="1:14" ht="80.099999999999994" customHeight="1">
      <c r="A205" s="36">
        <v>8809941824292</v>
      </c>
      <c r="B205" s="33" t="s">
        <v>184</v>
      </c>
      <c r="C205" s="28" t="s">
        <v>261</v>
      </c>
      <c r="D205" s="29">
        <v>40</v>
      </c>
      <c r="E205" s="30">
        <v>29000</v>
      </c>
      <c r="F205" s="31">
        <v>11033</v>
      </c>
      <c r="G205" s="47">
        <f t="shared" si="9"/>
        <v>8.2335820895522396</v>
      </c>
      <c r="H205" s="18"/>
      <c r="I205" s="18">
        <f>H205*D205</f>
        <v>0</v>
      </c>
      <c r="J205" s="43">
        <f t="shared" si="10"/>
        <v>0</v>
      </c>
      <c r="K205"/>
      <c r="L205" s="12"/>
      <c r="M205" s="12">
        <f>L205*D205</f>
        <v>0</v>
      </c>
      <c r="N205" s="53">
        <f t="shared" si="11"/>
        <v>0</v>
      </c>
    </row>
    <row r="206" spans="1:14" ht="80.099999999999994" customHeight="1">
      <c r="A206" s="36">
        <v>8809941824308</v>
      </c>
      <c r="B206" s="33" t="s">
        <v>185</v>
      </c>
      <c r="C206" s="28" t="s">
        <v>262</v>
      </c>
      <c r="D206" s="29">
        <v>96</v>
      </c>
      <c r="E206" s="30">
        <v>35000</v>
      </c>
      <c r="F206" s="31">
        <v>13266</v>
      </c>
      <c r="G206" s="47">
        <f t="shared" si="9"/>
        <v>9.9</v>
      </c>
      <c r="H206" s="18"/>
      <c r="I206" s="18">
        <f>H206*D206</f>
        <v>0</v>
      </c>
      <c r="J206" s="43">
        <f t="shared" si="10"/>
        <v>0</v>
      </c>
      <c r="K206"/>
      <c r="L206" s="12"/>
      <c r="M206" s="12">
        <f>L206*D206</f>
        <v>0</v>
      </c>
      <c r="N206" s="53">
        <f t="shared" si="11"/>
        <v>0</v>
      </c>
    </row>
    <row r="207" spans="1:14" ht="80.099999999999994" customHeight="1">
      <c r="A207" s="36">
        <v>8809941824315</v>
      </c>
      <c r="B207" s="33" t="s">
        <v>186</v>
      </c>
      <c r="C207" s="28" t="s">
        <v>263</v>
      </c>
      <c r="D207" s="29">
        <v>100</v>
      </c>
      <c r="E207" s="30">
        <v>32000</v>
      </c>
      <c r="F207" s="31">
        <v>12089</v>
      </c>
      <c r="G207" s="47">
        <f t="shared" si="9"/>
        <v>9.0216417910447753</v>
      </c>
      <c r="H207" s="18"/>
      <c r="I207" s="18">
        <f>H207*D207</f>
        <v>0</v>
      </c>
      <c r="J207" s="43">
        <f t="shared" si="10"/>
        <v>0</v>
      </c>
      <c r="K207"/>
      <c r="L207" s="12"/>
      <c r="M207" s="12">
        <f>L207*D207</f>
        <v>0</v>
      </c>
      <c r="N207" s="53">
        <f t="shared" si="11"/>
        <v>0</v>
      </c>
    </row>
    <row r="208" spans="1:14" ht="80.099999999999994" customHeight="1">
      <c r="A208" s="36">
        <v>8809941824841</v>
      </c>
      <c r="B208" s="33" t="s">
        <v>187</v>
      </c>
      <c r="C208" s="28" t="s">
        <v>218</v>
      </c>
      <c r="D208" s="29">
        <v>96</v>
      </c>
      <c r="E208" s="30">
        <v>39000</v>
      </c>
      <c r="F208" s="31">
        <v>14784</v>
      </c>
      <c r="G208" s="47">
        <f t="shared" si="9"/>
        <v>11.032835820895523</v>
      </c>
      <c r="H208" s="18"/>
      <c r="I208" s="18">
        <f>H208*D208</f>
        <v>0</v>
      </c>
      <c r="J208" s="43">
        <f t="shared" si="10"/>
        <v>0</v>
      </c>
      <c r="K208"/>
      <c r="L208" s="12"/>
      <c r="M208" s="12">
        <f>L208*D208</f>
        <v>0</v>
      </c>
      <c r="N208" s="53">
        <f t="shared" si="11"/>
        <v>0</v>
      </c>
    </row>
    <row r="209" spans="1:14" ht="80.099999999999994" customHeight="1">
      <c r="A209" s="36">
        <v>8809941824858</v>
      </c>
      <c r="B209" s="33" t="s">
        <v>188</v>
      </c>
      <c r="C209" s="28" t="s">
        <v>218</v>
      </c>
      <c r="D209" s="29">
        <v>96</v>
      </c>
      <c r="E209" s="30">
        <v>39000</v>
      </c>
      <c r="F209" s="31">
        <v>14784</v>
      </c>
      <c r="G209" s="47">
        <f t="shared" si="9"/>
        <v>11.032835820895523</v>
      </c>
      <c r="H209" s="18"/>
      <c r="I209" s="18">
        <f>H209*D209</f>
        <v>0</v>
      </c>
      <c r="J209" s="43">
        <f t="shared" si="10"/>
        <v>0</v>
      </c>
      <c r="K209"/>
      <c r="L209" s="12"/>
      <c r="M209" s="12">
        <f>L209*D209</f>
        <v>0</v>
      </c>
      <c r="N209" s="53">
        <f t="shared" si="11"/>
        <v>0</v>
      </c>
    </row>
    <row r="210" spans="1:14" ht="80.099999999999994" customHeight="1">
      <c r="A210" s="36">
        <v>8809941824865</v>
      </c>
      <c r="B210" s="33" t="s">
        <v>189</v>
      </c>
      <c r="C210" s="28" t="s">
        <v>218</v>
      </c>
      <c r="D210" s="29">
        <v>96</v>
      </c>
      <c r="E210" s="30">
        <v>39000</v>
      </c>
      <c r="F210" s="31">
        <v>14784</v>
      </c>
      <c r="G210" s="47">
        <f t="shared" si="9"/>
        <v>11.032835820895523</v>
      </c>
      <c r="H210" s="18"/>
      <c r="I210" s="18">
        <f>H210*D210</f>
        <v>0</v>
      </c>
      <c r="J210" s="43">
        <f t="shared" si="10"/>
        <v>0</v>
      </c>
      <c r="K210"/>
      <c r="L210" s="12"/>
      <c r="M210" s="12">
        <f>L210*D210</f>
        <v>0</v>
      </c>
      <c r="N210" s="53">
        <f t="shared" si="11"/>
        <v>0</v>
      </c>
    </row>
    <row r="211" spans="1:14" ht="80.099999999999994" customHeight="1">
      <c r="A211" s="36">
        <v>8809941825138</v>
      </c>
      <c r="B211" s="33" t="s">
        <v>190</v>
      </c>
      <c r="C211" s="28" t="s">
        <v>264</v>
      </c>
      <c r="D211" s="29">
        <v>270</v>
      </c>
      <c r="E211" s="30">
        <v>2000</v>
      </c>
      <c r="F211" s="31">
        <v>825</v>
      </c>
      <c r="G211" s="47">
        <f t="shared" si="9"/>
        <v>0.61567164179104472</v>
      </c>
      <c r="H211" s="18"/>
      <c r="I211" s="18">
        <f>H211*D211</f>
        <v>0</v>
      </c>
      <c r="J211" s="43">
        <f t="shared" si="10"/>
        <v>0</v>
      </c>
      <c r="K211"/>
      <c r="L211" s="12"/>
      <c r="M211" s="12">
        <f>L211*D211</f>
        <v>0</v>
      </c>
      <c r="N211" s="53">
        <f t="shared" si="11"/>
        <v>0</v>
      </c>
    </row>
    <row r="212" spans="1:14" ht="80.099999999999994" customHeight="1">
      <c r="A212" s="36">
        <v>8809941824339</v>
      </c>
      <c r="B212" s="33" t="s">
        <v>191</v>
      </c>
      <c r="C212" s="28" t="s">
        <v>265</v>
      </c>
      <c r="D212" s="29">
        <v>80</v>
      </c>
      <c r="E212" s="30">
        <v>45000</v>
      </c>
      <c r="F212" s="31">
        <v>12320</v>
      </c>
      <c r="G212" s="47">
        <f t="shared" si="9"/>
        <v>9.1940298507462686</v>
      </c>
      <c r="H212" s="18"/>
      <c r="I212" s="18">
        <f>H212*D212</f>
        <v>0</v>
      </c>
      <c r="J212" s="43">
        <f t="shared" si="10"/>
        <v>0</v>
      </c>
      <c r="K212"/>
      <c r="L212" s="12"/>
      <c r="M212" s="12">
        <f>L212*D212</f>
        <v>0</v>
      </c>
      <c r="N212" s="53">
        <f t="shared" si="11"/>
        <v>0</v>
      </c>
    </row>
    <row r="213" spans="1:14" ht="80.099999999999994" customHeight="1">
      <c r="A213" s="36">
        <v>8809941820638</v>
      </c>
      <c r="B213" s="33" t="s">
        <v>192</v>
      </c>
      <c r="C213" s="28" t="s">
        <v>266</v>
      </c>
      <c r="D213" s="29">
        <v>24</v>
      </c>
      <c r="E213" s="30"/>
      <c r="F213" s="31">
        <v>7986</v>
      </c>
      <c r="G213" s="47">
        <f t="shared" si="9"/>
        <v>5.9597014925373131</v>
      </c>
      <c r="H213" s="18"/>
      <c r="I213" s="18">
        <f>H213*D213</f>
        <v>0</v>
      </c>
      <c r="J213" s="43">
        <f t="shared" si="10"/>
        <v>0</v>
      </c>
      <c r="K213"/>
      <c r="L213" s="12"/>
      <c r="M213" s="12">
        <f>L213*D213</f>
        <v>0</v>
      </c>
      <c r="N213" s="53">
        <f t="shared" si="11"/>
        <v>0</v>
      </c>
    </row>
    <row r="214" spans="1:14" ht="80.099999999999994" customHeight="1">
      <c r="A214" s="36">
        <v>8809941825152</v>
      </c>
      <c r="B214" s="33" t="s">
        <v>193</v>
      </c>
      <c r="C214" s="28" t="s">
        <v>211</v>
      </c>
      <c r="D214" s="29">
        <v>50</v>
      </c>
      <c r="E214" s="30">
        <v>43000</v>
      </c>
      <c r="F214" s="31">
        <v>11616</v>
      </c>
      <c r="G214" s="47">
        <f t="shared" si="9"/>
        <v>8.6686567164179102</v>
      </c>
      <c r="H214" s="18"/>
      <c r="I214" s="18">
        <f>H214*D214</f>
        <v>0</v>
      </c>
      <c r="J214" s="43">
        <f t="shared" si="10"/>
        <v>0</v>
      </c>
      <c r="K214"/>
      <c r="L214" s="12"/>
      <c r="M214" s="12">
        <f>L214*D214</f>
        <v>0</v>
      </c>
      <c r="N214" s="53">
        <f t="shared" si="11"/>
        <v>0</v>
      </c>
    </row>
    <row r="215" spans="1:14" ht="80.099999999999994" customHeight="1">
      <c r="A215" s="36">
        <v>8809941825022</v>
      </c>
      <c r="B215" s="33" t="s">
        <v>194</v>
      </c>
      <c r="C215" s="28" t="s">
        <v>267</v>
      </c>
      <c r="D215" s="29">
        <v>480</v>
      </c>
      <c r="E215" s="30">
        <v>10000</v>
      </c>
      <c r="F215" s="31">
        <v>3410</v>
      </c>
      <c r="G215" s="47">
        <f t="shared" si="9"/>
        <v>2.544776119402985</v>
      </c>
      <c r="H215" s="18"/>
      <c r="I215" s="18">
        <f>H215*D215</f>
        <v>0</v>
      </c>
      <c r="J215" s="43">
        <f t="shared" si="10"/>
        <v>0</v>
      </c>
      <c r="K215"/>
      <c r="L215" s="12"/>
      <c r="M215" s="12">
        <f>L215*D215</f>
        <v>0</v>
      </c>
      <c r="N215" s="53">
        <f t="shared" si="11"/>
        <v>0</v>
      </c>
    </row>
    <row r="216" spans="1:14" ht="80.099999999999994" customHeight="1">
      <c r="A216" s="36">
        <v>8809941825039</v>
      </c>
      <c r="B216" s="33" t="s">
        <v>195</v>
      </c>
      <c r="C216" s="28" t="s">
        <v>268</v>
      </c>
      <c r="D216" s="29">
        <v>240</v>
      </c>
      <c r="E216" s="30">
        <v>18000</v>
      </c>
      <c r="F216" s="31">
        <v>6930</v>
      </c>
      <c r="G216" s="47">
        <f t="shared" si="9"/>
        <v>5.1716417910447765</v>
      </c>
      <c r="H216" s="18"/>
      <c r="I216" s="18">
        <f>H216*D216</f>
        <v>0</v>
      </c>
      <c r="J216" s="43">
        <f t="shared" si="10"/>
        <v>0</v>
      </c>
      <c r="K216"/>
      <c r="L216" s="12"/>
      <c r="M216" s="12">
        <f>L216*D216</f>
        <v>0</v>
      </c>
      <c r="N216" s="53">
        <f t="shared" si="11"/>
        <v>0</v>
      </c>
    </row>
    <row r="217" spans="1:14" ht="80.099999999999994" customHeight="1">
      <c r="A217" s="36">
        <v>8809941825046</v>
      </c>
      <c r="B217" s="33" t="s">
        <v>196</v>
      </c>
      <c r="C217" s="28" t="s">
        <v>268</v>
      </c>
      <c r="D217" s="29">
        <v>240</v>
      </c>
      <c r="E217" s="30">
        <v>18000</v>
      </c>
      <c r="F217" s="31">
        <v>6930</v>
      </c>
      <c r="G217" s="47">
        <f t="shared" si="9"/>
        <v>5.1716417910447765</v>
      </c>
      <c r="H217" s="18"/>
      <c r="I217" s="18">
        <f>H217*D217</f>
        <v>0</v>
      </c>
      <c r="J217" s="43">
        <f t="shared" si="10"/>
        <v>0</v>
      </c>
      <c r="K217"/>
      <c r="L217" s="12"/>
      <c r="M217" s="12">
        <f>L217*D217</f>
        <v>0</v>
      </c>
      <c r="N217" s="53">
        <f t="shared" si="11"/>
        <v>0</v>
      </c>
    </row>
    <row r="218" spans="1:14" ht="80.099999999999994" customHeight="1">
      <c r="A218" s="36">
        <v>8809941825060</v>
      </c>
      <c r="B218" s="33" t="s">
        <v>197</v>
      </c>
      <c r="C218" s="28" t="s">
        <v>269</v>
      </c>
      <c r="D218" s="29">
        <v>300</v>
      </c>
      <c r="E218" s="30" t="s">
        <v>273</v>
      </c>
      <c r="F218" s="31">
        <v>825</v>
      </c>
      <c r="G218" s="47">
        <f t="shared" si="9"/>
        <v>0.61567164179104472</v>
      </c>
      <c r="H218" s="18"/>
      <c r="I218" s="18">
        <f>H218*D218</f>
        <v>0</v>
      </c>
      <c r="J218" s="43">
        <f t="shared" si="10"/>
        <v>0</v>
      </c>
      <c r="K218"/>
      <c r="L218" s="12"/>
      <c r="M218" s="12">
        <f>L218*D218</f>
        <v>0</v>
      </c>
      <c r="N218" s="53">
        <f t="shared" si="11"/>
        <v>0</v>
      </c>
    </row>
    <row r="219" spans="1:14" ht="80.099999999999994" customHeight="1">
      <c r="A219" s="36">
        <v>8809941825053</v>
      </c>
      <c r="B219" s="33" t="s">
        <v>198</v>
      </c>
      <c r="C219" s="28" t="s">
        <v>269</v>
      </c>
      <c r="D219" s="29">
        <v>300</v>
      </c>
      <c r="E219" s="30" t="s">
        <v>273</v>
      </c>
      <c r="F219" s="31">
        <v>825</v>
      </c>
      <c r="G219" s="47">
        <f t="shared" si="9"/>
        <v>0.61567164179104472</v>
      </c>
      <c r="H219" s="18"/>
      <c r="I219" s="18">
        <f>H219*D219</f>
        <v>0</v>
      </c>
      <c r="J219" s="43">
        <f t="shared" si="10"/>
        <v>0</v>
      </c>
      <c r="K219"/>
      <c r="L219" s="12"/>
      <c r="M219" s="12">
        <f>L219*D219</f>
        <v>0</v>
      </c>
      <c r="N219" s="53">
        <f t="shared" si="11"/>
        <v>0</v>
      </c>
    </row>
    <row r="220" spans="1:14" ht="80.099999999999994" customHeight="1">
      <c r="A220" s="36">
        <v>8809941825008</v>
      </c>
      <c r="B220" s="33" t="s">
        <v>197</v>
      </c>
      <c r="C220" s="28" t="s">
        <v>270</v>
      </c>
      <c r="D220" s="29">
        <v>30</v>
      </c>
      <c r="E220" s="30" t="s">
        <v>273</v>
      </c>
      <c r="F220" s="31">
        <v>4466</v>
      </c>
      <c r="G220" s="47">
        <f t="shared" si="9"/>
        <v>3.3328358208955224</v>
      </c>
      <c r="H220" s="18"/>
      <c r="I220" s="18">
        <f>H220*D220</f>
        <v>0</v>
      </c>
      <c r="J220" s="43">
        <f t="shared" si="10"/>
        <v>0</v>
      </c>
      <c r="K220"/>
      <c r="L220" s="12"/>
      <c r="M220" s="12">
        <f>L220*D220</f>
        <v>0</v>
      </c>
      <c r="N220" s="53">
        <f t="shared" si="11"/>
        <v>0</v>
      </c>
    </row>
    <row r="221" spans="1:14" ht="80.099999999999994" customHeight="1">
      <c r="A221" s="36">
        <v>8809941824995</v>
      </c>
      <c r="B221" s="33" t="s">
        <v>199</v>
      </c>
      <c r="C221" s="28" t="s">
        <v>270</v>
      </c>
      <c r="D221" s="29">
        <v>30</v>
      </c>
      <c r="E221" s="30" t="s">
        <v>273</v>
      </c>
      <c r="F221" s="31">
        <v>4466</v>
      </c>
      <c r="G221" s="47">
        <f t="shared" si="9"/>
        <v>3.3328358208955224</v>
      </c>
      <c r="H221" s="18"/>
      <c r="I221" s="18">
        <f>H221*D221</f>
        <v>0</v>
      </c>
      <c r="J221" s="43">
        <f t="shared" si="10"/>
        <v>0</v>
      </c>
      <c r="K221"/>
      <c r="L221" s="12"/>
      <c r="M221" s="12">
        <f>L221*D221</f>
        <v>0</v>
      </c>
      <c r="N221" s="53">
        <f t="shared" si="11"/>
        <v>0</v>
      </c>
    </row>
    <row r="222" spans="1:14" ht="80.099999999999994" customHeight="1">
      <c r="A222" s="36">
        <v>8809941825015</v>
      </c>
      <c r="B222" s="33" t="s">
        <v>200</v>
      </c>
      <c r="C222" s="28" t="s">
        <v>213</v>
      </c>
      <c r="D222" s="29">
        <v>40</v>
      </c>
      <c r="E222" s="30" t="s">
        <v>273</v>
      </c>
      <c r="F222" s="31">
        <v>8096</v>
      </c>
      <c r="G222" s="47">
        <f t="shared" si="9"/>
        <v>6.0417910447761196</v>
      </c>
      <c r="H222" s="18"/>
      <c r="I222" s="18">
        <f>H222*D222</f>
        <v>0</v>
      </c>
      <c r="J222" s="43">
        <f t="shared" si="10"/>
        <v>0</v>
      </c>
      <c r="K222"/>
      <c r="L222" s="12"/>
      <c r="M222" s="12">
        <f>L222*D222</f>
        <v>0</v>
      </c>
      <c r="N222" s="53">
        <f t="shared" si="11"/>
        <v>0</v>
      </c>
    </row>
    <row r="223" spans="1:14" ht="80.099999999999994" customHeight="1">
      <c r="A223" s="36">
        <v>8809941825954</v>
      </c>
      <c r="B223" s="33" t="s">
        <v>201</v>
      </c>
      <c r="C223" s="28" t="s">
        <v>211</v>
      </c>
      <c r="D223" s="29">
        <v>60</v>
      </c>
      <c r="E223" s="30">
        <v>37000</v>
      </c>
      <c r="F223" s="31">
        <v>10791</v>
      </c>
      <c r="G223" s="47">
        <f t="shared" si="9"/>
        <v>8.0529850746268661</v>
      </c>
      <c r="H223" s="18"/>
      <c r="I223" s="18">
        <f>H223*D223</f>
        <v>0</v>
      </c>
      <c r="J223" s="43">
        <f t="shared" si="10"/>
        <v>0</v>
      </c>
      <c r="K223"/>
      <c r="L223" s="12"/>
      <c r="M223" s="12">
        <f>L223*D223</f>
        <v>0</v>
      </c>
      <c r="N223" s="53">
        <f t="shared" si="11"/>
        <v>0</v>
      </c>
    </row>
    <row r="224" spans="1:14" ht="80.099999999999994" customHeight="1">
      <c r="A224" s="36">
        <v>8809941824247</v>
      </c>
      <c r="B224" s="33" t="s">
        <v>2</v>
      </c>
      <c r="C224" s="28" t="s">
        <v>2</v>
      </c>
      <c r="D224" s="29">
        <v>400</v>
      </c>
      <c r="E224" s="30"/>
      <c r="F224" s="31">
        <v>3883</v>
      </c>
      <c r="G224" s="47">
        <f t="shared" si="9"/>
        <v>2.8977611940298509</v>
      </c>
      <c r="H224" s="18"/>
      <c r="I224" s="18">
        <f>H224*D224</f>
        <v>0</v>
      </c>
      <c r="J224" s="43">
        <f t="shared" si="10"/>
        <v>0</v>
      </c>
      <c r="K224"/>
      <c r="L224" s="12"/>
      <c r="M224" s="12">
        <f>L224*D224</f>
        <v>0</v>
      </c>
      <c r="N224" s="53">
        <f t="shared" si="11"/>
        <v>0</v>
      </c>
    </row>
    <row r="225" spans="1:14" ht="80.099999999999994" customHeight="1">
      <c r="A225" s="36">
        <v>8809941826234</v>
      </c>
      <c r="B225" s="33" t="s">
        <v>202</v>
      </c>
      <c r="C225" s="28" t="s">
        <v>271</v>
      </c>
      <c r="D225" s="29">
        <v>300</v>
      </c>
      <c r="E225" s="30"/>
      <c r="F225" s="31">
        <v>3993</v>
      </c>
      <c r="G225" s="47">
        <f t="shared" si="9"/>
        <v>2.9798507462686565</v>
      </c>
      <c r="H225" s="18"/>
      <c r="I225" s="18">
        <f>H225*D225</f>
        <v>0</v>
      </c>
      <c r="J225" s="43">
        <f t="shared" si="10"/>
        <v>0</v>
      </c>
      <c r="K225"/>
      <c r="L225" s="12"/>
      <c r="M225" s="12">
        <f>L225*D225</f>
        <v>0</v>
      </c>
      <c r="N225" s="53">
        <f t="shared" si="11"/>
        <v>0</v>
      </c>
    </row>
    <row r="226" spans="1:14" ht="80.099999999999994" customHeight="1">
      <c r="A226" s="36">
        <v>8809941826210</v>
      </c>
      <c r="B226" s="33" t="s">
        <v>203</v>
      </c>
      <c r="C226" s="28" t="s">
        <v>272</v>
      </c>
      <c r="D226" s="29">
        <v>72</v>
      </c>
      <c r="E226" s="30"/>
      <c r="F226" s="31">
        <v>11143</v>
      </c>
      <c r="G226" s="47">
        <f t="shared" si="9"/>
        <v>8.3156716417910452</v>
      </c>
      <c r="H226" s="18"/>
      <c r="I226" s="18">
        <f>H226*D226</f>
        <v>0</v>
      </c>
      <c r="J226" s="43">
        <f t="shared" si="10"/>
        <v>0</v>
      </c>
      <c r="K226"/>
      <c r="L226" s="12"/>
      <c r="M226" s="12">
        <f>L226*D226</f>
        <v>0</v>
      </c>
      <c r="N226" s="53">
        <f t="shared" si="11"/>
        <v>0</v>
      </c>
    </row>
    <row r="227" spans="1:14" ht="80.099999999999994" customHeight="1">
      <c r="A227" s="36">
        <v>8809941825190</v>
      </c>
      <c r="B227" s="33" t="s">
        <v>204</v>
      </c>
      <c r="C227" s="28" t="s">
        <v>264</v>
      </c>
      <c r="D227" s="29">
        <v>300</v>
      </c>
      <c r="E227" s="30"/>
      <c r="F227" s="31">
        <v>363</v>
      </c>
      <c r="G227" s="47">
        <f t="shared" si="9"/>
        <v>0.2708955223880597</v>
      </c>
      <c r="H227" s="18"/>
      <c r="I227" s="18">
        <f>H227*D227</f>
        <v>0</v>
      </c>
      <c r="J227" s="43">
        <f t="shared" si="10"/>
        <v>0</v>
      </c>
      <c r="K227"/>
      <c r="L227" s="12"/>
      <c r="M227" s="12">
        <f>L227*D227</f>
        <v>0</v>
      </c>
      <c r="N227" s="53">
        <f t="shared" si="11"/>
        <v>0</v>
      </c>
    </row>
  </sheetData>
  <autoFilter ref="A5:N100" xr:uid="{4D9730E6-7D22-4D7B-BBF9-F2A94541C08D}"/>
  <mergeCells count="6">
    <mergeCell ref="N2:N3"/>
    <mergeCell ref="I2:I3"/>
    <mergeCell ref="J2:J3"/>
    <mergeCell ref="H2:H3"/>
    <mergeCell ref="L2:L3"/>
    <mergeCell ref="M2:M3"/>
  </mergeCells>
  <phoneticPr fontId="2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요한</dc:creator>
  <cp:lastModifiedBy>ST-USER</cp:lastModifiedBy>
  <dcterms:created xsi:type="dcterms:W3CDTF">2025-11-18T07:35:28Z</dcterms:created>
  <dcterms:modified xsi:type="dcterms:W3CDTF">2026-08-25T02:55:08Z</dcterms:modified>
</cp:coreProperties>
</file>
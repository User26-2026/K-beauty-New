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4a338063a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нка Celimax" sheetId="1" r:id="R04b62c287aa04638"/>
    <x:sheet xmlns:r="http://schemas.openxmlformats.org/officeDocument/2006/relationships" name="Шаблон" sheetId="2" r:id="R09138fddcf2c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"/>
  </x:numFmts>
  <x:fonts count="5">
    <x:font>
      <x:sz val="11"/>
      <x:name val="Carlito"/>
    </x:font>
    <x:font>
      <x:b/>
      <x:sz val="12"/>
      <x:color rgb="FF000000"/>
      <x:name val="Carlito"/>
    </x:font>
    <x:font>
      <x:b/>
      <x:sz val="11"/>
      <x:color rgb="FF000000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DCE5"/>
      </x:patternFill>
    </x:fill>
    <x:fill>
      <x:patternFill patternType="solid">
        <x:fgColor rgb="FFFFFFFF"/>
      </x:patternFill>
    </x:fill>
    <x:fill>
      <x:patternFill patternType="solid">
        <x:fgColor rgb="FF65F246"/>
      </x:patternFill>
    </x:fill>
    <x:fill>
      <x:patternFill patternType="solid">
        <x:fgColor rgb="FFFFFF45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bottom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160444cbf4b8a" /><Relationship Type="http://schemas.openxmlformats.org/officeDocument/2006/relationships/theme" Target="/xl/theme/theme1.xml" Id="Rdb3ec8a3871047ed" /><Relationship Type="http://schemas.openxmlformats.org/officeDocument/2006/relationships/sharedStrings" Target="/xl/sharedStrings.xml" Id="Redeecb91f64b4e8a" /><Relationship Type="http://schemas.openxmlformats.org/officeDocument/2006/relationships/worksheet" Target="/xl/worksheets/sheet1.xml" Id="R04b62c287aa04638" /><Relationship Type="http://schemas.openxmlformats.org/officeDocument/2006/relationships/worksheet" Target="/xl/worksheets/sheet2.xml" Id="R09138fddcf2c4e88" /><Relationship Type="http://schemas.microsoft.com/office/2017/10/relationships/person" Target="/xl/persons/person.xml" Id="R9dd05afe2728413e" /></Relationships>
</file>

<file path=xl/persons/person.xml><?xml version="1.0" encoding="utf-8"?>
<xltc:personList xmlns:xltc="http://schemas.microsoft.com/office/spreadsheetml/2018/threadedcomments">
  <xltc:person displayName="ChatGPT" id="{FC976E96-B407-46EC-A568-38A609D0AC34}"/>
</xltc:personList>
</file>

<file path=xl/tables/table1.xml><?xml version="1.0" encoding="utf-8"?>
<x:table xmlns:x="http://schemas.openxmlformats.org/spreadsheetml/2006/main" id="1" name="CelimaxTable" displayName="CelimaxTable" ref="A1:F30" headerRowCount="1">
  <x:tableColumns count="6">
    <x:tableColumn id="1" name="Показатели"/>
    <x:tableColumn id="2" name="Артикул WB 712022766"/>
    <x:tableColumn id="3" name="Артикул WB 174014745"/>
    <x:tableColumn id="4" name="Артикул WB 202549781"/>
    <x:tableColumn id="5" name="Артикул WB 239121839"/>
    <x:tableColumn id="6" name="Артикул WB 244818246"/>
  </x:tableColumns>
  <x:tableStyleInfo name="TableStyleLight1" showRowStripes="1"/>
</x:table>
</file>

<file path=xl/tables/table2.xml><?xml version="1.0" encoding="utf-8"?>
<x:table xmlns:x="http://schemas.openxmlformats.org/spreadsheetml/2006/main" id="2" name="Table" displayName="Table" ref="A1:I30" headerRowCount="1">
  <x:tableColumns count="9">
    <x:tableColumn id="1" name="Показатели"/>
    <x:tableColumn id="2" name="Артикул WB 1"/>
    <x:tableColumn id="3" name="Артикул WB 2"/>
    <x:tableColumn id="4" name="Артикул WB 3"/>
    <x:tableColumn id="5" name="Артикул WB 4"/>
    <x:tableColumn id="6" name="Артикул WB 5"/>
    <x:tableColumn id="7" name="Артикул WB 6"/>
    <x:tableColumn id="8" name="Артикул WB 7"/>
    <x:tableColumn id="9" name="Артикул WB 8"/>
  </x:tableColumns>
  <x:tableStyleInfo name="TableStyleLight1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9a62539c5742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6cb9b7c1df49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.5" customHeight="1">
      <x:c r="A1" s="4" t="str">
        <x:v>Показатели</x:v>
      </x:c>
      <x:c r="B1" s="4" t="str">
        <x:v>Артикул WB 712022766</x:v>
      </x:c>
      <x:c r="C1" s="4" t="str">
        <x:v>Артикул WB 174014745</x:v>
      </x:c>
      <x:c r="D1" s="4" t="str">
        <x:v>Артикул WB 202549781</x:v>
      </x:c>
      <x:c r="E1" s="4" t="str">
        <x:v>Артикул WB 239121839</x:v>
      </x:c>
      <x:c r="F1" s="4" t="str">
        <x:v>Артикул WB 244818246</x:v>
      </x:c>
    </x:row>
    <x:row r="2" ht="66" customHeight="1">
      <x:c r="A2" s="7" t="str">
        <x:v>Название</x:v>
      </x:c>
      <x:c r="B2" s="11" t="str">
        <x:v>Пенка для умывания пузырьковая Noni Acne Bubble Cleanser</x:v>
      </x:c>
      <x:c r="C2" s="11" t="str">
        <x:v>Пузырьковая пенка для умывания с нони от акне</x:v>
      </x:c>
      <x:c r="D2" s="11" t="str">
        <x:v>Пенка для умывания пузырьковая The Real Noni Acne Bubble Cleanser, 155 мл</x:v>
      </x:c>
      <x:c r="E2" s="11" t="str">
        <x:v>Пузырьковая пенка для умывания и очищения с экстрактом нони</x:v>
      </x:c>
      <x:c r="F2" s="11" t="str">
        <x:v>пенка от воспалений акне и прыщей</x:v>
      </x:c>
    </x:row>
    <x:row r="3" ht="21" customHeight="1">
      <x:c r="A3" s="7" t="str">
        <x:v>Категория</x:v>
      </x:c>
      <x:c r="B3" s="11" t="str">
        <x:v>Красота</x:v>
      </x:c>
      <x:c r="C3" s="11" t="str">
        <x:v>Красота</x:v>
      </x:c>
      <x:c r="D3" s="11" t="str">
        <x:v>Красота</x:v>
      </x:c>
      <x:c r="E3" s="11" t="str">
        <x:v>Красота</x:v>
      </x:c>
      <x:c r="F3" s="11" t="str">
        <x:v>Красота</x:v>
      </x:c>
    </x:row>
    <x:row r="4" ht="21" customHeight="1">
      <x:c r="A4" s="7" t="str">
        <x:v>Предмет</x:v>
      </x:c>
      <x:c r="B4" s="11" t="str">
        <x:v>Сыворотки</x:v>
      </x:c>
      <x:c r="C4" s="11" t="str">
        <x:v>Пенки</x:v>
      </x:c>
      <x:c r="D4" s="11" t="str">
        <x:v>Гели</x:v>
      </x:c>
      <x:c r="E4" s="11" t="str">
        <x:v>Пенки</x:v>
      </x:c>
      <x:c r="F4" s="11" t="str">
        <x:v>Пенки</x:v>
      </x:c>
    </x:row>
    <x:row r="5" ht="21" customHeight="1">
      <x:c r="A5" s="7" t="str">
        <x:v>Дата создания</x:v>
      </x:c>
      <x:c r="B5" s="11" t="str">
        <x:v>08.01.2026</x:v>
      </x:c>
      <x:c r="C5" s="11" t="str">
        <x:v>28.08.2023</x:v>
      </x:c>
      <x:c r="D5" s="11" t="str">
        <x:v>31.01.2024</x:v>
      </x:c>
      <x:c r="E5" s="11" t="str">
        <x:v>01.07.2024</x:v>
      </x:c>
      <x:c r="F5" s="11" t="str">
        <x:v>16.07.2024</x:v>
      </x:c>
    </x:row>
    <x:row r="6" ht="21" customHeight="1">
      <x:c r="A6" s="7" t="str">
        <x:v>Бренд</x:v>
      </x:c>
      <x:c r="B6" s="11" t="str">
        <x:v>Celimax</x:v>
      </x:c>
      <x:c r="C6" s="11" t="str">
        <x:v>Celimax</x:v>
      </x:c>
      <x:c r="D6" s="11" t="str">
        <x:v>Celimax</x:v>
      </x:c>
      <x:c r="E6" s="11" t="str">
        <x:v>Celimax</x:v>
      </x:c>
      <x:c r="F6" s="11" t="str">
        <x:v>Celimax</x:v>
      </x:c>
    </x:row>
    <x:row r="7" ht="21" customHeight="1">
      <x:c r="A7" s="7" t="str">
        <x:v>Рейтинг карточки</x:v>
      </x:c>
      <x:c r="B7" s="11" t="n">
        <x:v>10</x:v>
      </x:c>
      <x:c r="C7" s="11" t="n">
        <x:v>10</x:v>
      </x:c>
      <x:c r="D7" s="11" t="n">
        <x:v>8.5</x:v>
      </x:c>
      <x:c r="E7" s="11" t="n">
        <x:v>10</x:v>
      </x:c>
      <x:c r="F7" s="11" t="n">
        <x:v>10</x:v>
      </x:c>
    </x:row>
    <x:row r="8" ht="21" customHeight="1">
      <x:c r="A8" s="7" t="str">
        <x:v>Рейтинг по отзывам</x:v>
      </x:c>
      <x:c r="B8" s="11" t="n">
        <x:v>4.9</x:v>
      </x:c>
      <x:c r="C8" s="11" t="n">
        <x:v>4.8</x:v>
      </x:c>
      <x:c r="D8" s="11" t="n">
        <x:v>4.8</x:v>
      </x:c>
      <x:c r="E8" s="11" t="n">
        <x:v>4.8</x:v>
      </x:c>
      <x:c r="F8" s="11" t="n">
        <x:v>4.9</x:v>
      </x:c>
    </x:row>
    <x:row r="9" ht="21" customHeight="1">
      <x:c r="A9" s="7" t="str">
        <x:v>Количество отзывов</x:v>
      </x:c>
      <x:c r="B9" s="18" t="n">
        <x:v>130</x:v>
      </x:c>
      <x:c r="C9" s="18" t="n">
        <x:v>450</x:v>
      </x:c>
      <x:c r="D9" s="18" t="n">
        <x:v>2578</x:v>
      </x:c>
      <x:c r="E9" s="18" t="n">
        <x:v>351</x:v>
      </x:c>
      <x:c r="F9" s="18" t="n">
        <x:v>575</x:v>
      </x:c>
    </x:row>
    <x:row r="10" ht="21" customHeight="1">
      <x:c r="A10" s="7" t="str">
        <x:v>Минимальная цена со скидкой (по размерам), ₽</x:v>
      </x:c>
      <x:c r="B10" s="18" t="n">
        <x:v>1408</x:v>
      </x:c>
      <x:c r="C10" s="18" t="n">
        <x:v>2181</x:v>
      </x:c>
      <x:c r="D10" s="18" t="n">
        <x:v>2458</x:v>
      </x:c>
      <x:c r="E10" s="18" t="n">
        <x:v>1260</x:v>
      </x:c>
      <x:c r="F10" s="18" t="n">
        <x:v>1520</x:v>
      </x:c>
    </x:row>
    <x:row r="11" ht="21" customHeight="1">
      <x:c r="A11" s="7" t="str">
        <x:v>Максимальная цена со скидкой (по размерам), ₽</x:v>
      </x:c>
      <x:c r="B11" s="18" t="n">
        <x:v>1408</x:v>
      </x:c>
      <x:c r="C11" s="18" t="n">
        <x:v>2181</x:v>
      </x:c>
      <x:c r="D11" s="18" t="n">
        <x:v>2458</x:v>
      </x:c>
      <x:c r="E11" s="18" t="n">
        <x:v>1260</x:v>
      </x:c>
      <x:c r="F11" s="18" t="n">
        <x:v>1520</x:v>
      </x:c>
    </x:row>
    <x:row r="12" ht="21" customHeight="1">
      <x:c r="A12" s="7" t="str">
        <x:v>Медианная цена покупателя, ₽</x:v>
      </x:c>
      <x:c r="B12" s="19" t="n">
        <x:v>1400</x:v>
      </x:c>
      <x:c r="C12" s="19" t="n">
        <x:v>2181</x:v>
      </x:c>
      <x:c r="D12" s="19" t="n">
        <x:v>2620</x:v>
      </x:c>
      <x:c r="E12" s="19" t="n">
        <x:v>1300</x:v>
      </x:c>
      <x:c r="F12" s="19" t="n">
        <x:v>1640</x:v>
      </x:c>
    </x:row>
    <x:row r="13" ht="21" customHeight="1">
      <x:c r="A13" s="7" t="str">
        <x:v>Среднее время доставки</x:v>
      </x:c>
      <x:c r="B13" s="11" t="str">
        <x:v>2д 2ч</x:v>
      </x:c>
      <x:c r="C13" s="11" t="str">
        <x:v>1д 15ч</x:v>
      </x:c>
      <x:c r="D13" s="11" t="str">
        <x:v>1д 11ч</x:v>
      </x:c>
      <x:c r="E13" s="11" t="str">
        <x:v>1д 20ч</x:v>
      </x:c>
      <x:c r="F13" s="11" t="str">
        <x:v>2д 0ч</x:v>
      </x:c>
    </x:row>
    <x:row r="14" ht="21" customHeight="1">
      <x:c r="A14" s="7" t="str">
        <x:v>Средняя позиция</x:v>
      </x:c>
      <x:c r="B14" s="18" t="n">
        <x:v>18</x:v>
      </x:c>
      <x:c r="C14" s="18" t="n">
        <x:v>15</x:v>
      </x:c>
      <x:c r="D14" s="18" t="n">
        <x:v>10</x:v>
      </x:c>
      <x:c r="E14" s="18" t="n">
        <x:v>18</x:v>
      </x:c>
      <x:c r="F14" s="18" t="n">
        <x:v>24</x:v>
      </x:c>
    </x:row>
    <x:row r="15" ht="21" customHeight="1">
      <x:c r="A15" s="7" t="str">
        <x:v>Статус продвижения</x:v>
      </x:c>
      <x:c r="B15" s="11" t="str">
        <x:v>Реклама, Акции, Подменный артикул</x:v>
      </x:c>
      <x:c r="C15" s="11" t="str">
        <x:v>Реклама, Акции</x:v>
      </x:c>
      <x:c r="D15" s="11" t="str">
        <x:v>Реклама, Акции</x:v>
      </x:c>
      <x:c r="E15" s="11" t="str">
        <x:v>Реклама, Акции</x:v>
      </x:c>
      <x:c r="F15" s="11" t="str">
        <x:v>Реклама, Акции</x:v>
      </x:c>
    </x:row>
    <x:row r="16" ht="21" customHeight="1">
      <x:c r="A16" s="7" t="str">
        <x:v>Показы</x:v>
      </x:c>
      <x:c r="B16" s="18" t="n">
        <x:v>506682</x:v>
      </x:c>
      <x:c r="C16" s="18" t="n">
        <x:v>165532</x:v>
      </x:c>
      <x:c r="D16" s="18" t="n">
        <x:v>60670</x:v>
      </x:c>
      <x:c r="E16" s="18" t="n">
        <x:v>109051</x:v>
      </x:c>
      <x:c r="F16" s="18" t="n">
        <x:v>83380</x:v>
      </x:c>
    </x:row>
    <x:row r="17" ht="21" customHeight="1">
      <x:c r="A17" s="7" t="str">
        <x:v>Переходы в карточку</x:v>
      </x:c>
      <x:c r="B17" s="18" t="n">
        <x:v>24636</x:v>
      </x:c>
      <x:c r="C17" s="18" t="n">
        <x:v>4539</x:v>
      </x:c>
      <x:c r="D17" s="18" t="n">
        <x:v>6362</x:v>
      </x:c>
      <x:c r="E17" s="18" t="n">
        <x:v>7034</x:v>
      </x:c>
      <x:c r="F17" s="18" t="n">
        <x:v>4586</x:v>
      </x:c>
    </x:row>
    <x:row r="18" ht="21" customHeight="1">
      <x:c r="A18" s="7" t="str">
        <x:v>CTR</x:v>
      </x:c>
      <x:c r="B18" s="18" t="n">
        <x:v>5</x:v>
      </x:c>
      <x:c r="C18" s="18" t="n">
        <x:v>3</x:v>
      </x:c>
      <x:c r="D18" s="18" t="n">
        <x:v>10</x:v>
      </x:c>
      <x:c r="E18" s="18" t="n">
        <x:v>6</x:v>
      </x:c>
      <x:c r="F18" s="18" t="n">
        <x:v>6</x:v>
      </x:c>
    </x:row>
    <x:row r="19" ht="21" customHeight="1">
      <x:c r="A19" s="7" t="str">
        <x:v>Положили в корзину</x:v>
      </x:c>
      <x:c r="B19" s="18" t="n">
        <x:v>4503</x:v>
      </x:c>
      <x:c r="C19" s="18" t="n">
        <x:v>846</x:v>
      </x:c>
      <x:c r="D19" s="18" t="n">
        <x:v>845</x:v>
      </x:c>
      <x:c r="E19" s="18" t="n">
        <x:v>1173</x:v>
      </x:c>
      <x:c r="F19" s="18" t="n">
        <x:v>1021</x:v>
      </x:c>
    </x:row>
    <x:row r="20" ht="21" customHeight="1">
      <x:c r="A20" s="7" t="str">
        <x:v>Конверсия в корзину, %</x:v>
      </x:c>
      <x:c r="B20" s="18" t="n">
        <x:v>18</x:v>
      </x:c>
      <x:c r="C20" s="18" t="n">
        <x:v>19</x:v>
      </x:c>
      <x:c r="D20" s="18" t="n">
        <x:v>13</x:v>
      </x:c>
      <x:c r="E20" s="18" t="n">
        <x:v>17</x:v>
      </x:c>
      <x:c r="F20" s="18" t="n">
        <x:v>22</x:v>
      </x:c>
    </x:row>
    <x:row r="21" ht="21" customHeight="1">
      <x:c r="A21" s="7" t="str">
        <x:v>Заказали, шт за месяц</x:v>
      </x:c>
      <x:c r="B21" s="20" t="n">
        <x:v>753</x:v>
      </x:c>
      <x:c r="C21" s="20" t="n">
        <x:v>206</x:v>
      </x:c>
      <x:c r="D21" s="20" t="n">
        <x:v>164</x:v>
      </x:c>
      <x:c r="E21" s="20" t="n">
        <x:v>274</x:v>
      </x:c>
      <x:c r="F21" s="20" t="n">
        <x:v>158</x:v>
      </x:c>
    </x:row>
    <x:row r="22" ht="21" customHeight="1">
      <x:c r="A22" s="7" t="str">
        <x:v>Заказали, шт за квартал</x:v>
      </x:c>
      <x:c r="B22" s="12" t="str"/>
      <x:c r="C22" s="12" t="str"/>
      <x:c r="D22" s="12" t="str"/>
      <x:c r="E22" s="12" t="str"/>
      <x:c r="F22" s="12" t="str"/>
    </x:row>
    <x:row r="23" ht="21" customHeight="1">
      <x:c r="A23" s="7" t="str">
        <x:v>Заказали, шт за прошлый период</x:v>
      </x:c>
      <x:c r="B23" s="18" t="n">
        <x:v>278</x:v>
      </x:c>
      <x:c r="C23" s="18" t="n">
        <x:v>141</x:v>
      </x:c>
      <x:c r="D23" s="18" t="n">
        <x:v>197</x:v>
      </x:c>
      <x:c r="E23" s="18" t="n">
        <x:v>546</x:v>
      </x:c>
      <x:c r="F23" s="18" t="n">
        <x:v>146</x:v>
      </x:c>
    </x:row>
    <x:row r="24" ht="21" customHeight="1">
      <x:c r="A24" s="7" t="str">
        <x:v>Динамика заказов к прошлому периоду, %</x:v>
      </x:c>
      <x:c r="B24" s="17" t="n">
        <x:f>IFERROR((B21-B23)/B23,"")</x:f>
        <x:v>1.70863309352518</x:v>
      </x:c>
      <x:c r="C24" s="17" t="n">
        <x:f>IFERROR((C21-C23)/C23,"")</x:f>
        <x:v>0.46099290780141844</x:v>
      </x:c>
      <x:c r="D24" s="17" t="n">
        <x:f>IFERROR((D21-D23)/D23,"")</x:f>
        <x:v>-0.16751269035532995</x:v>
      </x:c>
      <x:c r="E24" s="17" t="n">
        <x:f>IFERROR((E21-E23)/E23,"")</x:f>
        <x:v>-0.4981684981684982</x:v>
      </x:c>
      <x:c r="F24" s="17" t="n">
        <x:f>IFERROR((F21-F23)/F23,"")</x:f>
        <x:v>0.0821917808219178</x:v>
      </x:c>
    </x:row>
    <x:row r="25" ht="21" customHeight="1">
      <x:c r="A25" s="7" t="str">
        <x:v>Конверсия в заказ, %</x:v>
      </x:c>
      <x:c r="B25" s="18" t="n">
        <x:v>17</x:v>
      </x:c>
      <x:c r="C25" s="18" t="n">
        <x:v>24</x:v>
      </x:c>
      <x:c r="D25" s="18" t="n">
        <x:v>19</x:v>
      </x:c>
      <x:c r="E25" s="18" t="n">
        <x:v>23</x:v>
      </x:c>
      <x:c r="F25" s="18" t="n">
        <x:v>15</x:v>
      </x:c>
    </x:row>
    <x:row r="26" ht="21" customHeight="1">
      <x:c r="A26" s="7" t="str">
        <x:v>Выкупили, шт</x:v>
      </x:c>
      <x:c r="B26" s="18" t="n">
        <x:v>668</x:v>
      </x:c>
      <x:c r="C26" s="18" t="n">
        <x:v>173</x:v>
      </x:c>
      <x:c r="D26" s="18" t="n">
        <x:v>144</x:v>
      </x:c>
      <x:c r="E26" s="18" t="n">
        <x:v>265</x:v>
      </x:c>
      <x:c r="F26" s="18" t="n">
        <x:v>147</x:v>
      </x:c>
    </x:row>
    <x:row r="27" ht="21" customHeight="1">
      <x:c r="A27" s="7" t="str">
        <x:v>Процент выкупа, %</x:v>
      </x:c>
      <x:c r="B27" s="18" t="n">
        <x:v>88</x:v>
      </x:c>
      <x:c r="C27" s="18" t="n">
        <x:v>95</x:v>
      </x:c>
      <x:c r="D27" s="18" t="n">
        <x:v>86</x:v>
      </x:c>
      <x:c r="E27" s="18" t="n">
        <x:v>91</x:v>
      </x:c>
      <x:c r="F27" s="18" t="n">
        <x:v>90</x:v>
      </x:c>
    </x:row>
    <x:row r="28" ht="21" customHeight="1">
      <x:c r="A28" s="7" t="str">
        <x:v>Отмены, шт</x:v>
      </x:c>
      <x:c r="B28" s="18" t="n">
        <x:v>87</x:v>
      </x:c>
      <x:c r="C28" s="18" t="n">
        <x:v>10</x:v>
      </x:c>
      <x:c r="D28" s="18" t="n">
        <x:v>23</x:v>
      </x:c>
      <x:c r="E28" s="18" t="n">
        <x:v>26</x:v>
      </x:c>
      <x:c r="F28" s="18" t="n">
        <x:v>17</x:v>
      </x:c>
    </x:row>
    <x:row r="29" ht="21" customHeight="1">
      <x:c r="A29" s="16" t="str">
        <x:v>Период анализа</x:v>
      </x:c>
      <x:c r="B29" s="15" t="str">
        <x:v>С 2026-04-30 по 2026-05-29</x:v>
      </x:c>
      <x:c r="C29" s="15" t="str">
        <x:v>С 2026-04-30 по 2026-05-29</x:v>
      </x:c>
      <x:c r="D29" s="15" t="str">
        <x:v>С 2026-04-30 по 2026-05-29</x:v>
      </x:c>
      <x:c r="E29" s="15" t="str">
        <x:v>С 2026-04-30 по 2026-05-29</x:v>
      </x:c>
      <x:c r="F29" s="15" t="str">
        <x:v>С 2026-04-30 по 2026-05-29</x:v>
      </x:c>
    </x:row>
    <x:row r="30" ht="21" customHeight="1">
      <x:c r="A30" s="16" t="str">
        <x:v>Предыдущий период</x:v>
      </x:c>
      <x:c r="B30" s="15" t="str">
        <x:v>С 2026-03-31 по 2026-04-29</x:v>
      </x:c>
      <x:c r="C30" s="15" t="str">
        <x:v>С 2026-03-31 по 2026-04-29</x:v>
      </x:c>
      <x:c r="D30" s="15" t="str">
        <x:v>С 2026-03-31 по 2026-04-29</x:v>
      </x:c>
      <x:c r="E30" s="15" t="str">
        <x:v>С 2026-03-31 по 2026-04-29</x:v>
      </x:c>
      <x:c r="F30" s="15" t="str">
        <x:v>С 2026-03-31 по 2026-04-29</x:v>
      </x:c>
    </x:row>
  </x:sheetData>
  <x:pageMargins left="0.7" right="0.7" top="0.75" bottom="0.75" header="0.3" footer="0.3"/>
  <x:tableParts count="1">
    <x:tablePart xmlns:r="http://schemas.openxmlformats.org/officeDocument/2006/relationships" r:id="R129a62539c5742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</x:cols>
  <x:sheetData>
    <x:row r="1" ht="34.5" customHeight="1">
      <x:c r="A1" s="4" t="str">
        <x:v>Показатели</x:v>
      </x:c>
      <x:c r="B1" s="4" t="str">
        <x:v>Артикул WB 1</x:v>
      </x:c>
      <x:c r="C1" s="4" t="str">
        <x:v>Артикул WB 2</x:v>
      </x:c>
      <x:c r="D1" s="4" t="str">
        <x:v>Артикул WB 3</x:v>
      </x:c>
      <x:c r="E1" s="4" t="str">
        <x:v>Артикул WB 4</x:v>
      </x:c>
      <x:c r="F1" s="4" t="str">
        <x:v>Артикул WB 5</x:v>
      </x:c>
      <x:c r="G1" s="4" t="str">
        <x:v>Артикул WB 6</x:v>
      </x:c>
      <x:c r="H1" s="4" t="str">
        <x:v>Артикул WB 7</x:v>
      </x:c>
      <x:c r="I1" s="4" t="str">
        <x:v>Артикул WB 8</x:v>
      </x:c>
    </x:row>
    <x:row r="2" ht="66" customHeight="1">
      <x:c r="A2" s="7" t="str">
        <x:v>Название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 ht="21" customHeight="1">
      <x:c r="A3" s="7" t="str">
        <x:v>Категория</x:v>
      </x:c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 ht="21" customHeight="1">
      <x:c r="A4" s="7" t="str">
        <x:v>Предмет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 ht="21" customHeight="1">
      <x:c r="A5" s="7" t="str">
        <x:v>Дата создания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 ht="21" customHeight="1">
      <x:c r="A6" s="7" t="str">
        <x:v>Бренд</x:v>
      </x:c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 ht="21" customHeight="1">
      <x:c r="A7" s="7" t="str">
        <x:v>Рейтинг карточки</x:v>
      </x:c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 ht="21" customHeight="1">
      <x:c r="A8" s="7" t="str">
        <x:v>Рейтинг по отзывам</x:v>
      </x:c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 ht="21" customHeight="1">
      <x:c r="A9" s="7" t="str">
        <x:v>Количество отзывов</x:v>
      </x:c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</x:row>
    <x:row r="10" ht="21" customHeight="1">
      <x:c r="A10" s="7" t="str">
        <x:v>Минимальная цена со скидкой (по размерам), ₽</x:v>
      </x:c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</x:row>
    <x:row r="11" ht="21" customHeight="1">
      <x:c r="A11" s="7" t="str">
        <x:v>Максимальная цена со скидкой (по размерам), ₽</x:v>
      </x:c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</x:row>
    <x:row r="12" ht="21" customHeight="1">
      <x:c r="A12" s="7" t="str">
        <x:v>Медианная цена покупателя, ₽</x:v>
      </x:c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</x:row>
    <x:row r="13" ht="21" customHeight="1">
      <x:c r="A13" s="7" t="str">
        <x:v>Среднее время доставки</x:v>
      </x:c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 ht="21" customHeight="1">
      <x:c r="A14" s="7" t="str">
        <x:v>Средняя позиция</x:v>
      </x:c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</x:row>
    <x:row r="15" ht="21" customHeight="1">
      <x:c r="A15" s="7" t="str">
        <x:v>Статус продвижения</x:v>
      </x:c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</x:row>
    <x:row r="16" ht="21" customHeight="1">
      <x:c r="A16" s="7" t="str">
        <x:v>Показы</x:v>
      </x:c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</x:row>
    <x:row r="17" ht="21" customHeight="1">
      <x:c r="A17" s="7" t="str">
        <x:v>Переходы в карточку</x:v>
      </x:c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</x:row>
    <x:row r="18" ht="21" customHeight="1">
      <x:c r="A18" s="7" t="str">
        <x:v>CTR</x:v>
      </x:c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</x:row>
    <x:row r="19" ht="21" customHeight="1">
      <x:c r="A19" s="7" t="str">
        <x:v>Положили в корзину</x:v>
      </x:c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</x:row>
    <x:row r="20" ht="21" customHeight="1">
      <x:c r="A20" s="7" t="str">
        <x:v>Конверсия в корзину, %</x:v>
      </x:c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</x:row>
    <x:row r="21" ht="21" customHeight="1">
      <x:c r="A21" s="7" t="str">
        <x:v>Заказали, шт за месяц</x:v>
      </x:c>
      <x:c r="B21" s="20" t="str"/>
      <x:c r="C21" s="20" t="str"/>
      <x:c r="D21" s="20" t="str"/>
      <x:c r="E21" s="20" t="str"/>
      <x:c r="F21" s="20" t="str"/>
      <x:c r="G21" s="20" t="str"/>
      <x:c r="H21" s="20" t="str"/>
      <x:c r="I21" s="20" t="str"/>
    </x:row>
    <x:row r="22" ht="21" customHeight="1">
      <x:c r="A22" s="7" t="str">
        <x:v>Заказали, шт за квартал</x:v>
      </x:c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</x:row>
    <x:row r="23" ht="21" customHeight="1">
      <x:c r="A23" s="7" t="str">
        <x:v>Заказали, шт за прошлый период</x:v>
      </x:c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</x:row>
    <x:row r="24" ht="21" customHeight="1">
      <x:c r="A24" s="7" t="str">
        <x:v>Динамика заказов к прошлому периоду, %</x:v>
      </x:c>
      <x:c r="B24" s="17" t="str">
        <x:f>IFERROR((B21-B23)/B23,"")</x:f>
      </x:c>
      <x:c r="C24" s="17" t="str">
        <x:f>IFERROR((C21-C23)/C23,"")</x:f>
      </x:c>
      <x:c r="D24" s="17" t="str">
        <x:f>IFERROR((D21-D23)/D23,"")</x:f>
      </x:c>
      <x:c r="E24" s="17" t="str">
        <x:f>IFERROR((E21-E23)/E23,"")</x:f>
      </x:c>
      <x:c r="F24" s="17" t="str">
        <x:f>IFERROR((F21-F23)/F23,"")</x:f>
      </x:c>
      <x:c r="G24" s="17" t="str">
        <x:f>IFERROR((G21-G23)/G23,"")</x:f>
      </x:c>
      <x:c r="H24" s="17" t="str">
        <x:f>IFERROR((H21-H23)/H23,"")</x:f>
      </x:c>
      <x:c r="I24" s="17" t="str">
        <x:f>IFERROR((I21-I23)/I23,"")</x:f>
      </x:c>
    </x:row>
    <x:row r="25" ht="21" customHeight="1">
      <x:c r="A25" s="7" t="str">
        <x:v>Конверсия в заказ, %</x:v>
      </x:c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</x:row>
    <x:row r="26" ht="21" customHeight="1">
      <x:c r="A26" s="7" t="str">
        <x:v>Выкупили, шт</x:v>
      </x:c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</x:row>
    <x:row r="27" ht="21" customHeight="1">
      <x:c r="A27" s="7" t="str">
        <x:v>Процент выкупа, %</x:v>
      </x:c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</x:row>
    <x:row r="28" ht="21" customHeight="1">
      <x:c r="A28" s="7" t="str">
        <x:v>Отмены, шт</x:v>
      </x:c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</x:row>
    <x:row r="29" ht="21" customHeight="1">
      <x:c r="A29" s="16" t="str">
        <x:v>Период анализа</x:v>
      </x:c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</x:row>
    <x:row r="30" ht="21" customHeight="1">
      <x:c r="A30" s="16" t="str">
        <x:v>Предыдущий период</x:v>
      </x:c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</x:row>
  </x:sheetData>
  <x:pageMargins left="0.7" right="0.7" top="0.75" bottom="0.75" header="0.3" footer="0.3"/>
  <x:tableParts count="1">
    <x:tablePart xmlns:r="http://schemas.openxmlformats.org/officeDocument/2006/relationships" r:id="R926cb9b7c1df4916"/>
  </x:tableParts>
</x:worksheet>
</file>
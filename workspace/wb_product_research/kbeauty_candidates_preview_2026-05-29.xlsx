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5874593e8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ндидаты" sheetId="1" r:id="R4364f13863044764"/>
    <x:sheet xmlns:r="http://schemas.openxmlformats.org/officeDocument/2006/relationships" name="Паспорт товара" sheetId="2" r:id="R6ccd4613dedb4281"/>
    <x:sheet xmlns:r="http://schemas.openxmlformats.org/officeDocument/2006/relationships" name="Аналоги в выдаче" sheetId="3" r:id="R80dfa35258694865"/>
    <x:sheet xmlns:r="http://schemas.openxmlformats.org/officeDocument/2006/relationships" name="Экономика" sheetId="4" r:id="R0ca0a243d5cc47e3"/>
    <x:sheet xmlns:r="http://schemas.openxmlformats.org/officeDocument/2006/relationships" name="Источники" sheetId="5" r:id="R4cd6a6ca4df649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3"/>
      </x:patternFill>
    </x:fill>
    <x:fill>
      <x:patternFill patternType="solid">
        <x:fgColor rgb="FFEEF4FA"/>
      </x:patternFill>
    </x:fill>
    <x:fill>
      <x:patternFill patternType="solid">
        <x:fgColor rgb="FFFFFFFF"/>
      </x:patternFill>
    </x:fill>
    <x:fill>
      <x:patternFill patternType="solid">
        <x:fgColor rgb="FFE6F4F0"/>
      </x:patternFill>
    </x:fill>
    <x:fill>
      <x:patternFill patternType="solid">
        <x:fgColor rgb="FFDDF3E4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2" fillId="4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201" fontId="2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50dfa52034a18" /><Relationship Type="http://schemas.openxmlformats.org/officeDocument/2006/relationships/theme" Target="/xl/theme/theme1.xml" Id="R65efd1c9503942df" /><Relationship Type="http://schemas.openxmlformats.org/officeDocument/2006/relationships/sharedStrings" Target="/xl/sharedStrings.xml" Id="Rf27237e931c44ee5" /><Relationship Type="http://schemas.openxmlformats.org/officeDocument/2006/relationships/worksheet" Target="/xl/worksheets/sheet1.xml" Id="R4364f13863044764" /><Relationship Type="http://schemas.openxmlformats.org/officeDocument/2006/relationships/worksheet" Target="/xl/worksheets/sheet2.xml" Id="R6ccd4613dedb4281" /><Relationship Type="http://schemas.openxmlformats.org/officeDocument/2006/relationships/worksheet" Target="/xl/worksheets/sheet3.xml" Id="R80dfa35258694865" /><Relationship Type="http://schemas.openxmlformats.org/officeDocument/2006/relationships/worksheet" Target="/xl/worksheets/sheet4.xml" Id="R0ca0a243d5cc47e3" /><Relationship Type="http://schemas.openxmlformats.org/officeDocument/2006/relationships/worksheet" Target="/xl/worksheets/sheet5.xml" Id="R4cd6a6ca4df64976" /><Relationship Type="http://schemas.microsoft.com/office/2017/10/relationships/person" Target="/xl/persons/person.xml" Id="R62ecb8eff2ce44c1" /></Relationships>
</file>

<file path=xl/persons/person.xml><?xml version="1.0" encoding="utf-8"?>
<xltc:personList xmlns:xltc="http://schemas.microsoft.com/office/spreadsheetml/2018/threadedcomments">
  <xltc:person displayName="ChatGPT" id="{F76152CF-231B-485E-9B3C-8B0B45FAE566}"/>
</xltc:personList>
</file>

<file path=xl/tables/table1.xml><?xml version="1.0" encoding="utf-8"?>
<x:table xmlns:x="http://schemas.openxmlformats.org/spreadsheetml/2006/main" id="1" name="CandidatesTable" displayName="CandidatesTable" ref="A8:T12" headerRowCount="1">
  <x:tableColumns count="20">
    <x:tableColumn id="1" name="Приоритет"/>
    <x:tableColumn id="2" name="Статус"/>
    <x:tableColumn id="3" name="Бренд"/>
    <x:tableColumn id="4" name="Конкретный товар"/>
    <x:tableColumn id="5" name="Что искать у поставщика"/>
    <x:tableColumn id="6" name="Ценовой коридор"/>
    <x:tableColumn id="7" name="Max landed-себестоимость"/>
    <x:tableColumn id="8" name="Целевой ДРР"/>
    <x:tableColumn id="9" name="ДРР на тесте"/>
    <x:tableColumn id="10" name="Продажи кластера, шт/мес"/>
    <x:tableColumn id="11" name="Выручка кластера, руб/мес"/>
    <x:tableColumn id="12" name="Ключевая карточка"/>
    <x:tableColumn id="13" name="Продажи SKU, шт/мес"/>
    <x:tableColumn id="14" name="Цена SKU, руб"/>
    <x:tableColumn id="15" name="Возраст, дней"/>
    <x:tableColumn id="16" name="Отзывы"/>
    <x:tableColumn id="17" name="Внешний трафик"/>
    <x:tableColumn id="18" name="Почему перспективно"/>
    <x:tableColumn id="19" name="Условия запуска"/>
    <x:tableColumn id="20" name="Риски"/>
  </x:tableColumns>
  <x:tableStyleInfo name="TableStyleMedium2" showRowStripes="1"/>
</x:table>
</file>

<file path=xl/tables/table2.xml><?xml version="1.0" encoding="utf-8"?>
<x:table xmlns:x="http://schemas.openxmlformats.org/spreadsheetml/2006/main" id="2" name="AnalogCardsTable" displayName="AnalogCardsTable" ref="A4:N13" headerRowCount="1">
  <x:tableColumns count="14">
    <x:tableColumn id="1" name="Артикул"/>
    <x:tableColumn id="2" name="Товар"/>
    <x:tableColumn id="3" name="Продавец"/>
    <x:tableColumn id="4" name="Цена, руб"/>
    <x:tableColumn id="5" name="Продажи, шт"/>
    <x:tableColumn id="6" name="Выручка, руб"/>
    <x:tableColumn id="7" name="Упущено, руб"/>
    <x:tableColumn id="8" name="Возраст, дней"/>
    <x:tableColumn id="9" name="Отзывы"/>
    <x:tableColumn id="10" name="Новые отзывы"/>
    <x:tableColumn id="11" name="Запросы, шт"/>
    <x:tableColumn id="12" name="Средняя позиция"/>
    <x:tableColumn id="13" name="Фото"/>
    <x:tableColumn id="14" name="Комментарий"/>
  </x:tableColumns>
  <x:tableStyleInfo name="TableStyleMedium9" showRowStripes="1"/>
</x:table>
</file>

<file path=xl/tables/table3.xml><?xml version="1.0" encoding="utf-8"?>
<x:table xmlns:x="http://schemas.openxmlformats.org/spreadsheetml/2006/main" id="3" name="EconomicsTable" displayName="EconomicsTable" ref="A4:H8" headerRowCount="1">
  <x:tableColumns count="8">
    <x:tableColumn id="1" name="Сценарий"/>
    <x:tableColumn id="2" name="Цена WB, руб"/>
    <x:tableColumn id="3" name="Расходы WB"/>
    <x:tableColumn id="4" name="ДРР"/>
    <x:tableColumn id="5" name="Целевая прибыль"/>
    <x:tableColumn id="6" name="Max landed, руб"/>
    <x:tableColumn id="7" name="Оценка"/>
    <x:tableColumn id="8" name="Комментарий"/>
  </x:tableColumns>
  <x:tableStyleInfo name="TableStyleMedium4" showRowStripes="1"/>
</x:table>
</file>

<file path=xl/tables/table4.xml><?xml version="1.0" encoding="utf-8"?>
<x:table xmlns:x="http://schemas.openxmlformats.org/spreadsheetml/2006/main" id="4" name="SourcesTable" displayName="SourcesTable" ref="A4:F9" headerRowCount="1">
  <x:tableColumns count="6">
    <x:tableColumn id="1" name="Блок"/>
    <x:tableColumn id="2" name="Источник / допущение"/>
    <x:tableColumn id="3" name="Что использовано"/>
    <x:tableColumn id="4" name="Период"/>
    <x:tableColumn id="5" name="Статус"/>
    <x:tableColumn id="6" name="Комментари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880a4867784f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a68a6a43154e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50f105de744b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9f0421834a45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09999656677246" hidden="0" customWidth="1"/>
    <x:col min="2" max="2" width="19.440000534057617" hidden="0" customWidth="1"/>
    <x:col min="3" max="3" width="11.670000076293945" hidden="0" customWidth="1"/>
    <x:col min="4" max="4" width="24.440000534057617" hidden="0" customWidth="1"/>
    <x:col min="5" max="5" width="28.889999389648438" hidden="0" customWidth="1"/>
    <x:col min="6" max="6" width="16.670000076293945" hidden="0" customWidth="1"/>
    <x:col min="7" max="7" width="15" hidden="0" customWidth="1"/>
    <x:col min="8" max="8" width="12.779999732971191" hidden="0" customWidth="1"/>
    <x:col min="9" max="9" width="12.779999732971191" hidden="0" customWidth="1"/>
    <x:col min="10" max="10" width="13.329999923706055" hidden="0" customWidth="1"/>
    <x:col min="11" max="11" width="14.4399995803833" hidden="0" customWidth="1"/>
    <x:col min="12" max="12" width="16.670000076293945" hidden="0" customWidth="1"/>
    <x:col min="13" max="13" width="12.220000267028809" hidden="0" customWidth="1"/>
    <x:col min="14" max="14" width="11.670000076293945" hidden="0" customWidth="1"/>
    <x:col min="15" max="15" width="12.220000267028809" hidden="0" customWidth="1"/>
    <x:col min="16" max="16" width="12.220000267028809" hidden="0" customWidth="1"/>
    <x:col min="17" max="17" width="27.219999313354492" hidden="0" customWidth="1"/>
    <x:col min="18" max="18" width="27.219999313354492" hidden="0" customWidth="1"/>
    <x:col min="19" max="19" width="28.889999389648438" hidden="0" customWidth="1"/>
    <x:col min="20" max="20" width="25.559999465942383" hidden="0" customWidth="1"/>
  </x:cols>
  <x:sheetData>
    <x:row r="1" ht="27" customHeight="1">
      <x:c r="A1" s="4" t="str">
        <x:v>Кандидаты на заведение: корейская косметика</x:v>
      </x:c>
      <x:c r="B1" s="4" t="str">
        <x:v>Кандидаты на заведение: корейская косметика</x:v>
      </x:c>
      <x:c r="C1" s="4" t="str">
        <x:v>Кандидаты на заведение: корейская косметика</x:v>
      </x:c>
      <x:c r="D1" s="4" t="str">
        <x:v>Кандидаты на заведение: корейская косметика</x:v>
      </x:c>
      <x:c r="E1" s="4" t="str">
        <x:v>Кандидаты на заведение: корейская косметика</x:v>
      </x:c>
      <x:c r="F1" s="4" t="str">
        <x:v>Кандидаты на заведение: корейская косметика</x:v>
      </x:c>
      <x:c r="G1" s="4" t="str">
        <x:v>Кандидаты на заведение: корейская косметика</x:v>
      </x:c>
      <x:c r="H1" s="4" t="str">
        <x:v>Кандидаты на заведение: корейская косметика</x:v>
      </x:c>
      <x:c r="I1" s="4" t="str">
        <x:v>Кандидаты на заведение: корейская косметика</x:v>
      </x:c>
      <x:c r="J1" s="4" t="str">
        <x:v>Кандидаты на заведение: корейская косметика</x:v>
      </x:c>
      <x:c r="K1" s="4" t="str">
        <x:v>Кандидаты на заведение: корейская косметика</x:v>
      </x:c>
      <x:c r="L1" s="4" t="str">
        <x:v>Кандидаты на заведение: корейская косметика</x:v>
      </x:c>
      <x:c r="M1" s="4" t="str">
        <x:v>Кандидаты на заведение: корейская косметика</x:v>
      </x:c>
      <x:c r="N1" s="4" t="str">
        <x:v>Кандидаты на заведение: корейская косметика</x:v>
      </x:c>
      <x:c r="O1" s="4" t="str">
        <x:v>Кандидаты на заведение: корейская косметика</x:v>
      </x:c>
      <x:c r="P1" s="4" t="str">
        <x:v>Кандидаты на заведение: корейская косметика</x:v>
      </x:c>
      <x:c r="Q1" s="4" t="str">
        <x:v>Кандидаты на заведение: корейская косметика</x:v>
      </x:c>
      <x:c r="R1" s="4" t="str">
        <x:v>Кандидаты на заведение: корейская косметика</x:v>
      </x:c>
      <x:c r="S1" s="4" t="str">
        <x:v>Кандидаты на заведение: корейская косметика</x:v>
      </x:c>
      <x:c r="T1" s="4" t="str">
        <x:v>Кандидаты на заведение: корейская косметика</x:v>
      </x:c>
    </x:row>
    <x:row r="2" ht="25.5" customHeight="1">
      <x:c r="A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B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C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D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E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F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G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H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I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J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K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L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M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N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O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P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Q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R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S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  <x:c r="T2" s="8" t="str">
        <x:v>Пробная структура финального файла. Сейчас заполнены выбранные товары Celimax, чтобы проверить формат до добавления остальных брендов.</x:v>
      </x:c>
    </x:row>
    <x:row r="4" ht="31.5" customHeight="1">
      <x:c r="A4" s="14" t="str">
        <x:v>Кандидат</x:v>
      </x:c>
      <x:c r="B4" s="12" t="str">
        <x:v>Dual Barrier Mild Gel Cleanser 200 ml</x:v>
      </x:c>
      <x:c r="C4" s="14" t="str">
        <x:v>Статус</x:v>
      </x:c>
      <x:c r="D4" s="12" t="str">
        <x:v>Подтвержден для проверки закупки</x:v>
      </x:c>
    </x:row>
    <x:row r="5" ht="31.5" customHeight="1">
      <x:c r="A5" s="14" t="str">
        <x:v>Приоритет</x:v>
      </x:c>
      <x:c r="B5" s="12" t="n">
        <x:v>1</x:v>
      </x:c>
      <x:c r="C5" s="14" t="str">
        <x:v>Внешний трафик</x:v>
      </x:c>
      <x:c r="D5" s="16" t="str">
        <x:v>Нет признака большой зависимости от внешнего трафика</x:v>
      </x:c>
    </x:row>
    <x:row r="8" ht="39" customHeight="1">
      <x:c r="A8" s="19" t="str">
        <x:v>Приоритет</x:v>
      </x:c>
      <x:c r="B8" s="19" t="str">
        <x:v>Статус</x:v>
      </x:c>
      <x:c r="C8" s="19" t="str">
        <x:v>Бренд</x:v>
      </x:c>
      <x:c r="D8" s="19" t="str">
        <x:v>Конкретный товар</x:v>
      </x:c>
      <x:c r="E8" s="19" t="str">
        <x:v>Что искать у поставщика</x:v>
      </x:c>
      <x:c r="F8" s="19" t="str">
        <x:v>Ценовой коридор</x:v>
      </x:c>
      <x:c r="G8" s="19" t="str">
        <x:v>Max landed-себестоимость</x:v>
      </x:c>
      <x:c r="H8" s="19" t="str">
        <x:v>Целевой ДРР</x:v>
      </x:c>
      <x:c r="I8" s="19" t="str">
        <x:v>ДРР на тесте</x:v>
      </x:c>
      <x:c r="J8" s="19" t="str">
        <x:v>Продажи кластера, шт/мес</x:v>
      </x:c>
      <x:c r="K8" s="19" t="str">
        <x:v>Выручка кластера, руб/мес</x:v>
      </x:c>
      <x:c r="L8" s="19" t="str">
        <x:v>Ключевая карточка</x:v>
      </x:c>
      <x:c r="M8" s="19" t="str">
        <x:v>Продажи SKU, шт/мес</x:v>
      </x:c>
      <x:c r="N8" s="19" t="str">
        <x:v>Цена SKU, руб</x:v>
      </x:c>
      <x:c r="O8" s="19" t="str">
        <x:v>Возраст, дней</x:v>
      </x:c>
      <x:c r="P8" s="19" t="str">
        <x:v>Отзывы</x:v>
      </x:c>
      <x:c r="Q8" s="19" t="str">
        <x:v>Внешний трафик</x:v>
      </x:c>
      <x:c r="R8" s="19" t="str">
        <x:v>Почему перспективно</x:v>
      </x:c>
      <x:c r="S8" s="19" t="str">
        <x:v>Условия запуска</x:v>
      </x:c>
      <x:c r="T8" s="19" t="str">
        <x:v>Риски</x:v>
      </x:c>
    </x:row>
    <x:row r="9" ht="66" customHeight="1">
      <x:c r="A9" s="12" t="n">
        <x:v>1</x:v>
      </x:c>
      <x:c r="B9" s="12" t="str">
        <x:v>Подтвержден для проверки закупки</x:v>
      </x:c>
      <x:c r="C9" s="12" t="str">
        <x:v>Celimax</x:v>
      </x:c>
      <x:c r="D9" s="12" t="str">
        <x:v>Dual Barrier Mild Gel Cleanser 200 ml</x:v>
      </x:c>
      <x:c r="E9" s="12" t="str">
        <x:v>Гель для умывания барьерный с церамидами</x:v>
      </x:c>
      <x:c r="F9" s="12" t="str">
        <x:v>1 300-1 500 руб.</x:v>
      </x:c>
      <x:c r="G9" s="12" t="str">
        <x:v>600-650 руб.</x:v>
      </x:c>
      <x:c r="H9" s="12" t="str">
        <x:v>10-12%</x:v>
      </x:c>
      <x:c r="I9" s="12" t="str">
        <x:v>до 15%</x:v>
      </x:c>
      <x:c r="J9" s="20" t="n">
        <x:v>8193</x:v>
      </x:c>
      <x:c r="K9" s="20" t="n">
        <x:v>10534635</x:v>
      </x:c>
      <x:c r="L9" s="12" t="str">
        <x:v>nm 712024737</x:v>
      </x:c>
      <x:c r="M9" s="20" t="n">
        <x:v>359</x:v>
      </x:c>
      <x:c r="N9" s="20" t="n">
        <x:v>1315</x:v>
      </x:c>
      <x:c r="O9" s="20" t="n">
        <x:v>132</x:v>
      </x:c>
      <x:c r="P9" s="20" t="n">
        <x:v>295</x:v>
      </x:c>
      <x:c r="Q9" s="12" t="str">
        <x:v>Нет признака большой зависимости от внешнего трафика</x:v>
      </x:c>
      <x:c r="R9" s="12" t="str">
        <x:v>Молодая карточка уже продает 359 шт/мес; у сильного аналога 444 шт/мес; рынок по релевантным пенкам/гелям 8 193 шт/мес.</x:v>
      </x:c>
      <x:c r="S9" s="12" t="str">
        <x:v>Проверить landed-себестоимость, документы на бренд и возможность значка «Оригинал».</x:v>
      </x:c>
      <x:c r="T9" s="12" t="str">
        <x:v>Если landed-себестоимость выше 650 руб., маржа заметно сжимается.</x:v>
      </x:c>
    </x:row>
    <x:row r="10" ht="66" customHeight="1">
      <x:c r="A10" s="12" t="n">
        <x:v>2</x:v>
      </x:c>
      <x:c r="B10" s="12" t="str">
        <x:v>Добавить в шорт-лист</x:v>
      </x:c>
      <x:c r="C10" s="12" t="str">
        <x:v>Celimax</x:v>
      </x:c>
      <x:c r="D10" s="12" t="str">
        <x:v>Noni Acne Bubble Cleanser</x:v>
      </x:c>
      <x:c r="E10" s="12" t="str">
        <x:v>Пенка для умывания пузырьковая с нони от акне</x:v>
      </x:c>
      <x:c r="F10" s="12" t="str">
        <x:v>1 050-1 250 руб.</x:v>
      </x:c>
      <x:c r="G10" s="12" t="str">
        <x:v>470-530 руб.</x:v>
      </x:c>
      <x:c r="H10" s="12" t="str">
        <x:v>10-12%</x:v>
      </x:c>
      <x:c r="I10" s="12" t="str">
        <x:v>до 15%</x:v>
      </x:c>
      <x:c r="J10" s="20" t="n">
        <x:v>8193</x:v>
      </x:c>
      <x:c r="K10" s="20" t="n">
        <x:v>10534635</x:v>
      </x:c>
      <x:c r="L10" s="12" t="str">
        <x:v>nm 712022766</x:v>
      </x:c>
      <x:c r="M10" s="20" t="n">
        <x:v>182</x:v>
      </x:c>
      <x:c r="N10" s="20" t="n">
        <x:v>1138</x:v>
      </x:c>
      <x:c r="O10" s="20" t="n">
        <x:v>121</x:v>
      </x:c>
      <x:c r="P10" s="20" t="n">
        <x:v>120</x:v>
      </x:c>
      <x:c r="Q10" s="12" t="str">
        <x:v>Нет признака большой зависимости от внешнего трафика</x:v>
      </x:c>
      <x:c r="R10" s="12" t="str">
        <x:v>Молодая карточка: 121 день, продажи +333%, 88 поисковых запросов, средняя позиция 4, 1 316 полок ТОП-10.</x:v>
      </x:c>
      <x:c r="S10" s="12" t="str">
        <x:v>Проверить закупку, документы и наличие стабильной партии.</x:v>
      </x:c>
      <x:c r="T10" s="12" t="str">
        <x:v>Нужно не переплатить за закупку: товар дешевле Dual Barrier, цена входа ниже.</x:v>
      </x:c>
    </x:row>
    <x:row r="11" ht="66" customHeight="1">
      <x:c r="A11" s="12" t="n">
        <x:v>3</x:v>
      </x:c>
      <x:c r="B11" s="12" t="str">
        <x:v>Наблюдение / второй эшелон</x:v>
      </x:c>
      <x:c r="C11" s="12" t="str">
        <x:v>Celimax</x:v>
      </x:c>
      <x:c r="D11" s="12" t="str">
        <x:v>Derma Nature Relief Madecica pH Balancing Foam Cleansing 150 ml</x:v>
      </x:c>
      <x:c r="E11" s="12" t="str">
        <x:v>Балансирующая пенка для умывания Madecica pH</x:v>
      </x:c>
      <x:c r="F11" s="12" t="str">
        <x:v>1 200-1 400 руб.</x:v>
      </x:c>
      <x:c r="G11" s="12" t="str">
        <x:v>540-600 руб.</x:v>
      </x:c>
      <x:c r="H11" s="12" t="str">
        <x:v>10-12%</x:v>
      </x:c>
      <x:c r="I11" s="12" t="str">
        <x:v>до 15%</x:v>
      </x:c>
      <x:c r="J11" s="20" t="n">
        <x:v>8193</x:v>
      </x:c>
      <x:c r="K11" s="20" t="n">
        <x:v>10534635</x:v>
      </x:c>
      <x:c r="L11" s="12" t="str">
        <x:v>nm 155947140</x:v>
      </x:c>
      <x:c r="M11" s="20" t="n">
        <x:v>323</x:v>
      </x:c>
      <x:c r="N11" s="20" t="n">
        <x:v>1387</x:v>
      </x:c>
      <x:c r="O11" s="20" t="n">
        <x:v>1103</x:v>
      </x:c>
      <x:c r="P11" s="20" t="n">
        <x:v>2564</x:v>
      </x:c>
      <x:c r="Q11" s="12" t="str">
        <x:v>Не подтверждено отдельной колонкой в выгрузке</x:v>
      </x:c>
      <x:c r="R11" s="12" t="str">
        <x:v>Продажи есть: 323 шт/мес и 449 761 руб., но карточка старая и динамика падает: продажи -34%, заказы -44%.</x:v>
      </x:c>
      <x:c r="S11" s="12" t="str">
        <x:v>Добавлять только при очень хорошей закупке и документах.</x:v>
      </x:c>
      <x:c r="T11" s="12" t="str">
        <x:v>Высокий отзывный барьер и отрицательная динамика делают запуск новой карточки рискованным.</x:v>
      </x:c>
    </x:row>
    <x:row r="12" ht="66" customHeight="1">
      <x:c r="A12" s="12" t="n">
        <x:v>4</x:v>
      </x:c>
      <x:c r="B12" s="12" t="str">
        <x:v>Не отдельный кандидат / аналог</x:v>
      </x:c>
      <x:c r="C12" s="12" t="str">
        <x:v>Celimax</x:v>
      </x:c>
      <x:c r="D12" s="12" t="str">
        <x:v>Dual Barrier Mild Gel Cleanser, аналог nm 228473128</x:v>
      </x:c>
      <x:c r="E12" s="12" t="str">
        <x:v>Гель-пенка с комплексом церамидов Dual Barrier Mild</x:v>
      </x:c>
      <x:c r="F12" s="12" t="str">
        <x:v>1 300-1 500 руб.</x:v>
      </x:c>
      <x:c r="G12" s="12" t="str">
        <x:v>600-650 руб.</x:v>
      </x:c>
      <x:c r="H12" s="12" t="str">
        <x:v>10-12%</x:v>
      </x:c>
      <x:c r="I12" s="12" t="str">
        <x:v>до 15%</x:v>
      </x:c>
      <x:c r="J12" s="20" t="n">
        <x:v>8193</x:v>
      </x:c>
      <x:c r="K12" s="20" t="n">
        <x:v>10534635</x:v>
      </x:c>
      <x:c r="L12" s="12" t="str">
        <x:v>nm 228473128</x:v>
      </x:c>
      <x:c r="M12" s="20" t="n">
        <x:v>82</x:v>
      </x:c>
      <x:c r="N12" s="20" t="n">
        <x:v>1659</x:v>
      </x:c>
      <x:c r="O12" s="20" t="n">
        <x:v>736</x:v>
      </x:c>
      <x:c r="P12" s="20" t="n">
        <x:v>339</x:v>
      </x:c>
      <x:c r="Q12" s="12" t="str">
        <x:v>Не подтверждено отдельной колонкой в выгрузке</x:v>
      </x:c>
      <x:c r="R12" s="12" t="str">
        <x:v>Это тот же товарный смысл, что уже выбранный Dual Barrier. Плюс: 82 продажи, рост +4 000%. Минус: средняя позиция 530,5.</x:v>
      </x:c>
      <x:c r="S12" s="12" t="str">
        <x:v>Использовать как подтверждающий аналог, не дублировать отдельной закупочной строкой.</x:v>
      </x:c>
      <x:c r="T12" s="12" t="str">
        <x:v>Если добавить отдельно, таблица будет задваивать один и тот же товар.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6e880a4867784f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26.110000610351562" hidden="0" customWidth="1"/>
    <x:col min="3" max="3" width="23.329999923706055" hidden="0" customWidth="1"/>
    <x:col min="4" max="4" width="23.329999923706055" hidden="0" customWidth="1"/>
    <x:col min="5" max="5" width="23.329999923706055" hidden="0" customWidth="1"/>
    <x:col min="6" max="6" width="23.329999923706055" hidden="0" customWidth="1"/>
    <x:col min="7" max="7" width="23.329999923706055" hidden="0" customWidth="1"/>
    <x:col min="8" max="8" width="23.329999923706055" hidden="0" customWidth="1"/>
  </x:cols>
  <x:sheetData>
    <x:row r="1" ht="27" customHeight="1">
      <x:c r="A1" s="4" t="str">
        <x:v>Паспорт товара: Celimax Dual Barrier Mild Gel Cleanser 200 ml</x:v>
      </x:c>
      <x:c r="B1" s="4" t="str">
        <x:v>Паспорт товара: Celimax Dual Barrier Mild Gel Cleanser 200 ml</x:v>
      </x:c>
      <x:c r="C1" s="4" t="str">
        <x:v>Паспорт товара: Celimax Dual Barrier Mild Gel Cleanser 200 ml</x:v>
      </x:c>
      <x:c r="D1" s="4" t="str">
        <x:v>Паспорт товара: Celimax Dual Barrier Mild Gel Cleanser 200 ml</x:v>
      </x:c>
      <x:c r="E1" s="4" t="str">
        <x:v>Паспорт товара: Celimax Dual Barrier Mild Gel Cleanser 200 ml</x:v>
      </x:c>
      <x:c r="F1" s="4" t="str">
        <x:v>Паспорт товара: Celimax Dual Barrier Mild Gel Cleanser 200 ml</x:v>
      </x:c>
      <x:c r="G1" s="4" t="str">
        <x:v>Паспорт товара: Celimax Dual Barrier Mild Gel Cleanser 200 ml</x:v>
      </x:c>
      <x:c r="H1" s="4" t="str">
        <x:v>Паспорт товара: Celimax Dual Barrier Mild Gel Cleanser 200 ml</x:v>
      </x:c>
    </x:row>
    <x:row r="2" ht="27" customHeight="1">
      <x:c r="A2" s="8" t="str">
        <x:v>Сводка по конкретному SKU-кандидату: спрос, конкуренция, внешние источники трафика, экономика и действия перед закупкой.</x:v>
      </x:c>
      <x:c r="B2" s="8" t="str">
        <x:v>Сводка по конкретному SKU-кандидату: спрос, конкуренция, внешние источники трафика, экономика и действия перед закупкой.</x:v>
      </x:c>
      <x:c r="C2" s="8" t="str">
        <x:v>Сводка по конкретному SKU-кандидату: спрос, конкуренция, внешние источники трафика, экономика и действия перед закупкой.</x:v>
      </x:c>
      <x:c r="D2" s="8" t="str">
        <x:v>Сводка по конкретному SKU-кандидату: спрос, конкуренция, внешние источники трафика, экономика и действия перед закупкой.</x:v>
      </x:c>
      <x:c r="E2" s="8" t="str">
        <x:v>Сводка по конкретному SKU-кандидату: спрос, конкуренция, внешние источники трафика, экономика и действия перед закупкой.</x:v>
      </x:c>
      <x:c r="F2" s="8" t="str">
        <x:v>Сводка по конкретному SKU-кандидату: спрос, конкуренция, внешние источники трафика, экономика и действия перед закупкой.</x:v>
      </x:c>
      <x:c r="G2" s="8" t="str">
        <x:v>Сводка по конкретному SKU-кандидату: спрос, конкуренция, внешние источники трафика, экономика и действия перед закупкой.</x:v>
      </x:c>
      <x:c r="H2" s="8" t="str">
        <x:v>Сводка по конкретному SKU-кандидату: спрос, конкуренция, внешние источники трафика, экономика и действия перед закупкой.</x:v>
      </x:c>
    </x:row>
    <x:row r="4">
      <x:c r="A4" s="14" t="str">
        <x:v>Конкретный товар</x:v>
      </x:c>
      <x:c r="B4" s="12" t="str">
        <x:v>Dual Barrier Mild Gel Cleanser 200 ml</x:v>
      </x:c>
      <x:c r="D4" s="19" t="str">
        <x:v>Показатель</x:v>
      </x:c>
      <x:c r="E4" s="19" t="str">
        <x:v>Значение</x:v>
      </x:c>
      <x:c r="F4" s="19" t="str">
        <x:v>Комментарий</x:v>
      </x:c>
      <x:c r="G4" s="19" t="str"/>
      <x:c r="H4" s="19" t="str"/>
    </x:row>
    <x:row r="5">
      <x:c r="A5" s="14" t="str">
        <x:v>Русское название в выдаче</x:v>
      </x:c>
      <x:c r="B5" s="12" t="str">
        <x:v>Гель для умывания барьерный с церамидами</x:v>
      </x:c>
      <x:c r="D5" s="22" t="str">
        <x:v>Рынок пенок/гелей Celimax</x:v>
      </x:c>
      <x:c r="E5" s="12" t="str">
        <x:v>8 193 шт/мес</x:v>
      </x:c>
      <x:c r="F5" s="12" t="str">
        <x:v>Релевантные карточки после очистки выдачи от масла/тонера</x:v>
      </x:c>
      <x:c r="G5" s="12" t="str"/>
      <x:c r="H5" s="12" t="str"/>
    </x:row>
    <x:row r="6">
      <x:c r="A6" s="14" t="str">
        <x:v>Бренд</x:v>
      </x:c>
      <x:c r="B6" s="12" t="str">
        <x:v>Celimax</x:v>
      </x:c>
      <x:c r="D6" s="22" t="str">
        <x:v>Видимая выручка рынка</x:v>
      </x:c>
      <x:c r="E6" s="12" t="str">
        <x:v>10,53 млн руб/мес</x:v>
      </x:c>
      <x:c r="F6" s="12" t="str">
        <x:v>По карточной выдаче MarketGuru/WB</x:v>
      </x:c>
      <x:c r="G6" s="12" t="str"/>
      <x:c r="H6" s="12" t="str"/>
    </x:row>
    <x:row r="7">
      <x:c r="A7" s="14" t="str">
        <x:v>Статус</x:v>
      </x:c>
      <x:c r="B7" s="12" t="str">
        <x:v>Подтвержден для проверки закупки</x:v>
      </x:c>
      <x:c r="D7" s="22" t="str">
        <x:v>Медианная цена</x:v>
      </x:c>
      <x:c r="E7" s="12" t="str">
        <x:v>1 192 руб.</x:v>
      </x:c>
      <x:c r="F7" s="12" t="str">
        <x:v>Рабочий ориентир для цены входа</x:v>
      </x:c>
      <x:c r="G7" s="12" t="str"/>
      <x:c r="H7" s="12" t="str"/>
    </x:row>
    <x:row r="8">
      <x:c r="A8" s="14" t="str">
        <x:v>Ключевой пример карточки</x:v>
      </x:c>
      <x:c r="B8" s="12" t="str">
        <x:v>nm 712024737</x:v>
      </x:c>
      <x:c r="D8" s="22" t="str">
        <x:v>Медиана отзывов</x:v>
      </x:c>
      <x:c r="E8" s="12" t="str">
        <x:v>80,5</x:v>
      </x:c>
      <x:c r="F8" s="12" t="str">
        <x:v>Барьер входа не выглядит закрытым</x:v>
      </x:c>
      <x:c r="G8" s="12" t="str"/>
      <x:c r="H8" s="12" t="str"/>
    </x:row>
    <x:row r="9">
      <x:c r="A9" s="14" t="str">
        <x:v>Продажи ключевой карточки</x:v>
      </x:c>
      <x:c r="B9" s="12" t="str">
        <x:v>359 шт/мес</x:v>
      </x:c>
    </x:row>
    <x:row r="10">
      <x:c r="A10" s="14" t="str">
        <x:v>Выручка ключевой карточки</x:v>
      </x:c>
      <x:c r="B10" s="12" t="str">
        <x:v>480 091 руб/мес</x:v>
      </x:c>
    </x:row>
    <x:row r="11">
      <x:c r="A11" s="14" t="str">
        <x:v>Возраст / отзывы</x:v>
      </x:c>
      <x:c r="B11" s="12" t="str">
        <x:v>132 дней / 295 отзывов</x:v>
      </x:c>
    </x:row>
    <x:row r="12">
      <x:c r="A12" s="14" t="str">
        <x:v>Вывод</x:v>
      </x:c>
      <x:c r="B12" s="12" t="str">
        <x:v>Брать в проверку закупки, если landed-себестоимость укладывается в 600-650 руб.</x:v>
      </x:c>
    </x:row>
    <x:row r="15" ht="24" customHeight="1">
      <x:c r="A15" s="19" t="str">
        <x:v>Внешний трафик</x:v>
      </x:c>
      <x:c r="B15" s="19" t="str"/>
      <x:c r="C15" s="19" t="str"/>
      <x:c r="D15" s="19" t="str"/>
      <x:c r="E15" s="19" t="str"/>
      <x:c r="F15" s="19" t="str"/>
      <x:c r="G15" s="19" t="str"/>
      <x:c r="H15" s="19" t="str"/>
    </x:row>
    <x:row r="16" ht="36" customHeight="1">
      <x:c r="A16" s="27" t="str">
        <x:v>Рабочий вывод</x:v>
      </x:c>
      <x:c r="B16" s="12" t="str">
        <x:v>Нет признака большой зависимости от внешнего трафика.</x:v>
      </x:c>
      <x:c r="C16" s="12" t="str"/>
      <x:c r="D16" s="12" t="str"/>
      <x:c r="E16" s="12" t="str"/>
      <x:c r="F16" s="12" t="str"/>
      <x:c r="G16" s="12" t="str"/>
      <x:c r="H16" s="12" t="str"/>
    </x:row>
    <x:row r="17" ht="36" customHeight="1">
      <x:c r="A17" s="27" t="str">
        <x:v>Основание</x:v>
      </x:c>
      <x:c r="B17" s="12" t="str">
        <x:v>В карточной выдаче сильный пример nm 712024737 имеет среднюю позицию по поисковым запросам 3, 77 поисковых запросов, 1 529 полок ТОП-10 и 4 347 полок ТОП-100. Это похоже на продажи через поиск/органику, а не на товар, который держится только внешним трафиком.</x:v>
      </x:c>
      <x:c r="C17" s="12" t="str"/>
      <x:c r="D17" s="12" t="str"/>
      <x:c r="E17" s="12" t="str"/>
      <x:c r="F17" s="12" t="str"/>
      <x:c r="G17" s="12" t="str"/>
      <x:c r="H17" s="12" t="str"/>
    </x:row>
    <x:row r="18" ht="36" customHeight="1">
      <x:c r="A18" s="27" t="str">
        <x:v>Ограничение</x:v>
      </x:c>
      <x:c r="B18" s="12" t="str">
        <x:v>В самой выгрузке нет отдельной колонки с долей внешнего трафика. Если в MarketGuru есть отдельный показатель источников трафика, его стоит выгрузить и подтвердить перед финальным решением.</x:v>
      </x:c>
      <x:c r="C18" s="12" t="str"/>
      <x:c r="D18" s="12" t="str"/>
      <x:c r="E18" s="12" t="str"/>
      <x:c r="F18" s="12" t="str"/>
      <x:c r="G18" s="12" t="str"/>
      <x:c r="H18" s="12" t="str"/>
    </x:row>
    <x:row r="19" ht="36" customHeight="1">
      <x:c r="A19" s="27" t="str">
        <x:v>Действие</x:v>
      </x:c>
      <x:c r="B19" s="12" t="str">
        <x:v>Оставить отметку «нет большого количества внешнего трафика», но перед закупкой проверить источник трафика в карточке/MarketGuru, если доступно.</x:v>
      </x:c>
      <x:c r="C19" s="12" t="str"/>
      <x:c r="D19" s="12" t="str"/>
      <x:c r="E19" s="12" t="str"/>
      <x:c r="F19" s="12" t="str"/>
      <x:c r="G19" s="12" t="str"/>
      <x:c r="H19" s="12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</x:row>
  </x:sheetData>
  <x:mergeCells>
    <x:mergeCell ref="A1:H1"/>
    <x:mergeCell ref="A2:H2"/>
    <x:mergeCell ref="D4:H4"/>
    <x:mergeCell ref="A15:H15"/>
    <x:mergeCell ref="B16:H16"/>
    <x:mergeCell ref="B17:H17"/>
    <x:mergeCell ref="B18:H18"/>
    <x:mergeCell ref="B19:H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34.439998626708984" hidden="0" customWidth="1"/>
    <x:col min="3" max="3" width="18.889999389648438" hidden="0" customWidth="1"/>
    <x:col min="4" max="4" width="10.220000267028809" hidden="0" customWidth="1"/>
    <x:col min="5" max="5" width="10.220000267028809" hidden="0" customWidth="1"/>
    <x:col min="6" max="6" width="11.670000076293945" hidden="0" customWidth="1"/>
    <x:col min="7" max="7" width="11.670000076293945" hidden="0" customWidth="1"/>
    <x:col min="8" max="8" width="10.220000267028809" hidden="0" customWidth="1"/>
    <x:col min="9" max="9" width="10.220000267028809" hidden="0" customWidth="1"/>
    <x:col min="10" max="10" width="10.220000267028809" hidden="0" customWidth="1"/>
    <x:col min="11" max="11" width="11.670000076293945" hidden="0" customWidth="1"/>
    <x:col min="12" max="12" width="11.670000076293945" hidden="0" customWidth="1"/>
    <x:col min="13" max="13" width="9.109999656677246" hidden="0" customWidth="1"/>
    <x:col min="14" max="14" width="30" hidden="0" customWidth="1"/>
  </x:cols>
  <x:sheetData>
    <x:row r="1" ht="27" customHeight="1">
      <x:c r="A1" s="4" t="str">
        <x:v>Карточки-аналоги по Dual Barrier Mild Gel Cleanser</x:v>
      </x:c>
      <x:c r="B1" s="4" t="str">
        <x:v>Карточки-аналоги по Dual Barrier Mild Gel Cleanser</x:v>
      </x:c>
      <x:c r="C1" s="4" t="str">
        <x:v>Карточки-аналоги по Dual Barrier Mild Gel Cleanser</x:v>
      </x:c>
      <x:c r="D1" s="4" t="str">
        <x:v>Карточки-аналоги по Dual Barrier Mild Gel Cleanser</x:v>
      </x:c>
      <x:c r="E1" s="4" t="str">
        <x:v>Карточки-аналоги по Dual Barrier Mild Gel Cleanser</x:v>
      </x:c>
      <x:c r="F1" s="4" t="str">
        <x:v>Карточки-аналоги по Dual Barrier Mild Gel Cleanser</x:v>
      </x:c>
      <x:c r="G1" s="4" t="str">
        <x:v>Карточки-аналоги по Dual Barrier Mild Gel Cleanser</x:v>
      </x:c>
      <x:c r="H1" s="4" t="str">
        <x:v>Карточки-аналоги по Dual Barrier Mild Gel Cleanser</x:v>
      </x:c>
      <x:c r="I1" s="4" t="str">
        <x:v>Карточки-аналоги по Dual Barrier Mild Gel Cleanser</x:v>
      </x:c>
      <x:c r="J1" s="4" t="str">
        <x:v>Карточки-аналоги по Dual Barrier Mild Gel Cleanser</x:v>
      </x:c>
      <x:c r="K1" s="4" t="str">
        <x:v>Карточки-аналоги по Dual Barrier Mild Gel Cleanser</x:v>
      </x:c>
      <x:c r="L1" s="4" t="str">
        <x:v>Карточки-аналоги по Dual Barrier Mild Gel Cleanser</x:v>
      </x:c>
      <x:c r="M1" s="4" t="str">
        <x:v>Карточки-аналоги по Dual Barrier Mild Gel Cleanser</x:v>
      </x:c>
      <x:c r="N1" s="4" t="str">
        <x:v>Карточки-аналоги по Dual Barrier Mild Gel Cleanser</x:v>
      </x:c>
    </x:row>
    <x:row r="2" ht="27" customHeight="1">
      <x:c r="A2" s="8" t="str">
        <x:v>Нужны для проверки, что конкретный товар продается у разных продавцов и есть молодые карточки с продажами.</x:v>
      </x:c>
      <x:c r="B2" s="8" t="str">
        <x:v>Нужны для проверки, что конкретный товар продается у разных продавцов и есть молодые карточки с продажами.</x:v>
      </x:c>
      <x:c r="C2" s="8" t="str">
        <x:v>Нужны для проверки, что конкретный товар продается у разных продавцов и есть молодые карточки с продажами.</x:v>
      </x:c>
      <x:c r="D2" s="8" t="str">
        <x:v>Нужны для проверки, что конкретный товар продается у разных продавцов и есть молодые карточки с продажами.</x:v>
      </x:c>
      <x:c r="E2" s="8" t="str">
        <x:v>Нужны для проверки, что конкретный товар продается у разных продавцов и есть молодые карточки с продажами.</x:v>
      </x:c>
      <x:c r="F2" s="8" t="str">
        <x:v>Нужны для проверки, что конкретный товар продается у разных продавцов и есть молодые карточки с продажами.</x:v>
      </x:c>
      <x:c r="G2" s="8" t="str">
        <x:v>Нужны для проверки, что конкретный товар продается у разных продавцов и есть молодые карточки с продажами.</x:v>
      </x:c>
      <x:c r="H2" s="8" t="str">
        <x:v>Нужны для проверки, что конкретный товар продается у разных продавцов и есть молодые карточки с продажами.</x:v>
      </x:c>
      <x:c r="I2" s="8" t="str">
        <x:v>Нужны для проверки, что конкретный товар продается у разных продавцов и есть молодые карточки с продажами.</x:v>
      </x:c>
      <x:c r="J2" s="8" t="str">
        <x:v>Нужны для проверки, что конкретный товар продается у разных продавцов и есть молодые карточки с продажами.</x:v>
      </x:c>
      <x:c r="K2" s="8" t="str">
        <x:v>Нужны для проверки, что конкретный товар продается у разных продавцов и есть молодые карточки с продажами.</x:v>
      </x:c>
      <x:c r="L2" s="8" t="str">
        <x:v>Нужны для проверки, что конкретный товар продается у разных продавцов и есть молодые карточки с продажами.</x:v>
      </x:c>
      <x:c r="M2" s="8" t="str">
        <x:v>Нужны для проверки, что конкретный товар продается у разных продавцов и есть молодые карточки с продажами.</x:v>
      </x:c>
      <x:c r="N2" s="8" t="str">
        <x:v>Нужны для проверки, что конкретный товар продается у разных продавцов и есть молодые карточки с продажами.</x:v>
      </x:c>
    </x:row>
    <x:row r="4" ht="31.5" customHeight="1">
      <x:c r="A4" s="19" t="str">
        <x:v>Артикул</x:v>
      </x:c>
      <x:c r="B4" s="19" t="str">
        <x:v>Товар</x:v>
      </x:c>
      <x:c r="C4" s="19" t="str">
        <x:v>Продавец</x:v>
      </x:c>
      <x:c r="D4" s="19" t="str">
        <x:v>Цена, руб</x:v>
      </x:c>
      <x:c r="E4" s="19" t="str">
        <x:v>Продажи, шт</x:v>
      </x:c>
      <x:c r="F4" s="19" t="str">
        <x:v>Выручка, руб</x:v>
      </x:c>
      <x:c r="G4" s="19" t="str">
        <x:v>Упущено, руб</x:v>
      </x:c>
      <x:c r="H4" s="19" t="str">
        <x:v>Возраст, дней</x:v>
      </x:c>
      <x:c r="I4" s="19" t="str">
        <x:v>Отзывы</x:v>
      </x:c>
      <x:c r="J4" s="19" t="str">
        <x:v>Новые отзывы</x:v>
      </x:c>
      <x:c r="K4" s="19" t="str">
        <x:v>Запросы, шт</x:v>
      </x:c>
      <x:c r="L4" s="19" t="str">
        <x:v>Средняя позиция</x:v>
      </x:c>
      <x:c r="M4" s="19" t="str">
        <x:v>Фото</x:v>
      </x:c>
      <x:c r="N4" s="19" t="str">
        <x:v>Комментарий</x:v>
      </x:c>
    </x:row>
    <x:row r="5" ht="43.5" customHeight="1">
      <x:c r="A5" s="12" t="n">
        <x:v>233144319</x:v>
      </x:c>
      <x:c r="B5" s="12" t="str">
        <x:v>Гель для умывания барьерный с церамидами</x:v>
      </x:c>
      <x:c r="C5" s="12" t="str">
        <x:v>MASKSHOP.RU</x:v>
      </x:c>
      <x:c r="D5" s="20" t="n">
        <x:v>1769</x:v>
      </x:c>
      <x:c r="E5" s="20" t="n">
        <x:v>444</x:v>
      </x:c>
      <x:c r="F5" s="20" t="n">
        <x:v>780860</x:v>
      </x:c>
      <x:c r="G5" s="20" t="n">
        <x:v>33950</x:v>
      </x:c>
      <x:c r="H5" s="20" t="n">
        <x:v>735</x:v>
      </x:c>
      <x:c r="I5" s="20" t="n">
        <x:v>327</x:v>
      </x:c>
      <x:c r="J5" s="20" t="n">
        <x:v>67</x:v>
      </x:c>
      <x:c r="K5" s="20" t="n">
        <x:v>39</x:v>
      </x:c>
      <x:c r="L5" s="20" t="n">
        <x:v>20</x:v>
      </x:c>
      <x:c r="M5" s="12" t="n">
        <x:v>7</x:v>
      </x:c>
      <x:c r="N5" s="12" t="str">
        <x:v>Сильная взрослая карточка, показывает потолок спроса</x:v>
      </x:c>
    </x:row>
    <x:row r="6" ht="43.5" customHeight="1">
      <x:c r="A6" s="12" t="n">
        <x:v>712024737</x:v>
      </x:c>
      <x:c r="B6" s="12" t="str">
        <x:v>Гель для умывания лица Celimax Dual Barrier Mild Gel Cleanser 200ml</x:v>
      </x:c>
      <x:c r="C6" s="12" t="str">
        <x:v>Modern Factory</x:v>
      </x:c>
      <x:c r="D6" s="20" t="n">
        <x:v>1315</x:v>
      </x:c>
      <x:c r="E6" s="20" t="n">
        <x:v>359</x:v>
      </x:c>
      <x:c r="F6" s="20" t="n">
        <x:v>480091</x:v>
      </x:c>
      <x:c r="G6" s="20" t="n">
        <x:v>0</x:v>
      </x:c>
      <x:c r="H6" s="20" t="n">
        <x:v>132</x:v>
      </x:c>
      <x:c r="I6" s="20" t="n">
        <x:v>295</x:v>
      </x:c>
      <x:c r="J6" s="20" t="n">
        <x:v>88</x:v>
      </x:c>
      <x:c r="K6" s="20" t="n">
        <x:v>77</x:v>
      </x:c>
      <x:c r="L6" s="20" t="n">
        <x:v>3</x:v>
      </x:c>
      <x:c r="M6" s="12" t="n">
        <x:v>10</x:v>
      </x:c>
      <x:c r="N6" s="12" t="str">
        <x:v>Главный ориентир: молодая карточка с продажами</x:v>
      </x:c>
    </x:row>
    <x:row r="7" ht="43.5" customHeight="1">
      <x:c r="A7" s="12" t="n">
        <x:v>263714947</x:v>
      </x:c>
      <x:c r="B7" s="12" t="str">
        <x:v>Кремовый гель-пенка для умывания с керамидами Dual Barrier Mild Gel Cleanser, 200 мл</x:v>
      </x:c>
      <x:c r="C7" s="12" t="str">
        <x:v>LIFECOSM</x:v>
      </x:c>
      <x:c r="D7" s="20" t="n">
        <x:v>1991</x:v>
      </x:c>
      <x:c r="E7" s="20" t="n">
        <x:v>278</x:v>
      </x:c>
      <x:c r="F7" s="20" t="n">
        <x:v>554274</x:v>
      </x:c>
      <x:c r="G7" s="20" t="n">
        <x:v>0</x:v>
      </x:c>
      <x:c r="H7" s="20" t="n">
        <x:v>602</x:v>
      </x:c>
      <x:c r="I7" s="20" t="n">
        <x:v>2564</x:v>
      </x:c>
      <x:c r="J7" s="20" t="n">
        <x:v>159</x:v>
      </x:c>
      <x:c r="K7" s="20" t="n">
        <x:v>41</x:v>
      </x:c>
      <x:c r="L7" s="20" t="n">
        <x:v>6</x:v>
      </x:c>
      <x:c r="M7" s="12" t="n">
        <x:v>8</x:v>
      </x:c>
      <x:c r="N7" s="12" t="str">
        <x:v>Высокая цена и большой отзывный хвост</x:v>
      </x:c>
    </x:row>
    <x:row r="8" ht="43.5" customHeight="1">
      <x:c r="A8" s="12" t="n">
        <x:v>325987569</x:v>
      </x:c>
      <x:c r="B8" s="12" t="str">
        <x:v>Гель пенка для умывания Dual Barrier Mild Gel Cleanser</x:v>
      </x:c>
      <x:c r="C8" s="12" t="str">
        <x:v>KoreanBoom</x:v>
      </x:c>
      <x:c r="D8" s="20" t="n">
        <x:v>1280</x:v>
      </x:c>
      <x:c r="E8" s="20" t="n">
        <x:v>151</x:v>
      </x:c>
      <x:c r="F8" s="20" t="n">
        <x:v>193711</x:v>
      </x:c>
      <x:c r="G8" s="20" t="n">
        <x:v>0</x:v>
      </x:c>
      <x:c r="H8" s="20" t="n">
        <x:v>479</x:v>
      </x:c>
      <x:c r="I8" s="20" t="n">
        <x:v>3495</x:v>
      </x:c>
      <x:c r="J8" s="20" t="n">
        <x:v>261</x:v>
      </x:c>
      <x:c r="K8" s="20" t="n">
        <x:v>52</x:v>
      </x:c>
      <x:c r="L8" s="20" t="n">
        <x:v>31.5</x:v>
      </x:c>
      <x:c r="M8" s="12" t="n">
        <x:v>13</x:v>
      </x:c>
      <x:c r="N8" s="12" t="str">
        <x:v>Стабильный спрос, но сильная база отзывов</x:v>
      </x:c>
    </x:row>
    <x:row r="9" ht="43.5" customHeight="1">
      <x:c r="A9" s="12" t="n">
        <x:v>378809159</x:v>
      </x:c>
      <x:c r="B9" s="12" t="str">
        <x:v>Гель для умывания лица Dual Barrier Mild Gel Cleanser 200 мл</x:v>
      </x:c>
      <x:c r="C9" s="12" t="str">
        <x:v>ИП Жанасыл Tendernesstore</x:v>
      </x:c>
      <x:c r="D9" s="20" t="n">
        <x:v>1478</x:v>
      </x:c>
      <x:c r="E9" s="20" t="n">
        <x:v>114</x:v>
      </x:c>
      <x:c r="F9" s="20" t="n">
        <x:v>168868</x:v>
      </x:c>
      <x:c r="G9" s="20" t="n">
        <x:v>0</x:v>
      </x:c>
      <x:c r="H9" s="20" t="n">
        <x:v>418</x:v>
      </x:c>
      <x:c r="I9" s="20" t="n">
        <x:v>233</x:v>
      </x:c>
      <x:c r="J9" s="20" t="n">
        <x:v>21</x:v>
      </x:c>
      <x:c r="K9" s="20" t="n">
        <x:v>80</x:v>
      </x:c>
      <x:c r="L9" s="20" t="n">
        <x:v>15.5</x:v>
      </x:c>
      <x:c r="M9" s="12" t="n">
        <x:v>7</x:v>
      </x:c>
      <x:c r="N9" s="12" t="str">
        <x:v>Цена ближе к рабочему коридору</x:v>
      </x:c>
    </x:row>
    <x:row r="10" ht="43.5" customHeight="1">
      <x:c r="A10" s="12" t="n">
        <x:v>679215808</x:v>
      </x:c>
      <x:c r="B10" s="12" t="str">
        <x:v>Кремовый гель для умывания с керамидами Dual Barrier Mild Gel Cleanser, 200 мл</x:v>
      </x:c>
      <x:c r="C10" s="12" t="str">
        <x:v>Charming</x:v>
      </x:c>
      <x:c r="D10" s="20" t="n">
        <x:v>1741</x:v>
      </x:c>
      <x:c r="E10" s="20" t="n">
        <x:v>75</x:v>
      </x:c>
      <x:c r="F10" s="20" t="n">
        <x:v>114558</x:v>
      </x:c>
      <x:c r="G10" s="20" t="n">
        <x:v>0</x:v>
      </x:c>
      <x:c r="H10" s="20" t="n">
        <x:v>170</x:v>
      </x:c>
      <x:c r="I10" s="20" t="n">
        <x:v>257</x:v>
      </x:c>
      <x:c r="J10" s="20" t="n">
        <x:v>25</x:v>
      </x:c>
      <x:c r="K10" s="20" t="n">
        <x:v>18</x:v>
      </x:c>
      <x:c r="L10" s="20" t="n">
        <x:v>93</x:v>
      </x:c>
      <x:c r="M10" s="12" t="n">
        <x:v>4</x:v>
      </x:c>
      <x:c r="N10" s="12" t="str">
        <x:v>Молодая карточка, продажи есть</x:v>
      </x:c>
    </x:row>
    <x:row r="11" ht="43.5" customHeight="1">
      <x:c r="A11" s="12" t="n">
        <x:v>455436352</x:v>
      </x:c>
      <x:c r="B11" s="12" t="str">
        <x:v>Гель для умывания Dual barrier mild gel cleanser, 200 мл</x:v>
      </x:c>
      <x:c r="C11" s="12" t="str">
        <x:v>Магазин 'Подружка'</x:v>
      </x:c>
      <x:c r="D11" s="20" t="n">
        <x:v>1865</x:v>
      </x:c>
      <x:c r="E11" s="20" t="n">
        <x:v>51</x:v>
      </x:c>
      <x:c r="F11" s="20" t="n">
        <x:v>92481</x:v>
      </x:c>
      <x:c r="G11" s="20" t="n">
        <x:v>0</x:v>
      </x:c>
      <x:c r="H11" s="20" t="n">
        <x:v>323</x:v>
      </x:c>
      <x:c r="I11" s="20" t="n">
        <x:v>35</x:v>
      </x:c>
      <x:c r="J11" s="20" t="n">
        <x:v>3</x:v>
      </x:c>
      <x:c r="K11" s="20" t="n">
        <x:v>47</x:v>
      </x:c>
      <x:c r="L11" s="20" t="n">
        <x:v>26</x:v>
      </x:c>
      <x:c r="M11" s="12" t="n">
        <x:v>15</x:v>
      </x:c>
      <x:c r="N11" s="12" t="str">
        <x:v>Мало отзывов, но продажи слабее</x:v>
      </x:c>
    </x:row>
    <x:row r="12" ht="43.5" customHeight="1">
      <x:c r="A12" s="12" t="n">
        <x:v>740777379</x:v>
      </x:c>
      <x:c r="B12" s="12" t="str">
        <x:v>Гель для умывания лица Dual Barrier Mild Gel Cleanser 200 мл</x:v>
      </x:c>
      <x:c r="C12" s="12" t="str">
        <x:v>ИП Туякбаева</x:v>
      </x:c>
      <x:c r="D12" s="20" t="n">
        <x:v>1422</x:v>
      </x:c>
      <x:c r="E12" s="20" t="n">
        <x:v>38</x:v>
      </x:c>
      <x:c r="F12" s="20" t="n">
        <x:v>54630</x:v>
      </x:c>
      <x:c r="G12" s="20" t="n">
        <x:v>0</x:v>
      </x:c>
      <x:c r="H12" s="20" t="n">
        <x:v>144</x:v>
      </x:c>
      <x:c r="I12" s="20" t="n">
        <x:v>29</x:v>
      </x:c>
      <x:c r="J12" s="20" t="n">
        <x:v>9</x:v>
      </x:c>
      <x:c r="K12" s="20" t="n">
        <x:v>84</x:v>
      </x:c>
      <x:c r="L12" s="20" t="n">
        <x:v>32</x:v>
      </x:c>
      <x:c r="M12" s="12" t="n">
        <x:v>5</x:v>
      </x:c>
      <x:c r="N12" s="12" t="str">
        <x:v>Молодая карточка с низким отзывным барьером</x:v>
      </x:c>
    </x:row>
    <x:row r="13" ht="43.5" customHeight="1">
      <x:c r="A13" s="12" t="n">
        <x:v>491211113</x:v>
      </x:c>
      <x:c r="B13" s="12" t="str">
        <x:v>Гель для умывания лица Dual Barrier Mild Gel Cleanser</x:v>
      </x:c>
      <x:c r="C13" s="12" t="str">
        <x:v>Beauty Corporation</x:v>
      </x:c>
      <x:c r="D13" s="20" t="n">
        <x:v>1289</x:v>
      </x:c>
      <x:c r="E13" s="20" t="n">
        <x:v>38</x:v>
      </x:c>
      <x:c r="F13" s="20" t="n">
        <x:v>49157</x:v>
      </x:c>
      <x:c r="G13" s="20" t="n">
        <x:v>0</x:v>
      </x:c>
      <x:c r="H13" s="20" t="n">
        <x:v>291</x:v>
      </x:c>
      <x:c r="I13" s="20" t="n">
        <x:v>89</x:v>
      </x:c>
      <x:c r="J13" s="20" t="n">
        <x:v>3</x:v>
      </x:c>
      <x:c r="K13" s="20" t="n">
        <x:v>28</x:v>
      </x:c>
      <x:c r="L13" s="20" t="n">
        <x:v>42</x:v>
      </x:c>
      <x:c r="M13" s="12" t="n">
        <x:v>3</x:v>
      </x:c>
      <x:c r="N13" s="12" t="str">
        <x:v>Низкая цена, но слабее позиции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6a68a6a43154e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22.219999313354492" hidden="0" customWidth="1"/>
    <x:col min="8" max="8" width="28.889999389648438" hidden="0" customWidth="1"/>
  </x:cols>
  <x:sheetData>
    <x:row r="1" ht="27" customHeight="1">
      <x:c r="A1" s="4" t="str">
        <x:v>Экономика входа и ДРР</x:v>
      </x:c>
      <x:c r="B1" s="4" t="str">
        <x:v>Экономика входа и ДРР</x:v>
      </x:c>
      <x:c r="C1" s="4" t="str">
        <x:v>Экономика входа и ДРР</x:v>
      </x:c>
      <x:c r="D1" s="4" t="str">
        <x:v>Экономика входа и ДРР</x:v>
      </x:c>
      <x:c r="E1" s="4" t="str">
        <x:v>Экономика входа и ДРР</x:v>
      </x:c>
      <x:c r="F1" s="4" t="str">
        <x:v>Экономика входа и ДРР</x:v>
      </x:c>
      <x:c r="G1" s="4" t="str">
        <x:v>Экономика входа и ДРР</x:v>
      </x:c>
      <x:c r="H1" s="4" t="str">
        <x:v>Экономика входа и ДРР</x:v>
      </x:c>
    </x:row>
    <x:row r="2" ht="27" customHeight="1">
      <x:c r="A2" s="8" t="str">
        <x:v>Черновой расчет максимальной landed-себестоимости. В финальном файле сюда можно будет подставлять фактическую закупку.</x:v>
      </x:c>
      <x:c r="B2" s="8" t="str">
        <x:v>Черновой расчет максимальной landed-себестоимости. В финальном файле сюда можно будет подставлять фактическую закупку.</x:v>
      </x:c>
      <x:c r="C2" s="8" t="str">
        <x:v>Черновой расчет максимальной landed-себестоимости. В финальном файле сюда можно будет подставлять фактическую закупку.</x:v>
      </x:c>
      <x:c r="D2" s="8" t="str">
        <x:v>Черновой расчет максимальной landed-себестоимости. В финальном файле сюда можно будет подставлять фактическую закупку.</x:v>
      </x:c>
      <x:c r="E2" s="8" t="str">
        <x:v>Черновой расчет максимальной landed-себестоимости. В финальном файле сюда можно будет подставлять фактическую закупку.</x:v>
      </x:c>
      <x:c r="F2" s="8" t="str">
        <x:v>Черновой расчет максимальной landed-себестоимости. В финальном файле сюда можно будет подставлять фактическую закупку.</x:v>
      </x:c>
      <x:c r="G2" s="8" t="str">
        <x:v>Черновой расчет максимальной landed-себестоимости. В финальном файле сюда можно будет подставлять фактическую закупку.</x:v>
      </x:c>
      <x:c r="H2" s="8" t="str">
        <x:v>Черновой расчет максимальной landed-себестоимости. В финальном файле сюда можно будет подставлять фактическую закупку.</x:v>
      </x:c>
    </x:row>
    <x:row r="4" ht="31.5" customHeight="1">
      <x:c r="A4" s="19" t="str">
        <x:v>Сценарий</x:v>
      </x:c>
      <x:c r="B4" s="19" t="str">
        <x:v>Цена WB, руб</x:v>
      </x:c>
      <x:c r="C4" s="19" t="str">
        <x:v>Расходы WB</x:v>
      </x:c>
      <x:c r="D4" s="19" t="str">
        <x:v>ДРР</x:v>
      </x:c>
      <x:c r="E4" s="19" t="str">
        <x:v>Целевая прибыль</x:v>
      </x:c>
      <x:c r="F4" s="19" t="str">
        <x:v>Max landed, руб</x:v>
      </x:c>
      <x:c r="G4" s="19" t="str">
        <x:v>Оценка</x:v>
      </x:c>
      <x:c r="H4" s="19" t="str">
        <x:v>Комментарий</x:v>
      </x:c>
    </x:row>
    <x:row r="5" ht="31.5" customHeight="1">
      <x:c r="A5" s="12" t="str">
        <x:v>Консервативный</x:v>
      </x:c>
      <x:c r="B5" s="20" t="n">
        <x:v>1300</x:v>
      </x:c>
      <x:c r="C5" s="28" t="n">
        <x:v>0.27</x:v>
      </x:c>
      <x:c r="D5" s="28" t="n">
        <x:v>0.12</x:v>
      </x:c>
      <x:c r="E5" s="28" t="n">
        <x:v>0.18</x:v>
      </x:c>
      <x:c r="F5" s="20" t="n">
        <x:f>B5*(1-C5-D5-E5)</x:f>
        <x:v>559</x:v>
      </x:c>
      <x:c r="G5" s="12" t="str">
        <x:v>Покупать осторожно</x:v>
      </x:c>
      <x:c r="H5" s="12" t="str">
        <x:v>Подходит для первого теста, если закупка не дороже расчетного потолка.</x:v>
      </x:c>
    </x:row>
    <x:row r="6" ht="31.5" customHeight="1">
      <x:c r="A6" s="12" t="str">
        <x:v>Рабочий</x:v>
      </x:c>
      <x:c r="B6" s="20" t="n">
        <x:v>1400</x:v>
      </x:c>
      <x:c r="C6" s="28" t="n">
        <x:v>0.27</x:v>
      </x:c>
      <x:c r="D6" s="28" t="n">
        <x:v>0.12</x:v>
      </x:c>
      <x:c r="E6" s="28" t="n">
        <x:v>0.15</x:v>
      </x:c>
      <x:c r="F6" s="20" t="n">
        <x:f>B6*(1-C6-D6-E6)</x:f>
        <x:v>644</x:v>
      </x:c>
      <x:c r="G6" s="12" t="str">
        <x:v>Основной ориентир</x:v>
      </x:c>
      <x:c r="H6" s="12" t="str">
        <x:v>Самый реалистичный сценарий для проверки поставщика.</x:v>
      </x:c>
    </x:row>
    <x:row r="7" ht="31.5" customHeight="1">
      <x:c r="A7" s="12" t="str">
        <x:v>Запас на тест рекламы</x:v>
      </x:c>
      <x:c r="B7" s="20" t="n">
        <x:v>1400</x:v>
      </x:c>
      <x:c r="C7" s="28" t="n">
        <x:v>0.27</x:v>
      </x:c>
      <x:c r="D7" s="28" t="n">
        <x:v>0.15</x:v>
      </x:c>
      <x:c r="E7" s="28" t="n">
        <x:v>0.12</x:v>
      </x:c>
      <x:c r="F7" s="20" t="n">
        <x:f>B7*(1-C7-D7-E7)</x:f>
        <x:v>644</x:v>
      </x:c>
      <x:c r="G7" s="12" t="str">
        <x:v>Только на тест</x:v>
      </x:c>
      <x:c r="H7" s="12" t="str">
        <x:v>Можно выдержать повышенный ДРР, но прибыль ниже.</x:v>
      </x:c>
    </x:row>
    <x:row r="8" ht="31.5" customHeight="1">
      <x:c r="A8" s="12" t="str">
        <x:v>Верх рынка</x:v>
      </x:c>
      <x:c r="B8" s="20" t="n">
        <x:v>1500</x:v>
      </x:c>
      <x:c r="C8" s="28" t="n">
        <x:v>0.27</x:v>
      </x:c>
      <x:c r="D8" s="28" t="n">
        <x:v>0.12</x:v>
      </x:c>
      <x:c r="E8" s="28" t="n">
        <x:v>0.15</x:v>
      </x:c>
      <x:c r="F8" s="20" t="n">
        <x:f>B8*(1-C8-D8-E8)</x:f>
        <x:v>690</x:v>
      </x:c>
      <x:c r="G8" s="12" t="str">
        <x:v>Если цена удерживается</x:v>
      </x:c>
      <x:c r="H8" s="12" t="str">
        <x:v>Работает только если карточка держит цену и конверсию.</x:v>
      </x:c>
    </x:row>
    <x:row r="11" ht="25.5" customHeight="1">
      <x:c r="A11" s="19" t="str">
        <x:v>Как читать расчет</x:v>
      </x:c>
      <x:c r="B11" s="19" t="str"/>
      <x:c r="C11" s="19" t="str"/>
      <x:c r="D11" s="19" t="str"/>
      <x:c r="E11" s="19" t="str"/>
      <x:c r="F11" s="19" t="str"/>
      <x:c r="G11" s="19" t="str"/>
      <x:c r="H11" s="19" t="str"/>
    </x:row>
    <x:row r="12" ht="37.5" customHeight="1">
      <x:c r="A12" s="14" t="str">
        <x:v>Max landed-себестоимость</x:v>
      </x:c>
      <x:c r="B12" s="12" t="str">
        <x:v>Это максимальная закупка с доставкой до склада/готовностью к продаже, при которой остается целевая прибыль после WB-расходов и рекламы.</x:v>
      </x:c>
      <x:c r="C12" s="12" t="str"/>
      <x:c r="D12" s="12" t="str"/>
      <x:c r="E12" s="12" t="str"/>
      <x:c r="F12" s="12" t="str"/>
      <x:c r="G12" s="12" t="str"/>
      <x:c r="H12" s="12" t="str"/>
    </x:row>
    <x:row r="13" ht="37.5" customHeight="1">
      <x:c r="A13" s="14" t="str">
        <x:v>Расходы WB</x:v>
      </x:c>
      <x:c r="B13" s="12" t="str">
        <x:v>Черновой агрегированный процент на комиссии, логистику и прочие WB-расходы. Для финального решения заменить на фактическую юнитку.</x:v>
      </x:c>
      <x:c r="C13" s="12" t="str"/>
      <x:c r="D13" s="12" t="str"/>
      <x:c r="E13" s="12" t="str"/>
      <x:c r="F13" s="12" t="str"/>
      <x:c r="G13" s="12" t="str"/>
      <x:c r="H13" s="12" t="str"/>
    </x:row>
    <x:row r="14" ht="37.5" customHeight="1">
      <x:c r="A14" s="14" t="str">
        <x:v>ДРР</x:v>
      </x:c>
      <x:c r="B14" s="12" t="str">
        <x:v>Цель 10-12%; на тесте можно до 15%, если цена/маржа выдерживают.</x:v>
      </x:c>
      <x:c r="C14" s="12" t="str"/>
      <x:c r="D14" s="12" t="str"/>
      <x:c r="E14" s="12" t="str"/>
      <x:c r="F14" s="12" t="str"/>
      <x:c r="G14" s="12" t="str"/>
      <x:c r="H14" s="12" t="str"/>
    </x:row>
    <x:row r="15" ht="37.5" customHeight="1">
      <x:c r="A15" s="14" t="str">
        <x:v>Решение</x:v>
      </x:c>
      <x:c r="B15" s="12" t="str">
        <x:v>Если поставщик дает landed до 600-650 руб. и документы по бренду, товар остается в шорт-листе.</x:v>
      </x:c>
      <x:c r="C15" s="12" t="str"/>
      <x:c r="D15" s="12" t="str"/>
      <x:c r="E15" s="12" t="str"/>
      <x:c r="F15" s="12" t="str"/>
      <x:c r="G15" s="12" t="str"/>
      <x:c r="H15" s="12" t="str"/>
    </x:row>
  </x:sheetData>
  <x:mergeCells>
    <x:mergeCell ref="A1:H1"/>
    <x:mergeCell ref="A2:H2"/>
    <x:mergeCell ref="A11:H11"/>
    <x:mergeCell ref="B12:H12"/>
    <x:mergeCell ref="B13:H13"/>
    <x:mergeCell ref="B14:H14"/>
    <x:mergeCell ref="B15:H15"/>
  </x:mergeCells>
  <x:pageMargins left="0.7" right="0.7" top="0.75" bottom="0.75" header="0.3" footer="0.3"/>
  <x:tableParts count="1">
    <x:tablePart xmlns:r="http://schemas.openxmlformats.org/officeDocument/2006/relationships" r:id="R4550f105de744b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57.779998779296875" hidden="0" customWidth="1"/>
    <x:col min="3" max="3" width="28.889999389648438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7" customHeight="1">
      <x:c r="A1" s="4" t="str">
        <x:v>Источники и допущения</x:v>
      </x:c>
      <x:c r="B1" s="4" t="str">
        <x:v>Источники и допущения</x:v>
      </x:c>
      <x:c r="C1" s="4" t="str">
        <x:v>Источники и допущения</x:v>
      </x:c>
      <x:c r="D1" s="4" t="str">
        <x:v>Источники и допущения</x:v>
      </x:c>
      <x:c r="E1" s="4" t="str">
        <x:v>Источники и допущения</x:v>
      </x:c>
      <x:c r="F1" s="4" t="str">
        <x:v>Источники и допущения</x:v>
      </x:c>
    </x:row>
    <x:row r="2" ht="27" customHeight="1">
      <x:c r="A2" s="8" t="str">
        <x:v>Лист нужен, чтобы в финальном файле было понятно, откуда взяты цифры и где есть ограничения.</x:v>
      </x:c>
      <x:c r="B2" s="8" t="str">
        <x:v>Лист нужен, чтобы в финальном файле было понятно, откуда взяты цифры и где есть ограничения.</x:v>
      </x:c>
      <x:c r="C2" s="8" t="str">
        <x:v>Лист нужен, чтобы в финальном файле было понятно, откуда взяты цифры и где есть ограничения.</x:v>
      </x:c>
      <x:c r="D2" s="8" t="str">
        <x:v>Лист нужен, чтобы в финальном файле было понятно, откуда взяты цифры и где есть ограничения.</x:v>
      </x:c>
      <x:c r="E2" s="8" t="str">
        <x:v>Лист нужен, чтобы в финальном файле было понятно, откуда взяты цифры и где есть ограничения.</x:v>
      </x:c>
      <x:c r="F2" s="8" t="str">
        <x:v>Лист нужен, чтобы в финальном файле было понятно, откуда взяты цифры и где есть ограничения.</x:v>
      </x:c>
    </x:row>
    <x:row r="4" ht="31.5" customHeight="1">
      <x:c r="A4" s="19" t="str">
        <x:v>Блок</x:v>
      </x:c>
      <x:c r="B4" s="19" t="str">
        <x:v>Источник / допущение</x:v>
      </x:c>
      <x:c r="C4" s="19" t="str">
        <x:v>Что использовано</x:v>
      </x:c>
      <x:c r="D4" s="19" t="str">
        <x:v>Период</x:v>
      </x:c>
      <x:c r="E4" s="19" t="str">
        <x:v>Статус</x:v>
      </x:c>
      <x:c r="F4" s="19" t="str">
        <x:v>Комментарий</x:v>
      </x:c>
    </x:row>
    <x:row r="5" ht="43.5" customHeight="1">
      <x:c r="A5" s="12" t="str">
        <x:v>Карточная выдача</x:v>
      </x:c>
      <x:c r="B5" s="12" t="str">
        <x:v>2026-04-28—2026-05-27_FBO_Поисковые_запросы (3).xlsx</x:v>
      </x:c>
      <x:c r="C5" s="12" t="str">
        <x:v>Карточки, продажи, цена, отзывы, возраст, позиции</x:v>
      </x:c>
      <x:c r="D5" s="12" t="str">
        <x:v>28.04.2026-27.05.2026</x:v>
      </x:c>
      <x:c r="E5" s="12" t="str">
        <x:v>Использовано</x:v>
      </x:c>
      <x:c r="F5" s="12" t="str">
        <x:v>Главный источник для выбора конкретного товара.</x:v>
      </x:c>
    </x:row>
    <x:row r="6" ht="43.5" customHeight="1">
      <x:c r="A6" s="12" t="str">
        <x:v>Частотность</x:v>
      </x:c>
      <x:c r="B6" s="12" t="str">
        <x:v>2026-04-28—2026-05-27_FBO_Поисковые_запросы (1).xlsx</x:v>
      </x:c>
      <x:c r="C6" s="12" t="str">
        <x:v>Запросы Celimax умывалка / пенка / гель</x:v>
      </x:c>
      <x:c r="D6" s="12" t="str">
        <x:v>28.04.2026-27.05.2026</x:v>
      </x:c>
      <x:c r="E6" s="12" t="str">
        <x:v>Использовано</x:v>
      </x:c>
      <x:c r="F6" s="12" t="str">
        <x:v>Подтверждает спрос по брендовым запросам.</x:v>
      </x:c>
    </x:row>
    <x:row r="7" ht="43.5" customHeight="1">
      <x:c r="A7" s="12" t="str">
        <x:v>Внешний трафик</x:v>
      </x:c>
      <x:c r="B7" s="12" t="str">
        <x:v>Рабочий вывод по выдаче и поисковым позициям</x:v>
      </x:c>
      <x:c r="C7" s="12" t="str">
        <x:v>Нет признака большой зависимости от внешнего трафика</x:v>
      </x:c>
      <x:c r="D7" s="12" t="str">
        <x:v>28.04.2026-27.05.2026</x:v>
      </x:c>
      <x:c r="E7" s="12" t="str">
        <x:v>Нужно подтвердить при возможности</x:v>
      </x:c>
      <x:c r="F7" s="12" t="str">
        <x:v>В исходной выгрузке нет отдельной колонки доли внешнего трафика.</x:v>
      </x:c>
    </x:row>
    <x:row r="8" ht="43.5" customHeight="1">
      <x:c r="A8" s="12" t="str">
        <x:v>Экономика</x:v>
      </x:c>
      <x:c r="B8" s="12" t="str">
        <x:v>Черновая модель</x:v>
      </x:c>
      <x:c r="C8" s="12" t="str">
        <x:v>WB-расходы 27%, ДРР 10-15%, прибыль 12-18%</x:v>
      </x:c>
      <x:c r="D8" s="12" t="str">
        <x:v>Модель</x:v>
      </x:c>
      <x:c r="E8" s="12" t="str">
        <x:v>Черновик</x:v>
      </x:c>
      <x:c r="F8" s="12" t="str">
        <x:v>Заменить на фактическую юнит-экономику после цены поставщика.</x:v>
      </x:c>
    </x:row>
    <x:row r="9" ht="43.5" customHeight="1">
      <x:c r="A9" s="12" t="str">
        <x:v>Текущий магазин</x:v>
      </x:c>
      <x:c r="B9" s="12" t="str">
        <x:v>supplier-goods-127314-2026-05-01-2026-05-28-exvxkgdeb.XLSX</x:v>
      </x:c>
      <x:c r="C9" s="12" t="str">
        <x:v>Проверка, что Celimax cleanser/foam/gel не найден в текущем ассортименте</x:v>
      </x:c>
      <x:c r="D9" s="12" t="str">
        <x:v>01.05.2026-28.05.2026</x:v>
      </x:c>
      <x:c r="E9" s="12" t="str">
        <x:v>Использовано</x:v>
      </x:c>
      <x:c r="F9" s="12" t="str">
        <x:v>В магазине есть Round Lab cleansers, но это другой бренд.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a9f0421834a45c3"/>
  </x:tableParts>
</x:worksheet>
</file>
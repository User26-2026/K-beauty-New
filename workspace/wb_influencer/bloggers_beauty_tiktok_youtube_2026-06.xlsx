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kTok" sheetId="1" r:id="rId5"/>
    <sheet state="visible" name="YouTube 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">
      <text>
        <t xml:space="preserve">только дублем</t>
      </text>
    </comment>
    <comment authorId="0" ref="I10">
      <text>
        <t xml:space="preserve">в сториз видео из рилс</t>
      </text>
    </comment>
    <comment authorId="0" ref="I11">
      <text>
        <t xml:space="preserve">бонус в ВК и Дзен</t>
      </text>
    </comment>
    <comment authorId="0" ref="I14">
      <text>
        <t xml:space="preserve">https://www.instagram.com/jesuiskeri?igsh=OWN4ZW43aWhsa2p4&amp;utm_source=qr</t>
      </text>
    </comment>
    <comment authorId="0" ref="I21">
      <text>
        <t xml:space="preserve">+ дубль в Вк и Дзен</t>
      </text>
    </comment>
  </commentList>
</comments>
</file>

<file path=xl/sharedStrings.xml><?xml version="1.0" encoding="utf-8"?>
<sst xmlns="http://schemas.openxmlformats.org/spreadsheetml/2006/main" count="541" uniqueCount="345">
  <si>
    <t xml:space="preserve">Автор </t>
  </si>
  <si>
    <t>Статистика</t>
  </si>
  <si>
    <t>Аудитория</t>
  </si>
  <si>
    <t>Формат</t>
  </si>
  <si>
    <t>Подписчики</t>
  </si>
  <si>
    <t>Просмотры
Прогноз</t>
  </si>
  <si>
    <t>СPV</t>
  </si>
  <si>
    <t xml:space="preserve">Стоиомсть </t>
  </si>
  <si>
    <t>СТОИМОСТЬ С НДС 5%</t>
  </si>
  <si>
    <t>РКН</t>
  </si>
  <si>
    <t>Гео</t>
  </si>
  <si>
    <t>Пол</t>
  </si>
  <si>
    <t>Возраст</t>
  </si>
  <si>
    <t>ЭКСКЛЮЗИВНЫЕ АВТОРЫ</t>
  </si>
  <si>
    <t>Регина Мейк</t>
  </si>
  <si>
    <t>Ссылка</t>
  </si>
  <si>
    <t xml:space="preserve">Россия — 35%
Украина — 9%
Казахстан — 7,8% 
                </t>
  </si>
  <si>
    <t>М —10 %
Ж —90%</t>
  </si>
  <si>
    <t>18-24 —21,6 %
25-34 — 40,2%
35+ — 31%</t>
  </si>
  <si>
    <t xml:space="preserve">Интеграция в TikTok </t>
  </si>
  <si>
    <t>Да</t>
  </si>
  <si>
    <r>
      <rPr>
        <rFont val="Nunito"/>
        <color rgb="FFFFFFFF"/>
        <sz val="10.0"/>
      </rPr>
      <t>Интеграция в TikTok +</t>
    </r>
    <r>
      <rPr>
        <rFont val="Nunito"/>
        <color rgb="FFFFFFFF"/>
        <sz val="10.0"/>
      </rPr>
      <t xml:space="preserve"> ВК дубль</t>
    </r>
    <r>
      <rPr>
        <rFont val="Nunito"/>
        <color rgb="FFFFFFFF"/>
        <sz val="10.0"/>
      </rPr>
      <t>+</t>
    </r>
    <r>
      <rPr>
        <rFont val="Nunito"/>
        <color rgb="FFFFFFFF"/>
        <sz val="10.0"/>
      </rPr>
      <t xml:space="preserve"> Ютуб дубль</t>
    </r>
  </si>
  <si>
    <t xml:space="preserve">o.krolevets </t>
  </si>
  <si>
    <t xml:space="preserve">Россия — 56.24%
Узбекистан — 18%
Казахстан — 26% 
                </t>
  </si>
  <si>
    <t>М — 2,2%
Ж — 97,8%</t>
  </si>
  <si>
    <t xml:space="preserve"> 13-17 — 1.9%
18-24 —13.7 %
25-34 —30.2%
35+ —48 %</t>
  </si>
  <si>
    <r>
      <rPr>
        <rFont val="Nunito"/>
        <color rgb="FFFFFFFF"/>
        <sz val="10.0"/>
      </rPr>
      <t xml:space="preserve">Tik Tok ролик + </t>
    </r>
    <r>
      <rPr>
        <rFont val="Nunito"/>
        <color rgb="FFFFFFFF"/>
        <sz val="10.0"/>
      </rPr>
      <t xml:space="preserve">дубль в  ВК </t>
    </r>
    <r>
      <rPr>
        <rFont val="Nunito"/>
        <color rgb="FFFFFFFF"/>
        <sz val="10.0"/>
      </rPr>
      <t xml:space="preserve">+ </t>
    </r>
    <r>
      <rPr>
        <rFont val="Nunito"/>
        <color rgb="FFFFFFFF"/>
        <sz val="10.0"/>
      </rPr>
      <t>дубль в Shorts</t>
    </r>
  </si>
  <si>
    <t>vioobeautu</t>
  </si>
  <si>
    <t>Россия — 43,4%
Беларусь — 3,1%
Казахстан — 3,3%</t>
  </si>
  <si>
    <t>М — 20%
Ж — 80%</t>
  </si>
  <si>
    <t>18-24 — 49,5%
25-34 —26,8 %
35+ — 23,7%</t>
  </si>
  <si>
    <t xml:space="preserve">Tik Tok ролик </t>
  </si>
  <si>
    <t>milana_shakhmanovaa</t>
  </si>
  <si>
    <t>Россия - 30,8%
Чехия - 15,4%
Казахстан - 12,5%</t>
  </si>
  <si>
    <t>Ж - 81%
М - 18%</t>
  </si>
  <si>
    <t>18-24 - 64,5%
25-34 - 23,6%
35-44 - 5,4%</t>
  </si>
  <si>
    <t>Tik Tok ролик</t>
  </si>
  <si>
    <t>р.69 549</t>
  </si>
  <si>
    <t>mazepinaa</t>
  </si>
  <si>
    <t xml:space="preserve">Статистика </t>
  </si>
  <si>
    <t xml:space="preserve">Россия —12 %
Беларусь — 23,2%
Украина — 15,4%
</t>
  </si>
  <si>
    <t xml:space="preserve">М — 20%
Ж — 80%
</t>
  </si>
  <si>
    <t xml:space="preserve">18-24 — 47,5%
25-34 — 37,2%
35+ — 27,3%
</t>
  </si>
  <si>
    <t>steshka.aaaa</t>
  </si>
  <si>
    <t>Другое - 39%
Камбоджа - 9,1%
Мехико - 8,0%</t>
  </si>
  <si>
    <t>Ж - 32%
М - 67%</t>
  </si>
  <si>
    <t>18-24 - 51,5%
25-34 - 30,9%
35-44 - 8,9%</t>
  </si>
  <si>
    <t>р.118 280</t>
  </si>
  <si>
    <t>р.124 566</t>
  </si>
  <si>
    <t>katya_emblem</t>
  </si>
  <si>
    <t>Россия — 54,2%
Казахстан —9,2 %
Украина —14%</t>
  </si>
  <si>
    <t>М — 32%
Ж — 67%</t>
  </si>
  <si>
    <t>18-24 —50,3%
25-34 — 21,5%
35+ — 9,9%</t>
  </si>
  <si>
    <t xml:space="preserve">yunoryy </t>
  </si>
  <si>
    <t>Россия — 37,2%
Беларусь — 13,1%
Украина — 10,4%"</t>
  </si>
  <si>
    <t>М — 60%
Ж — 39%</t>
  </si>
  <si>
    <t>18-24 — 45%
25-34 — 41%
35+ — 14%</t>
  </si>
  <si>
    <t>vimilagrosa</t>
  </si>
  <si>
    <t>Россия — 24,1%
Беларусь — 9,9%
Украина — 15,1%</t>
  </si>
  <si>
    <t>М —17 %
Ж —82 %</t>
  </si>
  <si>
    <t>18-24 —51,3 %
25-34 — 26,3%
35+ —22,4 %</t>
  </si>
  <si>
    <t>anchutacr</t>
  </si>
  <si>
    <t>Россия — 35,6%
Беларусь — 8,9%
Украина — 7,9%</t>
  </si>
  <si>
    <t>М —13 %
Ж —87 %</t>
  </si>
  <si>
    <t>18-24 — 50,6%
25-34 — 37,0%
35+ — 12,4%</t>
  </si>
  <si>
    <t xml:space="preserve">Нативная реклама под звук +текс </t>
  </si>
  <si>
    <t xml:space="preserve">Упоминание (могут присутствовать другие продукты, за исключением конкурентов) </t>
  </si>
  <si>
    <t>lil.mari.1</t>
  </si>
  <si>
    <t>Беларусь — 15,6%
Украина —14,1%
США —8,9%</t>
  </si>
  <si>
    <t>М — 40%
Ж — 59%</t>
  </si>
  <si>
    <t>18-24 — 35%
25-34 — 31%
35+ — 34%</t>
  </si>
  <si>
    <t>р.76 805</t>
  </si>
  <si>
    <t>р.80 887</t>
  </si>
  <si>
    <t>lizzebra</t>
  </si>
  <si>
    <t>Россия — 29,3%
Украина —13,3%
Казахстан —20,9%</t>
  </si>
  <si>
    <t>М —18%
Ж — 81%</t>
  </si>
  <si>
    <t>18-24 —50,5%
25-34 — 34,3%
35+ — 15,2%</t>
  </si>
  <si>
    <t>р.133 948</t>
  </si>
  <si>
    <t>р.141 067</t>
  </si>
  <si>
    <t>pelnest</t>
  </si>
  <si>
    <t>Россия — 42,3%
Украина —14,2%
Казахстан —9,2%</t>
  </si>
  <si>
    <t>М — 22%
Ж — 77%</t>
  </si>
  <si>
    <t>18-24 — 48,3%
25-34 — 35,6%
35+ — 16,1%</t>
  </si>
  <si>
    <t>р.16 283</t>
  </si>
  <si>
    <t>р.17 148</t>
  </si>
  <si>
    <t>zzadorinaa</t>
  </si>
  <si>
    <t>Россия — 53,4%
Беларусь —6,8%
Казахстан —5%</t>
  </si>
  <si>
    <t>М —14%
Ж — 86%</t>
  </si>
  <si>
    <t>18-24 —48,8%
25-34 — 41%
35+ — 6,1%</t>
  </si>
  <si>
    <t>р.17 204</t>
  </si>
  <si>
    <t>р.18 119</t>
  </si>
  <si>
    <t>akirabl00d</t>
  </si>
  <si>
    <t xml:space="preserve">Россия — 38%
Казахстан — 8,6%
Украина —  14,5%
</t>
  </si>
  <si>
    <t>М — 28%
Ж — 70%</t>
  </si>
  <si>
    <t>18-24 — 44?7%
25-34 — 39,3%
35+ — 16%</t>
  </si>
  <si>
    <t>kalofey.x</t>
  </si>
  <si>
    <t>Россия — 43,9%
Беларусь — 8,5%
Украина — 9,3%"</t>
  </si>
  <si>
    <t>М — 18%
Ж — 81%</t>
  </si>
  <si>
    <t>18-24 —51,8 %
25-34 — 32,8%
35+ — 15,4%</t>
  </si>
  <si>
    <t>mymarriee2</t>
  </si>
  <si>
    <t>Россия — 29,6%
Беларусь — 8,8%
Украина — 18,3%"</t>
  </si>
  <si>
    <t>М —17 %
Ж — 82%</t>
  </si>
  <si>
    <t>18-24 — 46,2%
25-34 — 34%
35+ — 19,8%</t>
  </si>
  <si>
    <t>ann.tsvetka</t>
  </si>
  <si>
    <t>Россия — 33,3%
Беларусь — 10,4%
Украина — 16,5%"</t>
  </si>
  <si>
    <t>М —14 %
Ж —85 %</t>
  </si>
  <si>
    <t>18-24 —50,6 %
25-34 — 34%
35+ — 15,4%</t>
  </si>
  <si>
    <t>linoiva</t>
  </si>
  <si>
    <t>Россия —22,5 %
Беларусь — 11,8%
Украина — 15,4%"</t>
  </si>
  <si>
    <t>М — 17%
Ж — 83%</t>
  </si>
  <si>
    <t>18-24 — 56%
25-34 — 30%
35+ — 14%</t>
  </si>
  <si>
    <t>tinabeauty</t>
  </si>
  <si>
    <t>Россия —54,6 %
Беларусь — 9,0%
Украина — 9,2%"</t>
  </si>
  <si>
    <t xml:space="preserve">М — 21%
Ж — 78% </t>
  </si>
  <si>
    <t>18-24 — 45,9%
25-34 — 35,2%
35+ — 18,9%</t>
  </si>
  <si>
    <t>twoalise</t>
  </si>
  <si>
    <t>Россия —41,7 %
Беларусь — 12,3%
Украина — 11,2%"</t>
  </si>
  <si>
    <t xml:space="preserve">М — 49%
Ж — 50% </t>
  </si>
  <si>
    <t>18-24 — 50,6%
25-34 — 32,9%
35+ — 10%</t>
  </si>
  <si>
    <t>nottaalyssa</t>
  </si>
  <si>
    <t xml:space="preserve">М — 15,4%
Ж — 84,2% </t>
  </si>
  <si>
    <t>13-17 — 7,3%
18-24 — 35,2%
25-34 — 25,9%
35+ — 18,3%</t>
  </si>
  <si>
    <t>anastya_creates</t>
  </si>
  <si>
    <t>Россия —43,3 %
Беларусь — 23,2%
Украина — 7,9%"</t>
  </si>
  <si>
    <t xml:space="preserve">М — 59%
Ж — 40% </t>
  </si>
  <si>
    <t>18-24 — 40,7%
25-34 — 30,0%
35+ — 29,3%</t>
  </si>
  <si>
    <t>Не требуется</t>
  </si>
  <si>
    <t xml:space="preserve">Tik Tok ролик по сценарию автора (вирусно) </t>
  </si>
  <si>
    <t>zaykina_r</t>
  </si>
  <si>
    <t>Россия —43,1 %
Беларусь — 6,7%
Украина — 15,4%</t>
  </si>
  <si>
    <t xml:space="preserve">М — 23%
Ж — 76% </t>
  </si>
  <si>
    <t>18-24 — 46,9%
25-34 — 33,7%
35+ — 19,4%</t>
  </si>
  <si>
    <t>siroezhkova</t>
  </si>
  <si>
    <t>Россия —43,6%
Беларусь — 9%
Украина — 15,3%</t>
  </si>
  <si>
    <t>М — 30%
Ж — 69%</t>
  </si>
  <si>
    <t>18-24 — 47,5%
25-34 — 36,2%
35+ — 16%</t>
  </si>
  <si>
    <t>msrbv</t>
  </si>
  <si>
    <t>nikerbeauty</t>
  </si>
  <si>
    <t xml:space="preserve">Россия —12 %
Беларусь — 23,2%
Украина — 15,4%
</t>
  </si>
  <si>
    <t>myyslina</t>
  </si>
  <si>
    <t xml:space="preserve">Россия —25,4 %
Беларусь — 10,5%
Украина — 15.2%
</t>
  </si>
  <si>
    <t xml:space="preserve">М — 16%
Ж — 83%
</t>
  </si>
  <si>
    <t xml:space="preserve">18-24 — 55,8%
25-34 — 33,4%
35+ — 10,8%
</t>
  </si>
  <si>
    <t>davletka0</t>
  </si>
  <si>
    <t xml:space="preserve">Россия — 35,7%
Беларусь — 10,3%
Украина —  16,1%
</t>
  </si>
  <si>
    <t xml:space="preserve">М — 29%
Ж — 70%
</t>
  </si>
  <si>
    <t xml:space="preserve">18-24 — 45,4%
25-34 — 34,9%
35+ — 10,2%
</t>
  </si>
  <si>
    <t xml:space="preserve">lipcombovna </t>
  </si>
  <si>
    <t xml:space="preserve">Россия — 25,5%
Казахстан—14,8 %
Украина —14,5 %
</t>
  </si>
  <si>
    <t xml:space="preserve">М — 31%
Ж — 68% 
</t>
  </si>
  <si>
    <t xml:space="preserve">18-24 — 33,9%
25-34 —33,9 %
35+ — 18,8%
</t>
  </si>
  <si>
    <t>omaygadoo</t>
  </si>
  <si>
    <t>Россия — 25,5%
Казахстан —14,8 %
Украина —14,5%</t>
  </si>
  <si>
    <t xml:space="preserve">М — 28%
Ж — 71% 
</t>
  </si>
  <si>
    <t xml:space="preserve">18-24 — %
25-34 — %
35+ — %
</t>
  </si>
  <si>
    <t>sanforroro</t>
  </si>
  <si>
    <t>Россия — 41,9%
Казахстан —14,1 %
Украина —12,8%</t>
  </si>
  <si>
    <t xml:space="preserve">М — 13%
Ж — 85% 
</t>
  </si>
  <si>
    <t xml:space="preserve">18-24 — 56,2%
25-34 — 34,5%
35+ — 9,5%
</t>
  </si>
  <si>
    <t xml:space="preserve"> TikTok ролик</t>
  </si>
  <si>
    <t>krasavinavv</t>
  </si>
  <si>
    <t>Россия — 9,5%
Казахстан —18,4 %
Украина —16,3%</t>
  </si>
  <si>
    <t>М — 29%
Ж — 71%</t>
  </si>
  <si>
    <t>18-24 —52,9 %
25-34 — 35,3%
35+ — 11,8%</t>
  </si>
  <si>
    <t>ribwen</t>
  </si>
  <si>
    <t>Россия — 17,6%
Казахстан —6%
Украина —12,3%</t>
  </si>
  <si>
    <t>18-24 —52,6 %
25-34 — 34,8%
35+ — 12,6%</t>
  </si>
  <si>
    <t>y.rinaaa</t>
  </si>
  <si>
    <t>Россия — 42,8%
Казахстан —16,3 %
Украина —12,7%</t>
  </si>
  <si>
    <t>М — 43%
Ж — 56%</t>
  </si>
  <si>
    <t>18-24 —49%
25-34 — 33,7%
35+ — 17,3%</t>
  </si>
  <si>
    <t>ya.pronya</t>
  </si>
  <si>
    <t>Россия — 37,7%
Беларусь—12 %
Украина —10,7%</t>
  </si>
  <si>
    <t>М —15%
Ж —84%</t>
  </si>
  <si>
    <t>18-24 —53,3%
25-34 — 34%
35+ — 12,7%</t>
  </si>
  <si>
    <t>evangeeel</t>
  </si>
  <si>
    <t>Россия — 25,9%
Казахстан —11,3 %
Украина —15,7%</t>
  </si>
  <si>
    <t>М — 18%
Ж — 82%</t>
  </si>
  <si>
    <t>18-24 —52,9%
25-34 — 35,2%
35+ — 11,9%</t>
  </si>
  <si>
    <t>vikamines0</t>
  </si>
  <si>
    <t>"Россия — 29,5%
Беларусь — 9,4%
Украина —16,9%</t>
  </si>
  <si>
    <t>М — 59%
Ж — 40%</t>
  </si>
  <si>
    <t>18-24 —44,9%
25-34 — 38%
35+ — 17,1%</t>
  </si>
  <si>
    <t>elf__ia</t>
  </si>
  <si>
    <t>Россия — 23,7%
Казахстан —11%
Украина —17%</t>
  </si>
  <si>
    <t>М — 15%
Ж — 84%</t>
  </si>
  <si>
    <t>18-24 —53%
25-34 — 28%
35+ — 19%</t>
  </si>
  <si>
    <t>glafirash</t>
  </si>
  <si>
    <t>Россия — 28,5%
Казахстан —7,2%
Украина —22,8%</t>
  </si>
  <si>
    <t>18-24 —45,9%
25-34 — 33,8%
35+ — 23%</t>
  </si>
  <si>
    <t>lady.wax</t>
  </si>
  <si>
    <t>Россия — 28,4%
Казахстан —18,6%
Украина —14,3%</t>
  </si>
  <si>
    <t>М — 21%
Ж — 77%</t>
  </si>
  <si>
    <t>18-24 —52,6%
25-34 — 37,2%
35+ — 10,2%</t>
  </si>
  <si>
    <t>tatita.pups</t>
  </si>
  <si>
    <t>"Россия — 29,1%
Казахстан —9,8 %
Украина —26,8%</t>
  </si>
  <si>
    <t>М — 38%
Ж — 61%</t>
  </si>
  <si>
    <t>18-24 —28,5%
25-34 — 31,7%
35+ — 39,8%</t>
  </si>
  <si>
    <t>р.46 498</t>
  </si>
  <si>
    <t>р.48 945</t>
  </si>
  <si>
    <t>_nikoshkaaaaaa_</t>
  </si>
  <si>
    <t>Россия — 21,9%
Казахстан —10,3%
Украина —13,1%</t>
  </si>
  <si>
    <t>М — 49%
Ж — 51%</t>
  </si>
  <si>
    <t>18-24 —56?2%
25-34 — 34,8%
35+ — 9%</t>
  </si>
  <si>
    <t>ddurneva</t>
  </si>
  <si>
    <t>Россия — 42,7%
Беларусь —10,7%
Украина —11%</t>
  </si>
  <si>
    <t xml:space="preserve">М — 86%
Ж — 14% </t>
  </si>
  <si>
    <t>18-24 — 46,2%
25-34 — 42,5%
35+ — 11,3%</t>
  </si>
  <si>
    <t>vivisayurii</t>
  </si>
  <si>
    <t>Россия — 26%
Беларусь —13,5%
Казахстан —10,3%</t>
  </si>
  <si>
    <t>М —10%
Ж — 89%</t>
  </si>
  <si>
    <t>18-24 —58,3%
25-34 — 33,4%
35+ — 7,3%</t>
  </si>
  <si>
    <t>v_balmont</t>
  </si>
  <si>
    <t>Россия — 48,5%
Украина —7,3%
Казахстан —6,8%</t>
  </si>
  <si>
    <t>М —26,3%
Ж — 73,4%</t>
  </si>
  <si>
    <t>18-24 —25,4
25-34 — 38,5%
35+ — 24,5%</t>
  </si>
  <si>
    <t>ketixski</t>
  </si>
  <si>
    <t>Россия — 41,3%
Украина —6,9%
Казахстан —1,9%</t>
  </si>
  <si>
    <t>М —37%
Ж — 63%</t>
  </si>
  <si>
    <t>18-24 —43,7%
25-34 — 32,6%
35+ — 23,7%</t>
  </si>
  <si>
    <t>zhuravusha</t>
  </si>
  <si>
    <t>Россия — 38,9%
Беларусь —21,3%
Казахстан —15?2%</t>
  </si>
  <si>
    <t>М — 16%
Ж — 84%</t>
  </si>
  <si>
    <t>18-24 — 52%
25-34 — 37%
35+ — 11%</t>
  </si>
  <si>
    <t>aestlaw</t>
  </si>
  <si>
    <t>Россия — 56,8%
Казахстан — 6,3%
Беларусь—9%</t>
  </si>
  <si>
    <t xml:space="preserve">М — 21%
Ж — 78% 
</t>
  </si>
  <si>
    <t xml:space="preserve">18-24 —46,3 %
25-34 — 31,7%
35+ — 22%
</t>
  </si>
  <si>
    <t>_shchennikova_aa</t>
  </si>
  <si>
    <t>Россия — 19,2%
Украина— 16,8%
США—10,4%</t>
  </si>
  <si>
    <t>М — 14%
Ж — 86%</t>
  </si>
  <si>
    <t>18-24 — 56,2%
25-34 — 32,4%
35+ — 11,4%</t>
  </si>
  <si>
    <t>р.23 041</t>
  </si>
  <si>
    <t>р.24 266</t>
  </si>
  <si>
    <t>merkkk77</t>
  </si>
  <si>
    <t>Россия — 14,7%
Украина — 20,1%
Беларусь—10,9%</t>
  </si>
  <si>
    <t xml:space="preserve">М — 20%
Ж — 76% 
</t>
  </si>
  <si>
    <t xml:space="preserve">18-24 —49,5%
25-34 — 37,6%
35+ — 12,9%
</t>
  </si>
  <si>
    <t>р.15 361</t>
  </si>
  <si>
    <t>р.16 177</t>
  </si>
  <si>
    <t xml:space="preserve">ДАТА СОСТАВЛЕНИЯ: </t>
  </si>
  <si>
    <t>КОММЕНТАРИИ:</t>
  </si>
  <si>
    <t>1. Показатели просмотров  прогнозные и не являются гарантией, хотя мы всегда стараемся их перевыполнять. Тем не менее просмотры могут отличаться от фактических на 10-20%.</t>
  </si>
  <si>
    <t>КАНАЛ</t>
  </si>
  <si>
    <t>СТАТИСТИКА</t>
  </si>
  <si>
    <t>ФОКУС</t>
  </si>
  <si>
    <t>АУДИТОРИЯ</t>
  </si>
  <si>
    <t>ПОДПИСЧИКИ</t>
  </si>
  <si>
    <t>ПРОГНОЗ</t>
  </si>
  <si>
    <t>ФОРМАТ</t>
  </si>
  <si>
    <t>СPM</t>
  </si>
  <si>
    <t xml:space="preserve">Тотал ( 3% + 7% ) </t>
  </si>
  <si>
    <t>НДС</t>
  </si>
  <si>
    <t>СТОИМОСТЬ</t>
  </si>
  <si>
    <t>НАЛОГ</t>
  </si>
  <si>
    <t>О КАНАЛЕ</t>
  </si>
  <si>
    <t>ГЕО</t>
  </si>
  <si>
    <t>ПОЛ</t>
  </si>
  <si>
    <t>ВОЗРАСТ</t>
  </si>
  <si>
    <t>ссылка</t>
  </si>
  <si>
    <t>Бьюти</t>
  </si>
  <si>
    <t>Россия —70%
Украина — 3%
Узбекистан — 4%
Казахстан — 3%</t>
  </si>
  <si>
    <t>М — 12.8%
Ж — 86.9%</t>
  </si>
  <si>
    <t>13-17 — 9%
18-24 — 36.2%
25-34 — 26.4%
35+ — 29%</t>
  </si>
  <si>
    <t>1 Shorts</t>
  </si>
  <si>
    <t xml:space="preserve">Регина делает распаковки и обзоры на различные бьюти-продукты, делится идеями модных причесок и снимает краткие мейкап-туториалы. </t>
  </si>
  <si>
    <t>Россия — 60.3%
Казахстан — 10.6%
Украина — 9.1%
Германия — 3.3%</t>
  </si>
  <si>
    <t>М — 9%
Ж — 90%</t>
  </si>
  <si>
    <t>13-17 — 5%
18-24 — 28%
25-34 — 21%</t>
  </si>
  <si>
    <t>Виктория выпускает множество видео с полезными бьюти-советами. Так же, на канале выходят большое количество видео на тему, как правильно наносить макияж, как подчеркнуть свою внешность, показывает яркие образы и тестирует различные косметические средства.</t>
  </si>
  <si>
    <t xml:space="preserve">Бьюти </t>
  </si>
  <si>
    <t>Россия —  72%
Узбекистан —  3%
Украина —  2%</t>
  </si>
  <si>
    <t>13-17 — 5%
18-24 — 36%
25-34 — 24%</t>
  </si>
  <si>
    <t>Виктория демонстрирует различные яркие образы, использует разные косметические средства и делится полезными бьюти-советами.</t>
  </si>
  <si>
    <t>Мария Хренихина</t>
  </si>
  <si>
    <t xml:space="preserve">Бьюти
</t>
  </si>
  <si>
    <t>Россия — 79,2%
Украина — 1,9%
Беларусь — 1,0%</t>
  </si>
  <si>
    <t>М — 3,1%
Ж — 96,7%</t>
  </si>
  <si>
    <t>13-17 — 3,0%
18-24 — 35,3%
25-34 — 36,4%
35+ — 18,0%</t>
  </si>
  <si>
    <t xml:space="preserve">Мария рассказывает про любимые уходовые средства и делится своим мнением о декоративной, и уходовой косметике </t>
  </si>
  <si>
    <t>Мария Гузева</t>
  </si>
  <si>
    <t>Подкаст</t>
  </si>
  <si>
    <t>Россия — 76,0%
Германия — 2,0%
Франция — 1,3%</t>
  </si>
  <si>
    <t>М — 21,2%
Ж — 78,8%</t>
  </si>
  <si>
    <t>13-17 — 0%
18-24 — 9,9%
25-34 — 40,1%
35+ — 26,1%</t>
  </si>
  <si>
    <t>7 290</t>
  </si>
  <si>
    <t>Интеграция 
до 60 секунд</t>
  </si>
  <si>
    <t>Маша приглашает интерсных личностей к себе в подкаст, где они обсуждают насущные темы общества</t>
  </si>
  <si>
    <t>Элеонора Волкова</t>
  </si>
  <si>
    <t xml:space="preserve">Россия — 11.5%
США — 7.4%
Республика Корея — 7.3%
</t>
  </si>
  <si>
    <t>М — 14,7 %
Ж — 85,1 %</t>
  </si>
  <si>
    <t>35-44 — 20,9%
45-54 — 19,5%
25-34 —17,3%
18-24 — 17,8%</t>
  </si>
  <si>
    <t xml:space="preserve">Элеонора специализируется на макияже и укладках. Делится лайфхаками, обзорами уходовой и декоративной косметики, а также идеями стильных укладок.
</t>
  </si>
  <si>
    <t>1 Shorts + дубль reels</t>
  </si>
  <si>
    <t>1 Shorts + дубль reels + серия stories</t>
  </si>
  <si>
    <t>Ras_mua</t>
  </si>
  <si>
    <t xml:space="preserve">Бьюти
</t>
  </si>
  <si>
    <t>Москва—11,6 %
Алма Ата—7,7 %
Нур Султан—5,2%</t>
  </si>
  <si>
    <t>М —1,6 %
Ж —98 %</t>
  </si>
  <si>
    <t>35-44 — 30,3%
45-54 — 23,7%
25-34 —17%
18-24 — 13,7%</t>
  </si>
  <si>
    <t xml:space="preserve">Авто  рассказыввает о находках и новинках косметики,  делиться секретами макияжа и красоты
</t>
  </si>
  <si>
    <t>Полноценное видео/норизонтальное - только в рамках интеграции (продукт бренда + другие бренды)</t>
  </si>
  <si>
    <t>Пакет серия Stories + 1 Reels + Shorts + бонус ВК , Дзен,  TG</t>
  </si>
  <si>
    <t xml:space="preserve">Tveretskaya </t>
  </si>
  <si>
    <t>Россия — 73,8%
Украина — 5.4%
Казахстан — 2.5%</t>
  </si>
  <si>
    <t>М — 4,8%
Ж — 94,9%</t>
  </si>
  <si>
    <t>13-17 — 3.2%
18-24 — 25,2%
25-34 — 22,1%
35+ — 35,1%</t>
  </si>
  <si>
    <t>1 Shorts + бонус дубль в reels</t>
  </si>
  <si>
    <t xml:space="preserve">Множество роликов с полезными бьюти-советами. Также она снимает различные варианты яркого, необычного макияжа и тестирует популярные косметические средства. </t>
  </si>
  <si>
    <t>1 shorts + TG пост</t>
  </si>
  <si>
    <t>Ольга Радловская</t>
  </si>
  <si>
    <t>Россия — 74.3%
Украина — 3.6%
Казахстан — 2.5%</t>
  </si>
  <si>
    <t>М — 5.2%
Ж — 94.5%</t>
  </si>
  <si>
    <t>13-17 — 4.7%
18-24 — 30.1%
25-34 — 23.5%
35+ — 41.7%</t>
  </si>
  <si>
    <t xml:space="preserve">На канале Оли выходит множество роликов с полезными бьюти-советами. Также она снимает различные варианты яркого, необычного макияжа и тестирует популярные косметические средства. </t>
  </si>
  <si>
    <t>Tina Bukreeva</t>
  </si>
  <si>
    <t xml:space="preserve">Россия — 30,5%
Казахстан — 8,9%
Украина — 8,2% </t>
  </si>
  <si>
    <t>Shorts</t>
  </si>
  <si>
    <t xml:space="preserve"> Здесь Тина Букреева делится советами по макияжу, уходу за кожей и другими бьюти-лайфхаками.</t>
  </si>
  <si>
    <t>potrubka.makeup</t>
  </si>
  <si>
    <t xml:space="preserve">Россия — 82%
Украина — 2%
Казахстан — 1% </t>
  </si>
  <si>
    <t xml:space="preserve">М — 8%
Ж — 90% </t>
  </si>
  <si>
    <t xml:space="preserve">13-17 — 6%
18-24 — 53%
25-34 — 23%
</t>
  </si>
  <si>
    <t xml:space="preserve"> Автор делится своими работами, вдохновляющими образами, советами по уходу за кожей и секретами мастерства.</t>
  </si>
  <si>
    <t>polyaam</t>
  </si>
  <si>
    <t>Лайфстайл</t>
  </si>
  <si>
    <t xml:space="preserve">Россия — 46,6%
Казахстан — 6,7%
Украина — 6,0% </t>
  </si>
  <si>
    <t xml:space="preserve">М — 8,8%
Ж — 91,1% </t>
  </si>
  <si>
    <t>13-17 — 11,5%
18-24 — 55,8%
25-34 — 18,1%
35+ — 9,9%</t>
  </si>
  <si>
    <t>Интеграция 60-120 секунд</t>
  </si>
  <si>
    <t xml:space="preserve"> Полина делится с подписчиками модными образами, бьюти-советами и моментами из своей повседневной жизни.</t>
  </si>
  <si>
    <t>Саша - бьюти-блогер ваша</t>
  </si>
  <si>
    <t xml:space="preserve">Россия —68,8%
Германия—2,9%
Нидерланды —2,5%
</t>
  </si>
  <si>
    <t xml:space="preserve">М —3,3%
Ж —96,6%
</t>
  </si>
  <si>
    <t xml:space="preserve">13-17 — 3,1%
18-24 — 33,5%
25-34 —33,3%
35+ — 19,7%
</t>
  </si>
  <si>
    <t xml:space="preserve">Александра делится честными обзорами на косметику, тестирует новинки, делится советами по уходу за кожей и создает разнообразные макияжи для любой ситуации. </t>
  </si>
  <si>
    <t>Интеграция 3-5 мин.</t>
  </si>
  <si>
    <t>ksenialedov</t>
  </si>
  <si>
    <t>Россия — 73,3%
Казахстан — 7,6%
Украина — 2,7%</t>
  </si>
  <si>
    <t xml:space="preserve">М — 2,6%
Ж — 97,3% </t>
  </si>
  <si>
    <t>13-17 — 0,7%
18-24 — 19,4%
25-34 — 42,5%
35+ — 28%</t>
  </si>
  <si>
    <t xml:space="preserve"> Ксения демонстрирует разнообразие техник макияжа, подходов к уходу за собой и последние тренды. </t>
  </si>
  <si>
    <t xml:space="preserve">ДАТА ОБНОВЛЕНИЯ: </t>
  </si>
  <si>
    <t xml:space="preserve">1. Цены действительны в течение 14 дней с даты составления. Цены могут изменяться при уточнении ТЗ на 10-30%. </t>
  </si>
  <si>
    <t>2. Цены могут меняться  из-за динамики аудитории блогера.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</si>
</sst>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"/>
    <numFmt numFmtId="165" formatCode="[$р.-419]#,##0"/>
    <numFmt numFmtId="166" formatCode="0 000"/>
    <numFmt numFmtId="167" formatCode="d.m.yyyy"/>
    <numFmt numFmtId="168" formatCode="dd.mm.yyyy"/>
    <numFmt numFmtId="169" formatCode="#,##0.0"/>
    <numFmt numFmtId="170" formatCode="#,##0[$₽]"/>
  </numFmts>
  <fonts count="31">
    <font>
      <sz val="10.0"/>
      <color rgb="FF000000"/>
      <name val="Arial"/>
      <scheme val="minor"/>
    </font>
    <font>
      <b/>
      <color rgb="FFFFFFFF"/>
      <name val="Nunito"/>
    </font>
    <font>
      <b/>
      <color rgb="FFF2F2F2"/>
      <name val="Nunito"/>
    </font>
    <font/>
    <font>
      <b/>
      <sz val="16.0"/>
      <color rgb="FFF2F2F2"/>
      <name val="Nunito"/>
    </font>
    <font>
      <sz val="10.0"/>
      <color rgb="FFFFFFFF"/>
      <name val="Nunito"/>
    </font>
    <font>
      <color rgb="FFFFFFFF"/>
      <name val="Arial"/>
    </font>
    <font>
      <color rgb="FFFFFFFF"/>
      <name val="Nunito"/>
    </font>
    <font>
      <sz val="10.0"/>
      <color rgb="FFFFFFFF"/>
      <name val="Arial"/>
    </font>
    <font>
      <color theme="1"/>
      <name val="Arial"/>
    </font>
    <font>
      <b/>
      <color rgb="FFFFFFFF"/>
      <name val="Arial"/>
    </font>
    <font>
      <color rgb="FFF2F2F2"/>
      <name val="Nunito"/>
    </font>
    <font>
      <b/>
      <sz val="9.0"/>
      <color rgb="FFF2F2F2"/>
      <name val="Nunito"/>
    </font>
    <font>
      <b/>
      <u/>
      <color rgb="FFFFFFFF"/>
      <name val="Nunito"/>
    </font>
    <font>
      <u/>
      <color rgb="FFFFFFFF"/>
      <name val="Nunito"/>
    </font>
    <font>
      <b/>
      <u/>
      <color rgb="FFFFFFFF"/>
      <name val="Nunito"/>
    </font>
    <font>
      <u/>
      <color rgb="FFFFFFFF"/>
      <name val="Nunito"/>
    </font>
    <font>
      <b/>
      <u/>
      <color rgb="FFFFFFFF"/>
      <name val="Nunito"/>
    </font>
    <font>
      <u/>
      <color rgb="FFFFFFFF"/>
      <name val="Nunito"/>
    </font>
    <font>
      <b/>
      <u/>
      <color rgb="FFFFFFFF"/>
      <name val="Nunito"/>
    </font>
    <font>
      <u/>
      <color rgb="FFFFFFFF"/>
      <name val="Nunito"/>
    </font>
    <font>
      <u/>
      <color rgb="FFFFFFFF"/>
      <name val="Nunito"/>
    </font>
    <font>
      <u/>
      <color rgb="FFFFFFFF"/>
      <name val="Nunito"/>
    </font>
    <font>
      <b/>
      <u/>
      <color rgb="FFFFFFFF"/>
      <name val="Nunito"/>
    </font>
    <font>
      <u/>
      <color rgb="FFFFFFFF"/>
      <name val="Nunito"/>
    </font>
    <font>
      <b/>
      <u/>
      <color rgb="FFFFFFFF"/>
      <name val="Nunito"/>
    </font>
    <font>
      <u/>
      <color rgb="FFFFFFFF"/>
      <name val="Arial"/>
    </font>
    <font>
      <u/>
      <color rgb="FFFFFFFF"/>
      <name val="Arial"/>
    </font>
    <font>
      <u/>
      <color rgb="FFFFFFFF"/>
      <name val="Arial"/>
    </font>
    <font>
      <u/>
      <color rgb="FFFFFFFF"/>
      <name val="Arial"/>
    </font>
    <font>
      <u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62A35"/>
        <bgColor rgb="FF262A35"/>
      </patternFill>
    </fill>
    <fill>
      <patternFill patternType="solid">
        <fgColor rgb="FF6249AB"/>
        <bgColor rgb="FF6249AB"/>
      </patternFill>
    </fill>
    <fill>
      <patternFill patternType="solid">
        <fgColor rgb="FF494F61"/>
        <bgColor rgb="FF494F61"/>
      </patternFill>
    </fill>
    <fill>
      <patternFill patternType="solid">
        <fgColor rgb="FF2F3441"/>
        <bgColor rgb="FF2F3441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6249AB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6249AB"/>
      </left>
      <right style="thin">
        <color rgb="FF6249AB"/>
      </right>
      <top style="thin">
        <color rgb="FF6249AB"/>
      </top>
    </border>
    <border>
      <left style="thin">
        <color rgb="FF6249AB"/>
      </left>
      <top style="thin">
        <color rgb="FF6249AB"/>
      </top>
      <bottom style="thin">
        <color rgb="FF6249AB"/>
      </bottom>
    </border>
    <border>
      <top style="thin">
        <color rgb="FF6249AB"/>
      </top>
      <bottom style="thin">
        <color rgb="FF6249AB"/>
      </bottom>
    </border>
    <border>
      <right style="thin">
        <color rgb="FF6249AB"/>
      </right>
      <top style="thin">
        <color rgb="FF6249AB"/>
      </top>
      <bottom style="thin">
        <color rgb="FF6249AB"/>
      </bottom>
    </border>
    <border>
      <right style="thin">
        <color rgb="FF6249AB"/>
      </right>
      <top style="thin">
        <color rgb="FF6249AB"/>
      </top>
    </border>
    <border>
      <left style="thin">
        <color rgb="FF6249AB"/>
      </left>
      <right style="thin">
        <color rgb="FF6249AB"/>
      </right>
      <bottom style="thin">
        <color rgb="FF6249AB"/>
      </bottom>
    </border>
    <border>
      <left style="thin">
        <color rgb="FF6249AB"/>
      </left>
      <right style="thin">
        <color rgb="FF6249AB"/>
      </right>
      <top style="thin">
        <color rgb="FF6249AB"/>
      </top>
      <bottom style="thin">
        <color rgb="FF6249AB"/>
      </bottom>
    </border>
    <border>
      <right style="thin">
        <color rgb="FF6249AB"/>
      </right>
      <bottom style="thin">
        <color rgb="FF6249AB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2" numFmtId="3" xfId="0" applyAlignment="1" applyBorder="1" applyFont="1" applyNumberFormat="1">
      <alignment horizontal="center" readingOrder="0" shrinkToFit="0" vertical="center" wrapText="1"/>
    </xf>
    <xf borderId="1" fillId="2" fontId="2" numFmtId="1" xfId="0" applyAlignment="1" applyBorder="1" applyFont="1" applyNumberForma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165" xfId="0" applyAlignment="1" applyBorder="1" applyFont="1" applyNumberFormat="1">
      <alignment horizontal="center" readingOrder="0" shrinkToFit="0" vertical="center" wrapText="1"/>
    </xf>
    <xf borderId="0" fillId="2" fontId="2" numFmtId="165" xfId="0" applyAlignment="1" applyFont="1" applyNumberFormat="1">
      <alignment horizontal="center" shrinkToFit="0" vertical="center" wrapText="1"/>
    </xf>
    <xf borderId="5" fillId="0" fontId="3" numFmtId="0" xfId="0" applyBorder="1" applyFont="1"/>
    <xf borderId="6" fillId="2" fontId="2" numFmtId="0" xfId="0" applyAlignment="1" applyBorder="1" applyFont="1">
      <alignment horizontal="center" readingOrder="0" shrinkToFit="0" vertical="center" wrapText="1"/>
    </xf>
    <xf borderId="7" fillId="3" fontId="4" numFmtId="0" xfId="0" applyAlignment="1" applyBorder="1" applyFill="1" applyFont="1">
      <alignment horizontal="center" readingOrder="0" vertical="center"/>
    </xf>
    <xf borderId="8" fillId="0" fontId="3" numFmtId="0" xfId="0" applyBorder="1" applyFont="1"/>
    <xf borderId="9" fillId="0" fontId="3" numFmtId="0" xfId="0" applyBorder="1" applyFont="1"/>
    <xf borderId="1" fillId="4" fontId="5" numFmtId="0" xfId="0" applyAlignment="1" applyBorder="1" applyFill="1" applyFont="1">
      <alignment horizontal="center" shrinkToFit="0" vertical="center" wrapText="1"/>
    </xf>
    <xf borderId="1" fillId="4" fontId="5" numFmtId="3" xfId="0" applyAlignment="1" applyBorder="1" applyFont="1" applyNumberFormat="1">
      <alignment horizontal="center" shrinkToFit="0" vertical="center" wrapText="1"/>
    </xf>
    <xf borderId="1" fillId="4" fontId="5" numFmtId="3" xfId="0" applyAlignment="1" applyBorder="1" applyFont="1" applyNumberFormat="1">
      <alignment horizontal="center" vertical="center"/>
    </xf>
    <xf borderId="6" fillId="4" fontId="5" numFmtId="3" xfId="0" applyAlignment="1" applyBorder="1" applyFont="1" applyNumberFormat="1">
      <alignment horizontal="center" shrinkToFit="0" vertical="center" wrapText="1"/>
    </xf>
    <xf borderId="6" fillId="4" fontId="5" numFmtId="3" xfId="0" applyAlignment="1" applyBorder="1" applyFont="1" applyNumberFormat="1">
      <alignment horizontal="center" vertical="center"/>
    </xf>
    <xf borderId="6" fillId="4" fontId="5" numFmtId="4" xfId="0" applyAlignment="1" applyBorder="1" applyFont="1" applyNumberFormat="1">
      <alignment horizontal="center" vertical="center"/>
    </xf>
    <xf borderId="6" fillId="4" fontId="5" numFmtId="165" xfId="0" applyAlignment="1" applyBorder="1" applyFont="1" applyNumberFormat="1">
      <alignment horizontal="center" shrinkToFit="0" vertical="center" wrapText="1"/>
    </xf>
    <xf borderId="6" fillId="5" fontId="5" numFmtId="0" xfId="0" applyAlignment="1" applyBorder="1" applyFill="1" applyFont="1">
      <alignment horizontal="center" shrinkToFit="0" vertical="center" wrapText="1"/>
    </xf>
    <xf borderId="6" fillId="5" fontId="5" numFmtId="3" xfId="0" applyAlignment="1" applyBorder="1" applyFont="1" applyNumberFormat="1">
      <alignment horizontal="center" vertical="center"/>
    </xf>
    <xf borderId="6" fillId="5" fontId="5" numFmtId="3" xfId="0" applyAlignment="1" applyBorder="1" applyFont="1" applyNumberFormat="1">
      <alignment horizontal="center" shrinkToFit="0" vertical="center" wrapText="1"/>
    </xf>
    <xf borderId="6" fillId="5" fontId="5" numFmtId="4" xfId="0" applyAlignment="1" applyBorder="1" applyFont="1" applyNumberFormat="1">
      <alignment horizontal="center" vertical="center"/>
    </xf>
    <xf borderId="6" fillId="5" fontId="5" numFmtId="165" xfId="0" applyAlignment="1" applyBorder="1" applyFont="1" applyNumberFormat="1">
      <alignment horizontal="center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6" fillId="5" fontId="5" numFmtId="0" xfId="0" applyAlignment="1" applyBorder="1" applyFont="1">
      <alignment horizontal="center" vertical="center"/>
    </xf>
    <xf borderId="6" fillId="5" fontId="5" numFmtId="166" xfId="0" applyAlignment="1" applyBorder="1" applyFont="1" applyNumberFormat="1">
      <alignment horizontal="center" vertical="center"/>
    </xf>
    <xf borderId="6" fillId="5" fontId="5" numFmtId="165" xfId="0" applyAlignment="1" applyBorder="1" applyFont="1" applyNumberFormat="1">
      <alignment horizontal="center" readingOrder="0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6" fillId="5" fontId="7" numFmtId="3" xfId="0" applyAlignment="1" applyBorder="1" applyFont="1" applyNumberFormat="1">
      <alignment horizontal="center" vertical="center"/>
    </xf>
    <xf borderId="6" fillId="5" fontId="7" numFmtId="0" xfId="0" applyAlignment="1" applyBorder="1" applyFont="1">
      <alignment horizontal="center" shrinkToFit="0" vertical="center" wrapText="1"/>
    </xf>
    <xf borderId="6" fillId="5" fontId="7" numFmtId="3" xfId="0" applyAlignment="1" applyBorder="1" applyFont="1" applyNumberFormat="1">
      <alignment horizontal="center" shrinkToFit="0" vertical="center" wrapText="1"/>
    </xf>
    <xf borderId="6" fillId="5" fontId="7" numFmtId="166" xfId="0" applyAlignment="1" applyBorder="1" applyFont="1" applyNumberFormat="1">
      <alignment horizontal="center" vertical="center"/>
    </xf>
    <xf borderId="6" fillId="5" fontId="7" numFmtId="164" xfId="0" applyAlignment="1" applyBorder="1" applyFont="1" applyNumberFormat="1">
      <alignment horizontal="center" readingOrder="0" vertical="center"/>
    </xf>
    <xf borderId="6" fillId="5" fontId="5" numFmtId="165" xfId="0" applyAlignment="1" applyBorder="1" applyFont="1" applyNumberFormat="1">
      <alignment horizontal="center" readingOrder="0" shrinkToFit="0" vertical="center" wrapText="0"/>
    </xf>
    <xf borderId="6" fillId="4" fontId="5" numFmtId="0" xfId="0" applyAlignment="1" applyBorder="1" applyFont="1">
      <alignment horizontal="center" shrinkToFit="0" vertical="center" wrapText="0"/>
    </xf>
    <xf borderId="6" fillId="4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" fillId="5" fontId="5" numFmtId="3" xfId="0" applyAlignment="1" applyBorder="1" applyFont="1" applyNumberFormat="1">
      <alignment horizontal="center" shrinkToFit="0" vertical="center" wrapText="1"/>
    </xf>
    <xf borderId="10" fillId="0" fontId="3" numFmtId="0" xfId="0" applyBorder="1" applyFont="1"/>
    <xf borderId="0" fillId="4" fontId="6" numFmtId="0" xfId="0" applyAlignment="1" applyFont="1">
      <alignment horizontal="center" shrinkToFit="0" vertical="center" wrapText="1"/>
    </xf>
    <xf borderId="6" fillId="4" fontId="7" numFmtId="3" xfId="0" applyAlignment="1" applyBorder="1" applyFont="1" applyNumberFormat="1">
      <alignment horizontal="center" vertical="center"/>
    </xf>
    <xf borderId="6" fillId="4" fontId="7" numFmtId="3" xfId="0" applyAlignment="1" applyBorder="1" applyFont="1" applyNumberFormat="1">
      <alignment horizontal="center" readingOrder="0" vertical="center"/>
    </xf>
    <xf borderId="6" fillId="4" fontId="7" numFmtId="3" xfId="0" applyAlignment="1" applyBorder="1" applyFont="1" applyNumberFormat="1">
      <alignment horizontal="center" shrinkToFit="0" vertical="center" wrapText="1"/>
    </xf>
    <xf borderId="6" fillId="4" fontId="5" numFmtId="3" xfId="0" applyAlignment="1" applyBorder="1" applyFont="1" applyNumberFormat="1">
      <alignment horizontal="center" readingOrder="0" shrinkToFit="0" vertical="center" wrapText="1"/>
    </xf>
    <xf borderId="6" fillId="4" fontId="5" numFmtId="3" xfId="0" applyAlignment="1" applyBorder="1" applyFont="1" applyNumberFormat="1">
      <alignment horizontal="center" readingOrder="0" vertical="center"/>
    </xf>
    <xf borderId="6" fillId="4" fontId="5" numFmtId="4" xfId="0" applyAlignment="1" applyBorder="1" applyFont="1" applyNumberFormat="1">
      <alignment horizontal="center" readingOrder="0" vertical="center"/>
    </xf>
    <xf borderId="6" fillId="4" fontId="5" numFmtId="165" xfId="0" applyAlignment="1" applyBorder="1" applyFont="1" applyNumberFormat="1">
      <alignment horizontal="center" readingOrder="0" shrinkToFit="0" vertical="center" wrapText="1"/>
    </xf>
    <xf borderId="6" fillId="5" fontId="6" numFmtId="3" xfId="0" applyAlignment="1" applyBorder="1" applyFont="1" applyNumberFormat="1">
      <alignment horizontal="center" readingOrder="0" shrinkToFit="0" vertical="center" wrapText="1"/>
    </xf>
    <xf borderId="6" fillId="5" fontId="6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center" readingOrder="0" vertical="center"/>
    </xf>
    <xf borderId="6" fillId="5" fontId="7" numFmtId="1" xfId="0" applyAlignment="1" applyBorder="1" applyFont="1" applyNumberFormat="1">
      <alignment horizontal="center" readingOrder="0" vertical="center"/>
    </xf>
    <xf borderId="6" fillId="5" fontId="7" numFmtId="4" xfId="0" applyAlignment="1" applyBorder="1" applyFont="1" applyNumberFormat="1">
      <alignment horizontal="center" readingOrder="0" vertical="center"/>
    </xf>
    <xf borderId="6" fillId="5" fontId="7" numFmtId="165" xfId="0" applyAlignment="1" applyBorder="1" applyFont="1" applyNumberFormat="1">
      <alignment horizontal="center" readingOrder="0" vertical="center"/>
    </xf>
    <xf borderId="0" fillId="5" fontId="5" numFmtId="165" xfId="0" applyAlignment="1" applyFont="1" applyNumberFormat="1">
      <alignment horizontal="center" readingOrder="0" shrinkToFit="0" vertical="center" wrapText="1"/>
    </xf>
    <xf borderId="6" fillId="4" fontId="7" numFmtId="0" xfId="0" applyAlignment="1" applyBorder="1" applyFont="1">
      <alignment horizontal="center" readingOrder="0" shrinkToFit="0" vertical="center" wrapText="1"/>
    </xf>
    <xf borderId="6" fillId="4" fontId="1" numFmtId="3" xfId="0" applyAlignment="1" applyBorder="1" applyFont="1" applyNumberFormat="1">
      <alignment horizontal="center" readingOrder="0" shrinkToFit="0" vertical="center" wrapText="1"/>
    </xf>
    <xf borderId="6" fillId="4" fontId="7" numFmtId="0" xfId="0" applyAlignment="1" applyBorder="1" applyFont="1">
      <alignment horizontal="center" readingOrder="0" vertical="center"/>
    </xf>
    <xf borderId="6" fillId="4" fontId="7" numFmtId="3" xfId="0" applyAlignment="1" applyBorder="1" applyFont="1" applyNumberFormat="1">
      <alignment horizontal="center" readingOrder="0" shrinkToFit="0" vertical="center" wrapText="1"/>
    </xf>
    <xf borderId="6" fillId="4" fontId="7" numFmtId="164" xfId="0" applyAlignment="1" applyBorder="1" applyFont="1" applyNumberFormat="1">
      <alignment horizontal="center" readingOrder="0" vertical="center"/>
    </xf>
    <xf borderId="6" fillId="4" fontId="5" numFmtId="165" xfId="0" applyAlignment="1" applyBorder="1" applyFont="1" applyNumberFormat="1">
      <alignment horizontal="center" readingOrder="0" shrinkToFit="0" vertical="center" wrapText="0"/>
    </xf>
    <xf borderId="6" fillId="5" fontId="7" numFmtId="0" xfId="0" applyAlignment="1" applyBorder="1" applyFont="1">
      <alignment horizontal="center" vertical="center"/>
    </xf>
    <xf borderId="6" fillId="5" fontId="7" numFmtId="164" xfId="0" applyAlignment="1" applyBorder="1" applyFont="1" applyNumberFormat="1">
      <alignment horizontal="center" vertical="center"/>
    </xf>
    <xf borderId="0" fillId="4" fontId="8" numFmtId="0" xfId="0" applyAlignment="1" applyFont="1">
      <alignment horizontal="center" readingOrder="0" shrinkToFit="0" vertical="center" wrapText="1"/>
    </xf>
    <xf borderId="6" fillId="4" fontId="5" numFmtId="3" xfId="0" applyAlignment="1" applyBorder="1" applyFont="1" applyNumberFormat="1">
      <alignment horizontal="center" readingOrder="0" vertical="center"/>
    </xf>
    <xf borderId="6" fillId="4" fontId="5" numFmtId="0" xfId="0" applyAlignment="1" applyBorder="1" applyFont="1">
      <alignment horizontal="center" readingOrder="0" shrinkToFit="0" vertical="center" wrapText="1"/>
    </xf>
    <xf borderId="6" fillId="4" fontId="7" numFmtId="3" xfId="0" applyAlignment="1" applyBorder="1" applyFont="1" applyNumberFormat="1">
      <alignment horizontal="center" vertical="center"/>
    </xf>
    <xf borderId="6" fillId="4" fontId="7" numFmtId="3" xfId="0" applyAlignment="1" applyBorder="1" applyFont="1" applyNumberFormat="1">
      <alignment horizontal="center" shrinkToFit="0" vertical="center" wrapText="1"/>
    </xf>
    <xf borderId="6" fillId="4" fontId="5" numFmtId="0" xfId="0" applyAlignment="1" applyBorder="1" applyFont="1">
      <alignment horizontal="center" readingOrder="0" shrinkToFit="0" vertical="center" wrapText="0"/>
    </xf>
    <xf borderId="6" fillId="5" fontId="5" numFmtId="3" xfId="0" applyAlignment="1" applyBorder="1" applyFont="1" applyNumberFormat="1">
      <alignment horizontal="center" shrinkToFit="0" vertical="center" wrapText="1"/>
    </xf>
    <xf borderId="6" fillId="4" fontId="5" numFmtId="3" xfId="0" applyAlignment="1" applyBorder="1" applyFont="1" applyNumberFormat="1">
      <alignment horizontal="center" shrinkToFit="0" vertical="center" wrapText="1"/>
    </xf>
    <xf borderId="1" fillId="4" fontId="5" numFmtId="3" xfId="0" applyAlignment="1" applyBorder="1" applyFont="1" applyNumberFormat="1">
      <alignment horizontal="center" shrinkToFit="0" vertical="center" wrapText="1"/>
    </xf>
    <xf borderId="5" fillId="5" fontId="3" numFmtId="0" xfId="0" applyBorder="1" applyFont="1"/>
    <xf borderId="6" fillId="5" fontId="5" numFmtId="0" xfId="0" applyAlignment="1" applyBorder="1" applyFont="1">
      <alignment horizontal="center" readingOrder="0" shrinkToFit="0" vertical="center" wrapText="1"/>
    </xf>
    <xf borderId="5" fillId="4" fontId="3" numFmtId="0" xfId="0" applyBorder="1" applyFont="1"/>
    <xf borderId="6" fillId="5" fontId="5" numFmtId="3" xfId="0" applyAlignment="1" applyBorder="1" applyFont="1" applyNumberFormat="1">
      <alignment horizontal="center" vertical="center"/>
    </xf>
    <xf borderId="6" fillId="4" fontId="5" numFmtId="3" xfId="0" applyAlignment="1" applyBorder="1" applyFont="1" applyNumberFormat="1">
      <alignment horizontal="center" vertical="center"/>
    </xf>
    <xf borderId="6" fillId="5" fontId="5" numFmtId="4" xfId="0" applyAlignment="1" applyBorder="1" applyFont="1" applyNumberFormat="1">
      <alignment horizontal="center" shrinkToFit="0" vertical="center" wrapText="1"/>
    </xf>
    <xf borderId="6" fillId="5" fontId="5" numFmtId="164" xfId="0" applyAlignment="1" applyBorder="1" applyFont="1" applyNumberFormat="1">
      <alignment horizontal="center" shrinkToFit="0" vertical="center" wrapText="1"/>
    </xf>
    <xf borderId="6" fillId="4" fontId="5" numFmtId="4" xfId="0" applyAlignment="1" applyBorder="1" applyFont="1" applyNumberFormat="1">
      <alignment horizontal="center" shrinkToFit="0" vertical="center" wrapText="1"/>
    </xf>
    <xf borderId="6" fillId="5" fontId="5" numFmtId="0" xfId="0" applyAlignment="1" applyBorder="1" applyFont="1">
      <alignment horizontal="center" shrinkToFit="0" vertical="center" wrapText="0"/>
    </xf>
    <xf borderId="7" fillId="5" fontId="5" numFmtId="0" xfId="0" applyAlignment="1" applyBorder="1" applyFont="1">
      <alignment horizontal="center" shrinkToFit="0" vertical="center" wrapText="0"/>
    </xf>
    <xf borderId="7" fillId="5" fontId="5" numFmtId="0" xfId="0" applyAlignment="1" applyBorder="1" applyFont="1">
      <alignment horizontal="center" vertical="center"/>
    </xf>
    <xf borderId="6" fillId="4" fontId="6" numFmtId="3" xfId="0" applyAlignment="1" applyBorder="1" applyFont="1" applyNumberFormat="1">
      <alignment horizontal="center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6" fillId="4" fontId="6" numFmtId="1" xfId="0" applyAlignment="1" applyBorder="1" applyFont="1" applyNumberFormat="1">
      <alignment horizontal="center" vertical="center"/>
    </xf>
    <xf borderId="6" fillId="4" fontId="7" numFmtId="4" xfId="0" applyAlignment="1" applyBorder="1" applyFont="1" applyNumberFormat="1">
      <alignment horizontal="center" readingOrder="0" vertical="center"/>
    </xf>
    <xf borderId="6" fillId="4" fontId="7" numFmtId="165" xfId="0" applyAlignment="1" applyBorder="1" applyFont="1" applyNumberFormat="1">
      <alignment horizontal="center" vertical="center"/>
    </xf>
    <xf borderId="0" fillId="4" fontId="5" numFmtId="165" xfId="0" applyAlignment="1" applyFont="1" applyNumberFormat="1">
      <alignment horizontal="center" readingOrder="0" shrinkToFit="0" vertical="center" wrapText="1"/>
    </xf>
    <xf borderId="6" fillId="5" fontId="6" numFmtId="3" xfId="0" applyAlignment="1" applyBorder="1" applyFont="1" applyNumberFormat="1">
      <alignment horizontal="center" shrinkToFit="0" vertical="center" wrapText="1"/>
    </xf>
    <xf borderId="0" fillId="5" fontId="7" numFmtId="3" xfId="0" applyAlignment="1" applyFont="1" applyNumberFormat="1">
      <alignment horizontal="center" shrinkToFit="0" vertical="center" wrapText="1"/>
    </xf>
    <xf borderId="6" fillId="5" fontId="7" numFmtId="3" xfId="0" applyAlignment="1" applyBorder="1" applyFont="1" applyNumberFormat="1">
      <alignment horizontal="center" shrinkToFit="0" vertical="center" wrapText="1"/>
    </xf>
    <xf borderId="6" fillId="5" fontId="7" numFmtId="1" xfId="0" applyAlignment="1" applyBorder="1" applyFont="1" applyNumberFormat="1">
      <alignment horizontal="center" vertical="center"/>
    </xf>
    <xf borderId="6" fillId="5" fontId="7" numFmtId="165" xfId="0" applyAlignment="1" applyBorder="1" applyFont="1" applyNumberFormat="1">
      <alignment horizontal="center" vertical="center"/>
    </xf>
    <xf borderId="6" fillId="4" fontId="7" numFmtId="3" xfId="0" applyAlignment="1" applyBorder="1" applyFont="1" applyNumberFormat="1">
      <alignment horizontal="center" readingOrder="0" shrinkToFit="0" vertical="center" wrapText="1"/>
    </xf>
    <xf borderId="6" fillId="4" fontId="7" numFmtId="1" xfId="0" applyAlignment="1" applyBorder="1" applyFont="1" applyNumberFormat="1">
      <alignment horizontal="center" vertical="center"/>
    </xf>
    <xf borderId="6" fillId="4" fontId="7" numFmtId="0" xfId="0" applyAlignment="1" applyBorder="1" applyFont="1">
      <alignment horizontal="center" vertical="center"/>
    </xf>
    <xf borderId="6" fillId="5" fontId="1" numFmtId="3" xfId="0" applyAlignment="1" applyBorder="1" applyFont="1" applyNumberFormat="1">
      <alignment horizontal="center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6" fillId="5" fontId="5" numFmtId="3" xfId="0" applyAlignment="1" applyBorder="1" applyFont="1" applyNumberFormat="1">
      <alignment horizontal="center" readingOrder="0" vertical="center"/>
    </xf>
    <xf borderId="6" fillId="5" fontId="5" numFmtId="3" xfId="0" applyAlignment="1" applyBorder="1" applyFont="1" applyNumberFormat="1">
      <alignment horizontal="center" readingOrder="0" vertical="center"/>
    </xf>
    <xf borderId="6" fillId="5" fontId="5" numFmtId="3" xfId="0" applyAlignment="1" applyBorder="1" applyFont="1" applyNumberFormat="1">
      <alignment horizontal="center" readingOrder="0" shrinkToFit="0" vertical="center" wrapText="1"/>
    </xf>
    <xf borderId="6" fillId="5" fontId="5" numFmtId="0" xfId="0" applyAlignment="1" applyBorder="1" applyFont="1">
      <alignment horizontal="center" readingOrder="0" vertical="center"/>
    </xf>
    <xf borderId="6" fillId="5" fontId="5" numFmtId="4" xfId="0" applyAlignment="1" applyBorder="1" applyFont="1" applyNumberFormat="1">
      <alignment horizontal="center" readingOrder="0" vertical="center"/>
    </xf>
    <xf borderId="6" fillId="4" fontId="5" numFmtId="3" xfId="0" applyAlignment="1" applyBorder="1" applyFont="1" applyNumberFormat="1">
      <alignment horizontal="center" readingOrder="0" shrinkToFit="0" vertical="center" wrapText="1"/>
    </xf>
    <xf borderId="6" fillId="4" fontId="5" numFmtId="3" xfId="0" applyAlignment="1" applyBorder="1" applyFont="1" applyNumberFormat="1">
      <alignment horizontal="center" readingOrder="0" vertical="center"/>
    </xf>
    <xf borderId="6" fillId="4" fontId="5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left" shrinkToFit="0" wrapText="1"/>
    </xf>
    <xf borderId="0" fillId="2" fontId="1" numFmtId="167" xfId="0" applyAlignment="1" applyFont="1" applyNumberFormat="1">
      <alignment horizontal="left" readingOrder="0" shrinkToFit="0" wrapText="1"/>
    </xf>
    <xf borderId="0" fillId="2" fontId="9" numFmtId="168" xfId="0" applyAlignment="1" applyFont="1" applyNumberFormat="1">
      <alignment horizontal="left"/>
    </xf>
    <xf borderId="0" fillId="2" fontId="10" numFmtId="168" xfId="0" applyAlignment="1" applyFont="1" applyNumberFormat="1">
      <alignment horizontal="left"/>
    </xf>
    <xf borderId="0" fillId="2" fontId="9" numFmtId="1" xfId="0" applyAlignment="1" applyFont="1" applyNumberFormat="1">
      <alignment horizontal="left"/>
    </xf>
    <xf borderId="0" fillId="2" fontId="9" numFmtId="164" xfId="0" applyAlignment="1" applyFont="1" applyNumberFormat="1">
      <alignment horizontal="left"/>
    </xf>
    <xf borderId="0" fillId="2" fontId="9" numFmtId="165" xfId="0" applyAlignment="1" applyFont="1" applyNumberFormat="1">
      <alignment horizontal="left"/>
    </xf>
    <xf borderId="0" fillId="2" fontId="9" numFmtId="0" xfId="0" applyAlignment="1" applyFont="1">
      <alignment horizontal="left"/>
    </xf>
    <xf borderId="0" fillId="2" fontId="2" numFmtId="168" xfId="0" applyAlignment="1" applyFont="1" applyNumberFormat="1">
      <alignment horizontal="left" shrinkToFit="0" wrapText="1"/>
    </xf>
    <xf borderId="0" fillId="2" fontId="11" numFmtId="0" xfId="0" applyAlignment="1" applyFont="1">
      <alignment horizontal="left" readingOrder="0" shrinkToFit="0" wrapText="1"/>
    </xf>
    <xf borderId="0" fillId="2" fontId="11" numFmtId="1" xfId="0" applyAlignment="1" applyFont="1" applyNumberFormat="1">
      <alignment horizontal="left" shrinkToFit="0" wrapText="1"/>
    </xf>
    <xf borderId="0" fillId="2" fontId="11" numFmtId="164" xfId="0" applyAlignment="1" applyFont="1" applyNumberFormat="1">
      <alignment horizontal="left" shrinkToFit="0" wrapText="1"/>
    </xf>
    <xf borderId="11" fillId="2" fontId="1" numFmtId="0" xfId="0" applyAlignment="1" applyBorder="1" applyFont="1">
      <alignment horizontal="center" readingOrder="0" shrinkToFit="0" vertical="center" wrapText="1"/>
    </xf>
    <xf borderId="12" fillId="2" fontId="2" numFmtId="0" xfId="0" applyAlignment="1" applyBorder="1" applyFont="1">
      <alignment horizontal="center" readingOrder="0" shrinkToFit="0" vertical="center" wrapText="1"/>
    </xf>
    <xf borderId="12" fillId="2" fontId="2" numFmtId="165" xfId="0" applyAlignment="1" applyBorder="1" applyFont="1" applyNumberFormat="1">
      <alignment horizontal="center" readingOrder="0" shrinkToFit="0" vertical="center" wrapText="1"/>
    </xf>
    <xf borderId="13" fillId="2" fontId="2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12" fillId="2" fontId="2" numFmtId="3" xfId="0" applyAlignment="1" applyBorder="1" applyFont="1" applyNumberFormat="1">
      <alignment horizontal="center" readingOrder="0" shrinkToFit="0" vertical="center" wrapText="1"/>
    </xf>
    <xf borderId="12" fillId="2" fontId="2" numFmtId="4" xfId="0" applyAlignment="1" applyBorder="1" applyFont="1" applyNumberFormat="1">
      <alignment horizontal="center" shrinkToFit="0" vertical="center" wrapText="1"/>
    </xf>
    <xf borderId="16" fillId="2" fontId="12" numFmtId="165" xfId="0" applyAlignment="1" applyBorder="1" applyFont="1" applyNumberFormat="1">
      <alignment horizontal="center" shrinkToFit="0" vertical="center" wrapText="1"/>
    </xf>
    <xf borderId="12" fillId="2" fontId="2" numFmtId="165" xfId="0" applyAlignment="1" applyBorder="1" applyFont="1" applyNumberFormat="1">
      <alignment horizontal="center" shrinkToFit="0" vertical="center" wrapText="1"/>
    </xf>
    <xf borderId="7" fillId="0" fontId="3" numFmtId="0" xfId="0" applyBorder="1" applyFont="1"/>
    <xf borderId="17" fillId="0" fontId="3" numFmtId="0" xfId="0" applyBorder="1" applyFont="1"/>
    <xf borderId="18" fillId="2" fontId="2" numFmtId="0" xfId="0" applyAlignment="1" applyBorder="1" applyFont="1">
      <alignment horizontal="center" readingOrder="0" shrinkToFit="0" vertical="center" wrapText="1"/>
    </xf>
    <xf borderId="19" fillId="0" fontId="3" numFmtId="0" xfId="0" applyBorder="1" applyFont="1"/>
    <xf borderId="6" fillId="5" fontId="13" numFmtId="0" xfId="0" applyAlignment="1" applyBorder="1" applyFont="1">
      <alignment horizontal="center" readingOrder="0" shrinkToFit="0" vertical="center" wrapText="1"/>
    </xf>
    <xf borderId="6" fillId="5" fontId="14" numFmtId="3" xfId="0" applyAlignment="1" applyBorder="1" applyFont="1" applyNumberFormat="1">
      <alignment horizontal="center" readingOrder="0" shrinkToFit="0" vertical="center" wrapText="1"/>
    </xf>
    <xf borderId="6" fillId="5" fontId="7" numFmtId="4" xfId="0" applyAlignment="1" applyBorder="1" applyFont="1" applyNumberFormat="1">
      <alignment horizontal="center" readingOrder="0" shrinkToFit="0" vertical="center" wrapText="1"/>
    </xf>
    <xf borderId="6" fillId="5" fontId="7" numFmtId="3" xfId="0" applyAlignment="1" applyBorder="1" applyFont="1" applyNumberFormat="1">
      <alignment horizontal="center" readingOrder="0" shrinkToFit="0" vertical="center" wrapText="1"/>
    </xf>
    <xf borderId="6" fillId="5" fontId="7" numFmtId="165" xfId="0" applyAlignment="1" applyBorder="1" applyFont="1" applyNumberFormat="1">
      <alignment horizontal="center" shrinkToFit="0" vertical="center" wrapText="1"/>
    </xf>
    <xf borderId="6" fillId="5" fontId="7" numFmtId="169" xfId="0" applyAlignment="1" applyBorder="1" applyFont="1" applyNumberFormat="1">
      <alignment horizontal="center" readingOrder="0" shrinkToFit="0" vertical="center" wrapText="1"/>
    </xf>
    <xf borderId="6" fillId="5" fontId="7" numFmtId="3" xfId="0" applyAlignment="1" applyBorder="1" applyFont="1" applyNumberFormat="1">
      <alignment horizontal="center" shrinkToFit="0" vertical="center" wrapText="1"/>
    </xf>
    <xf borderId="6" fillId="5" fontId="7" numFmtId="4" xfId="0" applyAlignment="1" applyBorder="1" applyFont="1" applyNumberFormat="1">
      <alignment horizontal="center" shrinkToFit="0" vertical="center" wrapText="1"/>
    </xf>
    <xf borderId="6" fillId="5" fontId="7" numFmtId="4" xfId="0" applyAlignment="1" applyBorder="1" applyFont="1" applyNumberFormat="1">
      <alignment horizontal="center" shrinkToFit="0" vertical="center" wrapText="1"/>
    </xf>
    <xf borderId="6" fillId="4" fontId="15" numFmtId="0" xfId="0" applyAlignment="1" applyBorder="1" applyFont="1">
      <alignment horizontal="center" shrinkToFit="0" vertical="center" wrapText="1"/>
    </xf>
    <xf borderId="6" fillId="4" fontId="16" numFmtId="3" xfId="0" applyAlignment="1" applyBorder="1" applyFont="1" applyNumberFormat="1">
      <alignment horizontal="center" readingOrder="0" shrinkToFit="0" vertical="center" wrapText="1"/>
    </xf>
    <xf borderId="6" fillId="4" fontId="7" numFmtId="4" xfId="0" applyAlignment="1" applyBorder="1" applyFont="1" applyNumberFormat="1">
      <alignment horizontal="center" readingOrder="0" shrinkToFit="0" vertical="center" wrapText="1"/>
    </xf>
    <xf borderId="6" fillId="4" fontId="7" numFmtId="3" xfId="0" applyAlignment="1" applyBorder="1" applyFont="1" applyNumberFormat="1">
      <alignment horizontal="center" readingOrder="0" shrinkToFit="0" vertical="center" wrapText="1"/>
    </xf>
    <xf borderId="6" fillId="4" fontId="7" numFmtId="165" xfId="0" applyAlignment="1" applyBorder="1" applyFont="1" applyNumberFormat="1">
      <alignment horizontal="center" readingOrder="0" shrinkToFit="0" vertical="center" wrapText="1"/>
    </xf>
    <xf borderId="6" fillId="4" fontId="7" numFmtId="169" xfId="0" applyAlignment="1" applyBorder="1" applyFont="1" applyNumberFormat="1">
      <alignment horizontal="center" readingOrder="0" shrinkToFit="0" vertical="center" wrapText="1"/>
    </xf>
    <xf borderId="6" fillId="4" fontId="7" numFmtId="165" xfId="0" applyAlignment="1" applyBorder="1" applyFont="1" applyNumberFormat="1">
      <alignment horizontal="center" shrinkToFit="0" vertical="center" wrapText="1"/>
    </xf>
    <xf borderId="6" fillId="4" fontId="7" numFmtId="4" xfId="0" applyAlignment="1" applyBorder="1" applyFont="1" applyNumberFormat="1">
      <alignment horizontal="center" shrinkToFit="0" vertical="center" wrapText="1"/>
    </xf>
    <xf borderId="6" fillId="5" fontId="17" numFmtId="0" xfId="0" applyAlignment="1" applyBorder="1" applyFont="1">
      <alignment horizontal="center" shrinkToFit="0" vertical="center" wrapText="1"/>
    </xf>
    <xf borderId="6" fillId="5" fontId="18" numFmtId="0" xfId="0" applyAlignment="1" applyBorder="1" applyFont="1">
      <alignment horizontal="center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6" fillId="4" fontId="19" numFmtId="0" xfId="0" applyAlignment="1" applyBorder="1" applyFont="1">
      <alignment horizontal="center" readingOrder="0" shrinkToFit="0" vertical="center" wrapText="1"/>
    </xf>
    <xf borderId="6" fillId="4" fontId="20" numFmtId="0" xfId="0" applyAlignment="1" applyBorder="1" applyFont="1">
      <alignment horizontal="center" shrinkToFit="0" vertical="center" wrapText="1"/>
    </xf>
    <xf borderId="6" fillId="4" fontId="7" numFmtId="0" xfId="0" applyAlignment="1" applyBorder="1" applyFont="1">
      <alignment horizontal="center" readingOrder="0"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6" fillId="5" fontId="21" numFmtId="0" xfId="0" applyAlignment="1" applyBorder="1" applyFont="1">
      <alignment horizontal="center" readingOrder="0" shrinkToFit="0" vertical="center" wrapText="1"/>
    </xf>
    <xf borderId="6" fillId="5" fontId="7" numFmtId="3" xfId="0" applyAlignment="1" applyBorder="1" applyFont="1" applyNumberFormat="1">
      <alignment horizontal="center" readingOrder="0" vertical="center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22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7" numFmtId="3" xfId="0" applyAlignment="1" applyBorder="1" applyFont="1" applyNumberFormat="1">
      <alignment horizontal="center" readingOrder="0" shrinkToFit="0" vertical="center" wrapText="1"/>
    </xf>
    <xf borderId="1" fillId="5" fontId="23" numFmtId="0" xfId="0" applyAlignment="1" applyBorder="1" applyFont="1">
      <alignment horizontal="center" readingOrder="0" shrinkToFit="0" vertical="center" wrapText="1"/>
    </xf>
    <xf borderId="1" fillId="5" fontId="24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1" fillId="4" fontId="25" numFmtId="0" xfId="0" applyAlignment="1" applyBorder="1" applyFont="1">
      <alignment horizontal="center" readingOrder="0" shrinkToFit="0" vertical="center" wrapText="1"/>
    </xf>
    <xf borderId="1" fillId="4" fontId="7" numFmtId="165" xfId="0" applyAlignment="1" applyBorder="1" applyFont="1" applyNumberFormat="1">
      <alignment horizontal="center" readingOrder="0" shrinkToFit="0" vertical="center" wrapText="1"/>
    </xf>
    <xf borderId="1" fillId="4" fontId="7" numFmtId="3" xfId="0" applyAlignment="1" applyBorder="1" applyFont="1" applyNumberFormat="1">
      <alignment horizontal="center" shrinkToFit="0" vertical="center" wrapText="1"/>
    </xf>
    <xf borderId="1" fillId="4" fontId="7" numFmtId="165" xfId="0" applyAlignment="1" applyBorder="1" applyFont="1" applyNumberFormat="1">
      <alignment horizontal="center" shrinkToFit="0" vertical="center" wrapText="1"/>
    </xf>
    <xf borderId="6" fillId="5" fontId="7" numFmtId="165" xfId="0" applyAlignment="1" applyBorder="1" applyFont="1" applyNumberFormat="1">
      <alignment horizontal="center" readingOrder="0" shrinkToFit="0" vertical="center" wrapText="1"/>
    </xf>
    <xf borderId="6" fillId="4" fontId="26" numFmtId="0" xfId="0" applyAlignment="1" applyBorder="1" applyFont="1">
      <alignment horizontal="center" readingOrder="0" shrinkToFit="0" vertical="center" wrapText="1"/>
    </xf>
    <xf borderId="6" fillId="4" fontId="27" numFmtId="4" xfId="0" applyAlignment="1" applyBorder="1" applyFont="1" applyNumberFormat="1">
      <alignment horizontal="center" readingOrder="0" shrinkToFit="0" vertical="center" wrapText="1"/>
    </xf>
    <xf borderId="6" fillId="4" fontId="6" numFmtId="3" xfId="0" applyAlignment="1" applyBorder="1" applyFont="1" applyNumberFormat="1">
      <alignment horizontal="center" shrinkToFit="0" vertical="center" wrapText="1"/>
    </xf>
    <xf borderId="6" fillId="4" fontId="6" numFmtId="3" xfId="0" applyAlignment="1" applyBorder="1" applyFont="1" applyNumberFormat="1">
      <alignment horizontal="center" readingOrder="0" shrinkToFit="0" vertical="center" wrapText="1"/>
    </xf>
    <xf borderId="6" fillId="4" fontId="6" numFmtId="3" xfId="0" applyAlignment="1" applyBorder="1" applyFont="1" applyNumberFormat="1">
      <alignment horizontal="center" shrinkToFit="0" vertical="center" wrapText="1"/>
    </xf>
    <xf borderId="6" fillId="4" fontId="6" numFmtId="170" xfId="0" applyAlignment="1" applyBorder="1" applyFont="1" applyNumberFormat="1">
      <alignment horizontal="center" readingOrder="0" shrinkToFit="0" vertical="center" wrapText="1"/>
    </xf>
    <xf borderId="6" fillId="5" fontId="28" numFmtId="0" xfId="0" applyAlignment="1" applyBorder="1" applyFont="1">
      <alignment horizontal="center" readingOrder="0" shrinkToFit="0" vertical="center" wrapText="1"/>
    </xf>
    <xf borderId="6" fillId="5" fontId="29" numFmtId="4" xfId="0" applyAlignment="1" applyBorder="1" applyFont="1" applyNumberFormat="1">
      <alignment horizontal="center" shrinkToFit="0" vertical="center" wrapText="1"/>
    </xf>
    <xf borderId="6" fillId="5" fontId="6" numFmtId="3" xfId="0" applyAlignment="1" applyBorder="1" applyFont="1" applyNumberFormat="1">
      <alignment horizontal="center" shrinkToFit="0" vertical="center" wrapText="1"/>
    </xf>
    <xf borderId="6" fillId="5" fontId="6" numFmtId="3" xfId="0" applyAlignment="1" applyBorder="1" applyFont="1" applyNumberFormat="1">
      <alignment horizontal="center" readingOrder="0" shrinkToFit="0" vertical="center" wrapText="1"/>
    </xf>
    <xf borderId="6" fillId="5" fontId="6" numFmtId="3" xfId="0" applyAlignment="1" applyBorder="1" applyFont="1" applyNumberFormat="1">
      <alignment horizontal="center" shrinkToFit="0" vertical="center" wrapText="1"/>
    </xf>
    <xf borderId="6" fillId="5" fontId="6" numFmtId="170" xfId="0" applyAlignment="1" applyBorder="1" applyFont="1" applyNumberFormat="1">
      <alignment horizontal="center" readingOrder="0" shrinkToFit="0" vertical="center" wrapText="1"/>
    </xf>
    <xf borderId="6" fillId="4" fontId="6" numFmtId="3" xfId="0" applyAlignment="1" applyBorder="1" applyFont="1" applyNumberFormat="1">
      <alignment horizontal="center" readingOrder="0" shrinkToFit="0" vertical="center" wrapText="1"/>
    </xf>
    <xf borderId="1" fillId="5" fontId="7" numFmtId="3" xfId="0" applyAlignment="1" applyBorder="1" applyFont="1" applyNumberFormat="1">
      <alignment horizontal="center" readingOrder="0" shrinkToFit="0" vertical="center" wrapText="1"/>
    </xf>
    <xf borderId="6" fillId="4" fontId="30" numFmtId="4" xfId="0" applyAlignment="1" applyBorder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168" xfId="0" applyAlignment="1" applyFont="1" applyNumberFormat="1">
      <alignment horizontal="center" readingOrder="0" shrinkToFit="0" vertical="center" wrapText="1"/>
    </xf>
    <xf borderId="0" fillId="2" fontId="1" numFmtId="3" xfId="0" applyAlignment="1" applyFont="1" applyNumberFormat="1">
      <alignment horizontal="center" readingOrder="0" shrinkToFit="0" vertical="center" wrapText="1"/>
    </xf>
    <xf borderId="0" fillId="2" fontId="1" numFmtId="165" xfId="0" applyAlignment="1" applyFont="1" applyNumberFormat="1">
      <alignment horizontal="center" readingOrder="0" shrinkToFit="0" vertical="center" wrapText="1"/>
    </xf>
    <xf borderId="0" fillId="2" fontId="1" numFmtId="4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2" fontId="7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494F61"/>
          <bgColor rgb="FF494F61"/>
        </patternFill>
      </fill>
      <border/>
    </dxf>
    <dxf>
      <font/>
      <fill>
        <patternFill patternType="solid">
          <fgColor rgb="FF2F3441"/>
          <bgColor rgb="FF2F3441"/>
        </patternFill>
      </fill>
      <border/>
    </dxf>
  </dxfs>
  <tableStyles count="4">
    <tableStyle count="2" pivot="0" name="TikTok-style">
      <tableStyleElement dxfId="1" type="firstRowStripe"/>
      <tableStyleElement dxfId="2" type="secondRowStripe"/>
    </tableStyle>
    <tableStyle count="2" pivot="0" name="TikTok-style 2">
      <tableStyleElement dxfId="1" type="firstRowStripe"/>
      <tableStyleElement dxfId="2" type="secondRowStripe"/>
    </tableStyle>
    <tableStyle count="2" pivot="0" name="TikTok-style 3">
      <tableStyleElement dxfId="1" type="firstRowStripe"/>
      <tableStyleElement dxfId="2" type="secondRowStripe"/>
    </tableStyle>
    <tableStyle count="2" pivot="0" name="TikTok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8:E8" displayName="Table_1" name="Table_1" id="1">
  <tableColumns count="2">
    <tableColumn name="Column1" id="1"/>
    <tableColumn name="Column2" id="2"/>
  </tableColumns>
  <tableStyleInfo name="TikTok-style" showColumnStripes="0" showFirstColumn="1" showLastColumn="1" showRowStripes="1"/>
</table>
</file>

<file path=xl/tables/table2.xml><?xml version="1.0" encoding="utf-8"?>
<table xmlns="http://schemas.openxmlformats.org/spreadsheetml/2006/main" headerRowCount="0" ref="G8" displayName="Table_2" name="Table_2" id="2">
  <tableColumns count="1">
    <tableColumn name="Column1" id="1"/>
  </tableColumns>
  <tableStyleInfo name="TikTok-style 2" showColumnStripes="0" showFirstColumn="1" showLastColumn="1" showRowStripes="1"/>
</table>
</file>

<file path=xl/tables/table3.xml><?xml version="1.0" encoding="utf-8"?>
<table xmlns="http://schemas.openxmlformats.org/spreadsheetml/2006/main" headerRowCount="0" ref="J27" displayName="Table_3" name="Table_3" id="3">
  <tableColumns count="1">
    <tableColumn name="Column1" id="1"/>
  </tableColumns>
  <tableStyleInfo name="TikTok-style 3" showColumnStripes="0" showFirstColumn="1" showLastColumn="1" showRowStripes="1"/>
</table>
</file>

<file path=xl/tables/table4.xml><?xml version="1.0" encoding="utf-8"?>
<table xmlns="http://schemas.openxmlformats.org/spreadsheetml/2006/main" headerRowCount="0" ref="G51:K59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TikTok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isk.yandex.ru/d/KhbdO8qWVCxT9g" TargetMode="External"/><Relationship Id="rId42" Type="http://schemas.openxmlformats.org/officeDocument/2006/relationships/hyperlink" Target="https://disk.yandex.ru/d/tjmcQJjQKt4rgQ" TargetMode="External"/><Relationship Id="rId41" Type="http://schemas.openxmlformats.org/officeDocument/2006/relationships/hyperlink" Target="https://www.tiktok.com/@nottaalyssa" TargetMode="External"/><Relationship Id="rId44" Type="http://schemas.openxmlformats.org/officeDocument/2006/relationships/hyperlink" Target="https://disk.yandex.ru/d/uoo86SDOdJKVbg" TargetMode="External"/><Relationship Id="rId43" Type="http://schemas.openxmlformats.org/officeDocument/2006/relationships/hyperlink" Target="https://www.tiktok.com/@anastya_creates?_r=1&amp;_t=ZS-95NLprEqvoe" TargetMode="External"/><Relationship Id="rId46" Type="http://schemas.openxmlformats.org/officeDocument/2006/relationships/hyperlink" Target="https://disk.yandex.ru/d/5VNDP6nf8SdFpQ" TargetMode="External"/><Relationship Id="rId45" Type="http://schemas.openxmlformats.org/officeDocument/2006/relationships/hyperlink" Target="https://www.tiktok.com/@zaykina_r?_r=1&amp;_t=ZS-95vJb9MQkbq" TargetMode="External"/><Relationship Id="rId106" Type="http://schemas.openxmlformats.org/officeDocument/2006/relationships/table" Target="../tables/table4.xml"/><Relationship Id="rId105" Type="http://schemas.openxmlformats.org/officeDocument/2006/relationships/table" Target="../tables/table3.xml"/><Relationship Id="rId104" Type="http://schemas.openxmlformats.org/officeDocument/2006/relationships/table" Target="../tables/table2.xml"/><Relationship Id="rId48" Type="http://schemas.openxmlformats.org/officeDocument/2006/relationships/hyperlink" Target="https://disk.360.yandex.ru/d/-GUlfOVEUebWxw" TargetMode="External"/><Relationship Id="rId47" Type="http://schemas.openxmlformats.org/officeDocument/2006/relationships/hyperlink" Target="https://www.tiktok.com/@siroezhkova?_r=1" TargetMode="External"/><Relationship Id="rId49" Type="http://schemas.openxmlformats.org/officeDocument/2006/relationships/hyperlink" Target="https://www.tiktok.com/@msrbv?_r=1&amp;_t=ZS-95V2zRWd1l4" TargetMode="External"/><Relationship Id="rId103" Type="http://schemas.openxmlformats.org/officeDocument/2006/relationships/table" Target="../tables/table1.xml"/><Relationship Id="rId31" Type="http://schemas.openxmlformats.org/officeDocument/2006/relationships/hyperlink" Target="https://www.tiktok.com/@mymarriee2?_r=1" TargetMode="External"/><Relationship Id="rId30" Type="http://schemas.openxmlformats.org/officeDocument/2006/relationships/hyperlink" Target="https://disk.yandex.ru/d/hIGAIdjaX7uUYg" TargetMode="External"/><Relationship Id="rId33" Type="http://schemas.openxmlformats.org/officeDocument/2006/relationships/hyperlink" Target="https://www.tiktok.com/@ann.tsvetka?_r=1" TargetMode="External"/><Relationship Id="rId32" Type="http://schemas.openxmlformats.org/officeDocument/2006/relationships/hyperlink" Target="https://disk.yandex.ru/d/8ehSU_O3GRI66A" TargetMode="External"/><Relationship Id="rId35" Type="http://schemas.openxmlformats.org/officeDocument/2006/relationships/hyperlink" Target="https://www.tiktok.com/@linoiva?_r=1&amp;_t=ZS-94EsHDvHnqG" TargetMode="External"/><Relationship Id="rId34" Type="http://schemas.openxmlformats.org/officeDocument/2006/relationships/hyperlink" Target="https://disk.yandex.ru/d/GSQgtn7BfsD3Vw" TargetMode="External"/><Relationship Id="rId37" Type="http://schemas.openxmlformats.org/officeDocument/2006/relationships/hyperlink" Target="https://www.tiktok.com/@tiktok_tinabeauty?_r=1&amp;_t=ZS-95CGS4EFwTo" TargetMode="External"/><Relationship Id="rId36" Type="http://schemas.openxmlformats.org/officeDocument/2006/relationships/hyperlink" Target="https://disk.yandex.ru/d/agV5bJ7TL0zihA" TargetMode="External"/><Relationship Id="rId39" Type="http://schemas.openxmlformats.org/officeDocument/2006/relationships/hyperlink" Target="https://www.tiktok.com/@twoalise" TargetMode="External"/><Relationship Id="rId38" Type="http://schemas.openxmlformats.org/officeDocument/2006/relationships/hyperlink" Target="https://disk.yandex.ru/d/tjmcQJjQKt4rgQ" TargetMode="External"/><Relationship Id="rId20" Type="http://schemas.openxmlformats.org/officeDocument/2006/relationships/hyperlink" Target="https://disk.yandex.ru/d/jqb8537TW7kg-Q" TargetMode="External"/><Relationship Id="rId22" Type="http://schemas.openxmlformats.org/officeDocument/2006/relationships/hyperlink" Target="https://disk.yandex.ru/d/QfcNIzJK9Ybr8w" TargetMode="External"/><Relationship Id="rId21" Type="http://schemas.openxmlformats.org/officeDocument/2006/relationships/hyperlink" Target="https://www.tiktok.com/@lil.mari.1?_r=1&amp;_t=ZS-96vaZS19jM2" TargetMode="External"/><Relationship Id="rId24" Type="http://schemas.openxmlformats.org/officeDocument/2006/relationships/hyperlink" Target="https://disk.yandex.ru/d/xpsp-ExpUV1PXw" TargetMode="External"/><Relationship Id="rId23" Type="http://schemas.openxmlformats.org/officeDocument/2006/relationships/hyperlink" Target="https://www.tiktok.com/@lizzebra?_r=1&amp;_t=ZS-95h5yFnkQgq" TargetMode="External"/><Relationship Id="rId26" Type="http://schemas.openxmlformats.org/officeDocument/2006/relationships/hyperlink" Target="https://disk.yandex.ru/d/p1sUWHzmgL_u2A" TargetMode="External"/><Relationship Id="rId25" Type="http://schemas.openxmlformats.org/officeDocument/2006/relationships/hyperlink" Target="https://www.tiktok.com/@zzadorinaa?_r=1&amp;_t=ZS-95kHoVPMkxG" TargetMode="External"/><Relationship Id="rId28" Type="http://schemas.openxmlformats.org/officeDocument/2006/relationships/hyperlink" Target="https://disk.yandex.ru/d/tEw5v5VY1jWfFQ" TargetMode="External"/><Relationship Id="rId27" Type="http://schemas.openxmlformats.org/officeDocument/2006/relationships/hyperlink" Target="https://www.tiktok.com/@akirabl00d?_r=1&amp;_t=ZS-96sGwb181t1" TargetMode="External"/><Relationship Id="rId29" Type="http://schemas.openxmlformats.org/officeDocument/2006/relationships/hyperlink" Target="https://www.tiktok.com/@kalofey.x" TargetMode="External"/><Relationship Id="rId95" Type="http://schemas.openxmlformats.org/officeDocument/2006/relationships/hyperlink" Target="https://disk.yandex.ru/d/JsBKF1BORXpv3A" TargetMode="External"/><Relationship Id="rId94" Type="http://schemas.openxmlformats.org/officeDocument/2006/relationships/hyperlink" Target="https://www.tiktok.com/@_shchennikova_aa?_r=1&amp;_t=ZS-96uLOtSPfms" TargetMode="External"/><Relationship Id="rId97" Type="http://schemas.openxmlformats.org/officeDocument/2006/relationships/hyperlink" Target="https://disk.yandex.ru/d/ao_zoYQahC3Sbg" TargetMode="External"/><Relationship Id="rId96" Type="http://schemas.openxmlformats.org/officeDocument/2006/relationships/hyperlink" Target="https://www.tiktok.com/@merkkk77?_r=1&amp;_t=ZS-96hx9GqINXz" TargetMode="External"/><Relationship Id="rId11" Type="http://schemas.openxmlformats.org/officeDocument/2006/relationships/hyperlink" Target="https://disk.yandex.ru/d/6QfDHTEXjXJCmQ" TargetMode="External"/><Relationship Id="rId10" Type="http://schemas.openxmlformats.org/officeDocument/2006/relationships/hyperlink" Target="https://www.tiktok.com/@mazepinaa?_r=1&amp;_t=ZS-95Q1l0j1WAW" TargetMode="External"/><Relationship Id="rId98" Type="http://schemas.openxmlformats.org/officeDocument/2006/relationships/drawing" Target="../drawings/drawing1.xml"/><Relationship Id="rId13" Type="http://schemas.openxmlformats.org/officeDocument/2006/relationships/hyperlink" Target="https://disk.yandex.ru/d/ga2nH-3G4ZND1Q" TargetMode="External"/><Relationship Id="rId12" Type="http://schemas.openxmlformats.org/officeDocument/2006/relationships/hyperlink" Target="https://www.tiktok.com/@steshka.aaaa?_t=ZS-8v1pxW3EZ2A&amp;_r=1" TargetMode="External"/><Relationship Id="rId91" Type="http://schemas.openxmlformats.org/officeDocument/2006/relationships/hyperlink" Target="https://disk.360.yandex.ru/d/YR4fkA6iLiCj-Q" TargetMode="External"/><Relationship Id="rId90" Type="http://schemas.openxmlformats.org/officeDocument/2006/relationships/hyperlink" Target="https://www.tiktok.com/@zhuravusha" TargetMode="External"/><Relationship Id="rId93" Type="http://schemas.openxmlformats.org/officeDocument/2006/relationships/hyperlink" Target="https://disk.yandex.ru/d/vPern2TKbTWovQ" TargetMode="External"/><Relationship Id="rId92" Type="http://schemas.openxmlformats.org/officeDocument/2006/relationships/hyperlink" Target="https://www.tiktok.com/@aestlaw" TargetMode="External"/><Relationship Id="rId15" Type="http://schemas.openxmlformats.org/officeDocument/2006/relationships/hyperlink" Target="https://disk.yandex.ru/d/3iMhzaWqVFTHcQ" TargetMode="External"/><Relationship Id="rId14" Type="http://schemas.openxmlformats.org/officeDocument/2006/relationships/hyperlink" Target="https://www.tiktok.com/@katya_emblem?_r=1&amp;_t=ZS-95ajnblKB5s" TargetMode="External"/><Relationship Id="rId17" Type="http://schemas.openxmlformats.org/officeDocument/2006/relationships/hyperlink" Target="https://www.tiktok.com/@vimilagrosa?_t=ZS-8snUfhk9M5A&amp;_r=1" TargetMode="External"/><Relationship Id="rId16" Type="http://schemas.openxmlformats.org/officeDocument/2006/relationships/hyperlink" Target="https://disk.yandex.ru/d/FWzW7U9pNffHIA" TargetMode="External"/><Relationship Id="rId19" Type="http://schemas.openxmlformats.org/officeDocument/2006/relationships/hyperlink" Target="https://www.tiktok.com/@anchutacr" TargetMode="External"/><Relationship Id="rId18" Type="http://schemas.openxmlformats.org/officeDocument/2006/relationships/hyperlink" Target="http://vimilagrosa" TargetMode="External"/><Relationship Id="rId84" Type="http://schemas.openxmlformats.org/officeDocument/2006/relationships/hyperlink" Target="https://www.tiktok.com/@vivisayurii" TargetMode="External"/><Relationship Id="rId83" Type="http://schemas.openxmlformats.org/officeDocument/2006/relationships/hyperlink" Target="https://disk.yandex.ru/d/2RAE3bnWljXRqQ" TargetMode="External"/><Relationship Id="rId86" Type="http://schemas.openxmlformats.org/officeDocument/2006/relationships/hyperlink" Target="https://www.tiktok.com/@v_balmont?_r=1&amp;_t=ZS-95y3IUv0nUl" TargetMode="External"/><Relationship Id="rId85" Type="http://schemas.openxmlformats.org/officeDocument/2006/relationships/hyperlink" Target="https://disk.360.yandex.ru/d/S_r6nKEnR630RQ" TargetMode="External"/><Relationship Id="rId88" Type="http://schemas.openxmlformats.org/officeDocument/2006/relationships/hyperlink" Target="https://www.tiktok.com/@ketixski?_r=1&amp;_t=ZS-95hCuDO2jMw" TargetMode="External"/><Relationship Id="rId87" Type="http://schemas.openxmlformats.org/officeDocument/2006/relationships/hyperlink" Target="https://disk.yandex.ru/d/1fNjLpiczuEd4g" TargetMode="External"/><Relationship Id="rId89" Type="http://schemas.openxmlformats.org/officeDocument/2006/relationships/hyperlink" Target="https://disk.yandex.ru/d/Yy9ezEhfsJtsEQ" TargetMode="External"/><Relationship Id="rId80" Type="http://schemas.openxmlformats.org/officeDocument/2006/relationships/hyperlink" Target="https://www.tiktok.com/@_nikoshkaaaaaa_?_r=1&amp;_t=ZS-95spui0BpAo" TargetMode="External"/><Relationship Id="rId82" Type="http://schemas.openxmlformats.org/officeDocument/2006/relationships/hyperlink" Target="https://www.tiktok.com/@ddurneva?_r=1&amp;_t=ZS-95hF9weACk3" TargetMode="External"/><Relationship Id="rId81" Type="http://schemas.openxmlformats.org/officeDocument/2006/relationships/hyperlink" Target="https://disk.yandex.ru/d/IwweanmqLuXWFw" TargetMode="External"/><Relationship Id="rId1" Type="http://schemas.openxmlformats.org/officeDocument/2006/relationships/hyperlink" Target="https://www.tiktok.com/@regina_makee?_r=1&amp;_t=ZS-95J8xS0jtot" TargetMode="External"/><Relationship Id="rId2" Type="http://schemas.openxmlformats.org/officeDocument/2006/relationships/hyperlink" Target="https://vk.ru/regina_makee" TargetMode="External"/><Relationship Id="rId3" Type="http://schemas.openxmlformats.org/officeDocument/2006/relationships/hyperlink" Target="https://www.tiktok.com/@o.krolevets" TargetMode="External"/><Relationship Id="rId4" Type="http://schemas.openxmlformats.org/officeDocument/2006/relationships/hyperlink" Target="https://disk.yandex.ru/d/-2J-2YVvdh9mCQ" TargetMode="External"/><Relationship Id="rId9" Type="http://schemas.openxmlformats.org/officeDocument/2006/relationships/hyperlink" Target="https://disk.yandex.ru/d/9KNZvioTBpqseg" TargetMode="External"/><Relationship Id="rId5" Type="http://schemas.openxmlformats.org/officeDocument/2006/relationships/hyperlink" Target="https://vk.ru/clip-135428728_456239571?c=1" TargetMode="External"/><Relationship Id="rId6" Type="http://schemas.openxmlformats.org/officeDocument/2006/relationships/hyperlink" Target="https://www.tiktok.com/@vioobeautu" TargetMode="External"/><Relationship Id="rId7" Type="http://schemas.openxmlformats.org/officeDocument/2006/relationships/hyperlink" Target="https://disk.360.yandex.ru/d/cDOuifDfjJHzRQ" TargetMode="External"/><Relationship Id="rId8" Type="http://schemas.openxmlformats.org/officeDocument/2006/relationships/hyperlink" Target="https://www.tiktok.com/@milana_shakhmanovaa?_t=ZS-8uyfALIUBM4&amp;_r=11" TargetMode="External"/><Relationship Id="rId73" Type="http://schemas.openxmlformats.org/officeDocument/2006/relationships/hyperlink" Target="https://disk.yandex.ru/d/CHb06ivET7YgBQ" TargetMode="External"/><Relationship Id="rId72" Type="http://schemas.openxmlformats.org/officeDocument/2006/relationships/hyperlink" Target="https://www.tiktok.com/@elf__ia" TargetMode="External"/><Relationship Id="rId75" Type="http://schemas.openxmlformats.org/officeDocument/2006/relationships/hyperlink" Target="https://disk.yandex.ru/d/Wjwu78q1_v6RpA" TargetMode="External"/><Relationship Id="rId74" Type="http://schemas.openxmlformats.org/officeDocument/2006/relationships/hyperlink" Target="https://www.tiktok.com/@glafirash?_r=1&amp;_t=ZS-95ks6nwDczS" TargetMode="External"/><Relationship Id="rId77" Type="http://schemas.openxmlformats.org/officeDocument/2006/relationships/hyperlink" Target="https://disk.yandex.ru/d/xnGDkbqgI6OavA" TargetMode="External"/><Relationship Id="rId76" Type="http://schemas.openxmlformats.org/officeDocument/2006/relationships/hyperlink" Target="https://www.tiktok.com/@lady.wax?_r=1&amp;_t=ZS-95kPF9VE89c" TargetMode="External"/><Relationship Id="rId79" Type="http://schemas.openxmlformats.org/officeDocument/2006/relationships/hyperlink" Target="https://disk.yandex.ru/d/UPwgD_qiN8CszA" TargetMode="External"/><Relationship Id="rId78" Type="http://schemas.openxmlformats.org/officeDocument/2006/relationships/hyperlink" Target="https://www.tiktok.com/@tatita.pups?_r=1&amp;_t=ZS-95h4nzvpSrg" TargetMode="External"/><Relationship Id="rId71" Type="http://schemas.openxmlformats.org/officeDocument/2006/relationships/hyperlink" Target="https://disk.yandex.ru/d/gepQSDBxQOQUrA" TargetMode="External"/><Relationship Id="rId70" Type="http://schemas.openxmlformats.org/officeDocument/2006/relationships/hyperlink" Target="https://www.tiktok.com/@vikamines0?_r=1&amp;_t=ZS-95hDRiBcqf9" TargetMode="External"/><Relationship Id="rId62" Type="http://schemas.openxmlformats.org/officeDocument/2006/relationships/hyperlink" Target="https://www.tiktok.com/@ribwen?_r=1&amp;_t=ZS-95N5jeYJaHI" TargetMode="External"/><Relationship Id="rId61" Type="http://schemas.openxmlformats.org/officeDocument/2006/relationships/hyperlink" Target="https://disk.yandex.ru/d/PHZ1UnJUyK5hyw" TargetMode="External"/><Relationship Id="rId64" Type="http://schemas.openxmlformats.org/officeDocument/2006/relationships/hyperlink" Target="https://www.tiktok.com/@y.rinaaa?_r=1&amp;_t=ZS-95MXaKA26cs" TargetMode="External"/><Relationship Id="rId63" Type="http://schemas.openxmlformats.org/officeDocument/2006/relationships/hyperlink" Target="https://disk.yandex.ru/d/-lPmpsJtjMhBKw" TargetMode="External"/><Relationship Id="rId66" Type="http://schemas.openxmlformats.org/officeDocument/2006/relationships/hyperlink" Target="https://www.tiktok.com/@ya.pronya" TargetMode="External"/><Relationship Id="rId65" Type="http://schemas.openxmlformats.org/officeDocument/2006/relationships/hyperlink" Target="https://disk.yandex.ru/d/iZdKVM5lbjtzyA" TargetMode="External"/><Relationship Id="rId68" Type="http://schemas.openxmlformats.org/officeDocument/2006/relationships/hyperlink" Target="http://www.tiktok.com/@evangeeel" TargetMode="External"/><Relationship Id="rId67" Type="http://schemas.openxmlformats.org/officeDocument/2006/relationships/hyperlink" Target="https://disk.360.yandex.ru/d/f2_a-vIXr9vgFA" TargetMode="External"/><Relationship Id="rId60" Type="http://schemas.openxmlformats.org/officeDocument/2006/relationships/hyperlink" Target="https://www.tiktok.com/@krasavinavv?_r=1&amp;_t=ZS-95WzfhGpd6w" TargetMode="External"/><Relationship Id="rId69" Type="http://schemas.openxmlformats.org/officeDocument/2006/relationships/hyperlink" Target="https://disk.yandex.ru/d/yl6T4voo44Dpsw" TargetMode="External"/><Relationship Id="rId51" Type="http://schemas.openxmlformats.org/officeDocument/2006/relationships/hyperlink" Target="https://www.tiktok.com/@myyslina?_r=1&amp;_t=ZS-95VQhI7D0Ik" TargetMode="External"/><Relationship Id="rId50" Type="http://schemas.openxmlformats.org/officeDocument/2006/relationships/hyperlink" Target="https://www.tiktok.com/@nikerbeauty?_r=1&amp;_t=ZS-95V3Jk99xYN" TargetMode="External"/><Relationship Id="rId53" Type="http://schemas.openxmlformats.org/officeDocument/2006/relationships/hyperlink" Target="https://www.tiktok.com/@davletka0?_r=1&amp;_t=ZS-95VS2Upijz8" TargetMode="External"/><Relationship Id="rId52" Type="http://schemas.openxmlformats.org/officeDocument/2006/relationships/hyperlink" Target="https://disk.yandex.ru/d/rQblU8VawbzqxQ" TargetMode="External"/><Relationship Id="rId55" Type="http://schemas.openxmlformats.org/officeDocument/2006/relationships/hyperlink" Target="https://www.tiktok.com/@lipcombovna?_r=1" TargetMode="External"/><Relationship Id="rId54" Type="http://schemas.openxmlformats.org/officeDocument/2006/relationships/hyperlink" Target="https://disk.yandex.ru/d/OdNLfiN2Bf_0CQ" TargetMode="External"/><Relationship Id="rId57" Type="http://schemas.openxmlformats.org/officeDocument/2006/relationships/hyperlink" Target="https://www.tiktok.com/@omaygadoo?_r=1&amp;_t=ZS-95X3HRbXje6" TargetMode="External"/><Relationship Id="rId56" Type="http://schemas.openxmlformats.org/officeDocument/2006/relationships/hyperlink" Target="https://disk.yandex.ru/d/jyKZ6ctwIta_CA" TargetMode="External"/><Relationship Id="rId59" Type="http://schemas.openxmlformats.org/officeDocument/2006/relationships/hyperlink" Target="https://disk.360.yandex.ru/d/mHA3gD9jYOii4A" TargetMode="External"/><Relationship Id="rId58" Type="http://schemas.openxmlformats.org/officeDocument/2006/relationships/hyperlink" Target="https://www.tiktok.com/@sanforroro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be.com/@polyaam" TargetMode="External"/><Relationship Id="rId22" Type="http://schemas.openxmlformats.org/officeDocument/2006/relationships/hyperlink" Target="https://www.youtube.com/@sasha.pro.beauty" TargetMode="External"/><Relationship Id="rId21" Type="http://schemas.openxmlformats.org/officeDocument/2006/relationships/hyperlink" Target="https://disk.yandex.ru/d/h61wB81FMKurFA" TargetMode="External"/><Relationship Id="rId24" Type="http://schemas.openxmlformats.org/officeDocument/2006/relationships/hyperlink" Target="https://www.youtube.com/@ksenialedov" TargetMode="External"/><Relationship Id="rId23" Type="http://schemas.openxmlformats.org/officeDocument/2006/relationships/hyperlink" Target="https://disk.yandex.ru/d/WI-23pkDAAQ7vg" TargetMode="External"/><Relationship Id="rId26" Type="http://schemas.openxmlformats.org/officeDocument/2006/relationships/vmlDrawing" Target="../drawings/vmlDrawing1.vml"/><Relationship Id="rId25" Type="http://schemas.openxmlformats.org/officeDocument/2006/relationships/drawing" Target="../drawings/drawing2.xml"/><Relationship Id="rId11" Type="http://schemas.openxmlformats.org/officeDocument/2006/relationships/hyperlink" Target="https://disk.yandex.ru/d/99tRHy_NR594Zg" TargetMode="External"/><Relationship Id="rId10" Type="http://schemas.openxmlformats.org/officeDocument/2006/relationships/hyperlink" Target="https://youtube.com/@irina_rassadina?si=3hlUvR21Jjhzp-7u" TargetMode="External"/><Relationship Id="rId13" Type="http://schemas.openxmlformats.org/officeDocument/2006/relationships/hyperlink" Target="https://disk.yandex.ru/d/0AKT9uYUlpVdkQ" TargetMode="External"/><Relationship Id="rId12" Type="http://schemas.openxmlformats.org/officeDocument/2006/relationships/hyperlink" Target="https://www.youtube.com/@tveretskay_a" TargetMode="External"/><Relationship Id="rId15" Type="http://schemas.openxmlformats.org/officeDocument/2006/relationships/hyperlink" Target="https://disk.yandex.ru/d/p6Fx1EbXAOBJgw" TargetMode="External"/><Relationship Id="rId14" Type="http://schemas.openxmlformats.org/officeDocument/2006/relationships/hyperlink" Target="https://www.youtube.com/@Radlovskaya/about" TargetMode="External"/><Relationship Id="rId17" Type="http://schemas.openxmlformats.org/officeDocument/2006/relationships/hyperlink" Target="https://disk.yandex.ru/d/tjmcQJjQKt4rgQ" TargetMode="External"/><Relationship Id="rId16" Type="http://schemas.openxmlformats.org/officeDocument/2006/relationships/hyperlink" Target="https://youtube.com/@tinabukreevashorts8687" TargetMode="External"/><Relationship Id="rId19" Type="http://schemas.openxmlformats.org/officeDocument/2006/relationships/hyperlink" Target="https://drive.google.com/drive/folders/1oAnoFlserx7NBF34UD2_U4NDOZHuDYKE?usp=sharing" TargetMode="External"/><Relationship Id="rId18" Type="http://schemas.openxmlformats.org/officeDocument/2006/relationships/hyperlink" Target="https://www.youtube.com/@potrubka.makeup-dn8vl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youtube.com/@regina_makee/featured" TargetMode="External"/><Relationship Id="rId3" Type="http://schemas.openxmlformats.org/officeDocument/2006/relationships/hyperlink" Target="https://disk.yandex.ru/d/VV8liprsNqC8ag" TargetMode="External"/><Relationship Id="rId4" Type="http://schemas.openxmlformats.org/officeDocument/2006/relationships/hyperlink" Target="https://disk.yandex.ru/d/JUYpoqPmnV2kYg" TargetMode="External"/><Relationship Id="rId9" Type="http://schemas.openxmlformats.org/officeDocument/2006/relationships/hyperlink" Target="https://disk.yandex.ru/d/9l89LpKwe2FySw" TargetMode="External"/><Relationship Id="rId5" Type="http://schemas.openxmlformats.org/officeDocument/2006/relationships/hyperlink" Target="https://www.youtube.com/@ms_beauty" TargetMode="External"/><Relationship Id="rId6" Type="http://schemas.openxmlformats.org/officeDocument/2006/relationships/hyperlink" Target="https://disk.yandex.ru/d/qNpZ04lhLM0RbA" TargetMode="External"/><Relationship Id="rId7" Type="http://schemas.openxmlformats.org/officeDocument/2006/relationships/hyperlink" Target="https://www.youtube.com/@mariaguzeva/videos" TargetMode="External"/><Relationship Id="rId8" Type="http://schemas.openxmlformats.org/officeDocument/2006/relationships/hyperlink" Target="https://disk.yandex.ru/d/abSvDY8W-LOb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5"/>
    <col customWidth="1" min="3" max="3" width="18.0"/>
    <col customWidth="1" min="5" max="5" width="17.0"/>
    <col customWidth="1" min="6" max="6" width="14.25"/>
    <col customWidth="1" min="7" max="7" width="14.0"/>
    <col customWidth="1" min="9" max="9" width="9.63"/>
    <col customWidth="1" min="10" max="11" width="14.5"/>
    <col customWidth="1" min="12" max="12" width="16.13"/>
  </cols>
  <sheetData>
    <row r="1">
      <c r="A1" s="1" t="s">
        <v>0</v>
      </c>
      <c r="B1" s="1" t="s">
        <v>1</v>
      </c>
      <c r="C1" s="2" t="s">
        <v>2</v>
      </c>
      <c r="D1" s="3"/>
      <c r="E1" s="4"/>
      <c r="F1" s="5" t="s">
        <v>3</v>
      </c>
      <c r="G1" s="6" t="s">
        <v>4</v>
      </c>
      <c r="H1" s="6" t="s">
        <v>5</v>
      </c>
      <c r="I1" s="7" t="s">
        <v>6</v>
      </c>
      <c r="J1" s="1" t="s">
        <v>7</v>
      </c>
      <c r="K1" s="8" t="s">
        <v>8</v>
      </c>
      <c r="L1" s="9" t="s">
        <v>9</v>
      </c>
    </row>
    <row r="2">
      <c r="A2" s="10"/>
      <c r="B2" s="10"/>
      <c r="C2" s="11" t="s">
        <v>10</v>
      </c>
      <c r="D2" s="11" t="s">
        <v>11</v>
      </c>
      <c r="E2" s="11" t="s">
        <v>12</v>
      </c>
      <c r="F2" s="10"/>
      <c r="G2" s="10"/>
      <c r="H2" s="10"/>
      <c r="I2" s="10"/>
      <c r="J2" s="10"/>
      <c r="K2" s="10"/>
    </row>
    <row r="3" ht="28.5" customHeight="1">
      <c r="A3" s="12" t="s">
        <v>13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37.5" customHeight="1">
      <c r="A4" s="15" t="s">
        <v>14</v>
      </c>
      <c r="B4" s="16" t="s">
        <v>15</v>
      </c>
      <c r="C4" s="15" t="s">
        <v>16</v>
      </c>
      <c r="D4" s="17" t="s">
        <v>17</v>
      </c>
      <c r="E4" s="16" t="s">
        <v>18</v>
      </c>
      <c r="F4" s="18" t="s">
        <v>19</v>
      </c>
      <c r="G4" s="18">
        <v>7600.0</v>
      </c>
      <c r="H4" s="19">
        <v>7000.0</v>
      </c>
      <c r="I4" s="20">
        <v>1.017287050643687</v>
      </c>
      <c r="J4" s="21">
        <v>6764.958886780518</v>
      </c>
      <c r="K4" s="21">
        <f>18953.0093545058</f>
        <v>18953.00935</v>
      </c>
      <c r="L4" s="21" t="s">
        <v>20</v>
      </c>
    </row>
    <row r="5">
      <c r="A5" s="10"/>
      <c r="B5" s="10"/>
      <c r="C5" s="10"/>
      <c r="D5" s="10"/>
      <c r="E5" s="10"/>
      <c r="F5" s="18" t="s">
        <v>21</v>
      </c>
      <c r="G5" s="18">
        <v>343100.0</v>
      </c>
      <c r="H5" s="19">
        <v>35000.0</v>
      </c>
      <c r="I5" s="20">
        <v>1.3435866706614734</v>
      </c>
      <c r="J5" s="21">
        <v>44674.25679949399</v>
      </c>
      <c r="K5" s="21">
        <v>47025.53347315157</v>
      </c>
      <c r="L5" s="21" t="s">
        <v>20</v>
      </c>
    </row>
    <row r="6" ht="48.0" customHeight="1">
      <c r="A6" s="22" t="s">
        <v>22</v>
      </c>
      <c r="B6" s="23" t="s">
        <v>1</v>
      </c>
      <c r="C6" s="22" t="s">
        <v>23</v>
      </c>
      <c r="D6" s="24" t="s">
        <v>24</v>
      </c>
      <c r="E6" s="24" t="s">
        <v>25</v>
      </c>
      <c r="F6" s="24" t="s">
        <v>26</v>
      </c>
      <c r="G6" s="24">
        <v>64200.0</v>
      </c>
      <c r="H6" s="24">
        <v>18000.0</v>
      </c>
      <c r="I6" s="25">
        <v>1.3435866706614732</v>
      </c>
      <c r="J6" s="26">
        <v>22975.332068311192</v>
      </c>
      <c r="K6" s="26">
        <v>24184.56007190652</v>
      </c>
      <c r="L6" s="26" t="s">
        <v>20</v>
      </c>
    </row>
    <row r="7" ht="41.25" customHeight="1">
      <c r="A7" s="27" t="s">
        <v>27</v>
      </c>
      <c r="B7" s="19" t="s">
        <v>1</v>
      </c>
      <c r="C7" s="19" t="s">
        <v>28</v>
      </c>
      <c r="D7" s="19" t="s">
        <v>29</v>
      </c>
      <c r="E7" s="19" t="s">
        <v>30</v>
      </c>
      <c r="F7" s="18" t="s">
        <v>31</v>
      </c>
      <c r="G7" s="18">
        <v>51600.0</v>
      </c>
      <c r="H7" s="18">
        <v>18000.0</v>
      </c>
      <c r="I7" s="20">
        <v>0.8296934782503543</v>
      </c>
      <c r="J7" s="21">
        <v>14187.758478081058</v>
      </c>
      <c r="K7" s="21">
        <v>14934.482608506378</v>
      </c>
      <c r="L7" s="21" t="s">
        <v>20</v>
      </c>
    </row>
    <row r="8" ht="40.5" customHeight="1">
      <c r="A8" s="22" t="s">
        <v>32</v>
      </c>
      <c r="B8" s="28" t="s">
        <v>1</v>
      </c>
      <c r="C8" s="28" t="s">
        <v>33</v>
      </c>
      <c r="D8" s="23" t="s">
        <v>34</v>
      </c>
      <c r="E8" s="23" t="s">
        <v>35</v>
      </c>
      <c r="F8" s="24" t="s">
        <v>36</v>
      </c>
      <c r="G8" s="29">
        <v>383300.0</v>
      </c>
      <c r="H8" s="29">
        <v>70000.0</v>
      </c>
      <c r="I8" s="25">
        <v>0.9155583455793185</v>
      </c>
      <c r="J8" s="26">
        <v>60884.62998102467</v>
      </c>
      <c r="K8" s="30" t="s">
        <v>37</v>
      </c>
      <c r="L8" s="26" t="s">
        <v>20</v>
      </c>
    </row>
    <row r="9" ht="40.5" customHeight="1">
      <c r="A9" s="27" t="s">
        <v>38</v>
      </c>
      <c r="B9" s="18" t="s">
        <v>39</v>
      </c>
      <c r="C9" s="27" t="s">
        <v>40</v>
      </c>
      <c r="D9" s="19" t="s">
        <v>41</v>
      </c>
      <c r="E9" s="19" t="s">
        <v>42</v>
      </c>
      <c r="F9" s="18" t="s">
        <v>36</v>
      </c>
      <c r="G9" s="18">
        <v>490300.0</v>
      </c>
      <c r="H9" s="18">
        <v>45000.0</v>
      </c>
      <c r="I9" s="20">
        <v>1.843699486963244</v>
      </c>
      <c r="J9" s="21">
        <v>78818.15306767868</v>
      </c>
      <c r="K9" s="21">
        <v>82966.47691334598</v>
      </c>
      <c r="L9" s="21" t="s">
        <v>20</v>
      </c>
    </row>
    <row r="10" ht="40.5" customHeight="1">
      <c r="A10" s="31" t="s">
        <v>43</v>
      </c>
      <c r="B10" s="32" t="s">
        <v>1</v>
      </c>
      <c r="C10" s="33" t="s">
        <v>44</v>
      </c>
      <c r="D10" s="34" t="s">
        <v>45</v>
      </c>
      <c r="E10" s="34" t="s">
        <v>46</v>
      </c>
      <c r="F10" s="34" t="s">
        <v>36</v>
      </c>
      <c r="G10" s="35">
        <v>4900000.0</v>
      </c>
      <c r="H10" s="35">
        <v>100000.0</v>
      </c>
      <c r="I10" s="36">
        <v>1.2</v>
      </c>
      <c r="J10" s="37" t="s">
        <v>47</v>
      </c>
      <c r="K10" s="30" t="s">
        <v>48</v>
      </c>
      <c r="L10" s="26" t="s">
        <v>20</v>
      </c>
    </row>
    <row r="11" ht="40.5" customHeight="1">
      <c r="A11" s="38" t="s">
        <v>49</v>
      </c>
      <c r="B11" s="18" t="s">
        <v>1</v>
      </c>
      <c r="C11" s="39" t="s">
        <v>50</v>
      </c>
      <c r="D11" s="18" t="s">
        <v>51</v>
      </c>
      <c r="E11" s="18" t="s">
        <v>52</v>
      </c>
      <c r="F11" s="18" t="s">
        <v>19</v>
      </c>
      <c r="G11" s="18">
        <v>428600.0</v>
      </c>
      <c r="H11" s="39">
        <v>70000.0</v>
      </c>
      <c r="I11" s="20">
        <v>1.2437773751266212</v>
      </c>
      <c r="J11" s="21">
        <v>82711.1954459203</v>
      </c>
      <c r="K11" s="21">
        <v>87064.41625886348</v>
      </c>
      <c r="L11" s="21" t="s">
        <v>20</v>
      </c>
    </row>
    <row r="12" ht="40.5" customHeight="1">
      <c r="A12" s="22" t="s">
        <v>53</v>
      </c>
      <c r="B12" s="22" t="s">
        <v>1</v>
      </c>
      <c r="C12" s="22" t="s">
        <v>54</v>
      </c>
      <c r="D12" s="24" t="s">
        <v>55</v>
      </c>
      <c r="E12" s="24" t="s">
        <v>56</v>
      </c>
      <c r="F12" s="24" t="s">
        <v>36</v>
      </c>
      <c r="G12" s="24">
        <v>42200.0</v>
      </c>
      <c r="H12" s="24">
        <v>20000.0</v>
      </c>
      <c r="I12" s="25">
        <v>0.7267582445850698</v>
      </c>
      <c r="J12" s="26">
        <v>13808.406647116324</v>
      </c>
      <c r="K12" s="26">
        <v>14535.164891701395</v>
      </c>
      <c r="L12" s="26" t="s">
        <v>20</v>
      </c>
    </row>
    <row r="13" ht="40.5" customHeight="1">
      <c r="A13" s="27" t="s">
        <v>57</v>
      </c>
      <c r="B13" s="27" t="s">
        <v>1</v>
      </c>
      <c r="C13" s="27" t="s">
        <v>58</v>
      </c>
      <c r="D13" s="18" t="s">
        <v>59</v>
      </c>
      <c r="E13" s="18" t="s">
        <v>60</v>
      </c>
      <c r="F13" s="18" t="s">
        <v>36</v>
      </c>
      <c r="G13" s="18">
        <v>255400.0</v>
      </c>
      <c r="H13" s="18">
        <v>55000.0</v>
      </c>
      <c r="I13" s="20">
        <v>0.7415900454949692</v>
      </c>
      <c r="J13" s="21">
        <v>38748.07987711214</v>
      </c>
      <c r="K13" s="21">
        <v>40787.45250222331</v>
      </c>
      <c r="L13" s="21" t="s">
        <v>20</v>
      </c>
    </row>
    <row r="14" ht="40.5" customHeight="1">
      <c r="A14" s="40" t="s">
        <v>61</v>
      </c>
      <c r="B14" s="41" t="s">
        <v>1</v>
      </c>
      <c r="C14" s="40" t="s">
        <v>62</v>
      </c>
      <c r="D14" s="42" t="s">
        <v>63</v>
      </c>
      <c r="E14" s="42" t="s">
        <v>64</v>
      </c>
      <c r="F14" s="24" t="s">
        <v>36</v>
      </c>
      <c r="G14" s="24">
        <v>90400.0</v>
      </c>
      <c r="H14" s="24">
        <v>60000.0</v>
      </c>
      <c r="I14" s="25">
        <v>1.107339347736831</v>
      </c>
      <c r="J14" s="26">
        <v>63118.342820999365</v>
      </c>
      <c r="K14" s="26">
        <v>66440.36086420986</v>
      </c>
      <c r="L14" s="26" t="s">
        <v>20</v>
      </c>
    </row>
    <row r="15" ht="40.5" customHeight="1">
      <c r="A15" s="43"/>
      <c r="B15" s="43"/>
      <c r="C15" s="43"/>
      <c r="D15" s="43"/>
      <c r="E15" s="43"/>
      <c r="F15" s="24" t="s">
        <v>65</v>
      </c>
      <c r="G15" s="24">
        <v>90400.0</v>
      </c>
      <c r="H15" s="24">
        <v>60000.0</v>
      </c>
      <c r="I15" s="25">
        <v>0.7613657800415016</v>
      </c>
      <c r="J15" s="26">
        <v>43397.849462365586</v>
      </c>
      <c r="K15" s="26">
        <v>45681.94680249009</v>
      </c>
      <c r="L15" s="26" t="s">
        <v>20</v>
      </c>
    </row>
    <row r="16" ht="40.5" customHeight="1">
      <c r="A16" s="10"/>
      <c r="B16" s="10"/>
      <c r="C16" s="10"/>
      <c r="D16" s="10"/>
      <c r="E16" s="10"/>
      <c r="F16" s="24" t="s">
        <v>66</v>
      </c>
      <c r="G16" s="24">
        <v>90400.0</v>
      </c>
      <c r="H16" s="24">
        <v>60000.0</v>
      </c>
      <c r="I16" s="25">
        <v>0.34261460101867575</v>
      </c>
      <c r="J16" s="26">
        <v>19529.032258064515</v>
      </c>
      <c r="K16" s="26">
        <v>20556.876061120543</v>
      </c>
      <c r="L16" s="26" t="s">
        <v>20</v>
      </c>
    </row>
    <row r="17" ht="40.5" customHeight="1">
      <c r="A17" s="44" t="s">
        <v>67</v>
      </c>
      <c r="B17" s="45" t="s">
        <v>1</v>
      </c>
      <c r="C17" s="46" t="s">
        <v>68</v>
      </c>
      <c r="D17" s="45" t="s">
        <v>69</v>
      </c>
      <c r="E17" s="47" t="s">
        <v>70</v>
      </c>
      <c r="F17" s="48" t="s">
        <v>36</v>
      </c>
      <c r="G17" s="48">
        <v>274700.0</v>
      </c>
      <c r="H17" s="49">
        <v>100000.0</v>
      </c>
      <c r="I17" s="50">
        <v>0.8</v>
      </c>
      <c r="J17" s="51" t="s">
        <v>71</v>
      </c>
      <c r="K17" s="51" t="s">
        <v>72</v>
      </c>
      <c r="L17" s="21" t="s">
        <v>20</v>
      </c>
    </row>
    <row r="18" ht="40.5" customHeight="1">
      <c r="A18" s="52" t="s">
        <v>73</v>
      </c>
      <c r="B18" s="53" t="s">
        <v>1</v>
      </c>
      <c r="C18" s="32" t="s">
        <v>74</v>
      </c>
      <c r="D18" s="32" t="s">
        <v>75</v>
      </c>
      <c r="E18" s="34" t="s">
        <v>76</v>
      </c>
      <c r="F18" s="34" t="s">
        <v>36</v>
      </c>
      <c r="G18" s="54">
        <v>84000.0</v>
      </c>
      <c r="H18" s="55">
        <v>200000.0</v>
      </c>
      <c r="I18" s="56">
        <v>0.7</v>
      </c>
      <c r="J18" s="57" t="s">
        <v>77</v>
      </c>
      <c r="K18" s="57" t="s">
        <v>78</v>
      </c>
      <c r="L18" s="58" t="s">
        <v>20</v>
      </c>
    </row>
    <row r="19" ht="40.5" customHeight="1">
      <c r="A19" s="59" t="s">
        <v>79</v>
      </c>
      <c r="B19" s="60" t="s">
        <v>15</v>
      </c>
      <c r="C19" s="61" t="s">
        <v>80</v>
      </c>
      <c r="D19" s="46" t="s">
        <v>81</v>
      </c>
      <c r="E19" s="62" t="s">
        <v>82</v>
      </c>
      <c r="F19" s="62" t="s">
        <v>36</v>
      </c>
      <c r="G19" s="62">
        <v>43000.0</v>
      </c>
      <c r="H19" s="46">
        <v>20000.0</v>
      </c>
      <c r="I19" s="63">
        <v>0.9</v>
      </c>
      <c r="J19" s="64" t="s">
        <v>83</v>
      </c>
      <c r="K19" s="51" t="s">
        <v>84</v>
      </c>
      <c r="L19" s="21" t="s">
        <v>20</v>
      </c>
    </row>
    <row r="20" ht="40.5" customHeight="1">
      <c r="A20" s="31" t="s">
        <v>85</v>
      </c>
      <c r="B20" s="32" t="s">
        <v>1</v>
      </c>
      <c r="C20" s="65" t="s">
        <v>86</v>
      </c>
      <c r="D20" s="32" t="s">
        <v>87</v>
      </c>
      <c r="E20" s="34" t="s">
        <v>88</v>
      </c>
      <c r="F20" s="34" t="s">
        <v>36</v>
      </c>
      <c r="G20" s="35">
        <v>33400.0</v>
      </c>
      <c r="H20" s="35">
        <v>25000.0</v>
      </c>
      <c r="I20" s="66" t="str">
        <f>SUM(#REF!/H20)</f>
        <v>#REF!</v>
      </c>
      <c r="J20" s="37" t="s">
        <v>89</v>
      </c>
      <c r="K20" s="30" t="s">
        <v>90</v>
      </c>
      <c r="L20" s="26" t="s">
        <v>20</v>
      </c>
    </row>
    <row r="21" ht="40.5" customHeight="1">
      <c r="A21" s="67" t="s">
        <v>91</v>
      </c>
      <c r="B21" s="68" t="s">
        <v>1</v>
      </c>
      <c r="C21" s="69" t="s">
        <v>92</v>
      </c>
      <c r="D21" s="70" t="s">
        <v>93</v>
      </c>
      <c r="E21" s="71" t="s">
        <v>94</v>
      </c>
      <c r="F21" s="18" t="s">
        <v>36</v>
      </c>
      <c r="G21" s="49">
        <v>395600.0</v>
      </c>
      <c r="H21" s="49">
        <v>100000.0</v>
      </c>
      <c r="I21" s="50">
        <v>0.8</v>
      </c>
      <c r="J21" s="51" t="s">
        <v>71</v>
      </c>
      <c r="K21" s="51" t="s">
        <v>72</v>
      </c>
      <c r="L21" s="21" t="s">
        <v>20</v>
      </c>
    </row>
    <row r="22" ht="40.5" customHeight="1">
      <c r="A22" s="22" t="s">
        <v>95</v>
      </c>
      <c r="B22" s="24" t="s">
        <v>1</v>
      </c>
      <c r="C22" s="22" t="s">
        <v>96</v>
      </c>
      <c r="D22" s="24" t="s">
        <v>97</v>
      </c>
      <c r="E22" s="24" t="s">
        <v>98</v>
      </c>
      <c r="F22" s="24" t="s">
        <v>36</v>
      </c>
      <c r="G22" s="24">
        <v>1700000.0</v>
      </c>
      <c r="H22" s="24">
        <v>60000.0</v>
      </c>
      <c r="I22" s="25">
        <v>0.8327438219203924</v>
      </c>
      <c r="J22" s="26">
        <v>47466.397849462366</v>
      </c>
      <c r="K22" s="26">
        <v>49964.629315223545</v>
      </c>
      <c r="L22" s="26" t="s">
        <v>20</v>
      </c>
    </row>
    <row r="23" ht="40.5" customHeight="1">
      <c r="A23" s="72" t="s">
        <v>99</v>
      </c>
      <c r="B23" s="18" t="s">
        <v>1</v>
      </c>
      <c r="C23" s="27" t="s">
        <v>100</v>
      </c>
      <c r="D23" s="18" t="s">
        <v>101</v>
      </c>
      <c r="E23" s="19" t="s">
        <v>102</v>
      </c>
      <c r="F23" s="18" t="s">
        <v>36</v>
      </c>
      <c r="G23" s="18">
        <v>83300.0</v>
      </c>
      <c r="H23" s="18">
        <v>30000.0</v>
      </c>
      <c r="I23" s="20">
        <v>0.7613657800415016</v>
      </c>
      <c r="J23" s="21">
        <v>21698.924731182793</v>
      </c>
      <c r="K23" s="21">
        <v>22840.973401245046</v>
      </c>
      <c r="L23" s="21" t="s">
        <v>20</v>
      </c>
    </row>
    <row r="24" ht="40.5" customHeight="1">
      <c r="A24" s="22" t="s">
        <v>103</v>
      </c>
      <c r="B24" s="24" t="s">
        <v>1</v>
      </c>
      <c r="C24" s="22" t="s">
        <v>104</v>
      </c>
      <c r="D24" s="24" t="s">
        <v>105</v>
      </c>
      <c r="E24" s="24" t="s">
        <v>106</v>
      </c>
      <c r="F24" s="24" t="s">
        <v>36</v>
      </c>
      <c r="G24" s="24">
        <v>96800.0</v>
      </c>
      <c r="H24" s="24">
        <v>40000.0</v>
      </c>
      <c r="I24" s="25">
        <v>1.3435866706614736</v>
      </c>
      <c r="J24" s="26">
        <v>51056.29348513599</v>
      </c>
      <c r="K24" s="26">
        <v>53743.46682645894</v>
      </c>
      <c r="L24" s="26" t="s">
        <v>20</v>
      </c>
    </row>
    <row r="25" ht="40.5" customHeight="1">
      <c r="A25" s="27" t="s">
        <v>107</v>
      </c>
      <c r="B25" s="18" t="s">
        <v>1</v>
      </c>
      <c r="C25" s="27" t="s">
        <v>108</v>
      </c>
      <c r="D25" s="18" t="s">
        <v>109</v>
      </c>
      <c r="E25" s="18" t="s">
        <v>110</v>
      </c>
      <c r="F25" s="18" t="s">
        <v>36</v>
      </c>
      <c r="G25" s="18">
        <v>252200.0</v>
      </c>
      <c r="H25" s="18">
        <v>30000.0</v>
      </c>
      <c r="I25" s="20">
        <v>1.1196555588845611</v>
      </c>
      <c r="J25" s="21">
        <v>31910.18342820999</v>
      </c>
      <c r="K25" s="21">
        <v>33589.66676653684</v>
      </c>
      <c r="L25" s="21" t="s">
        <v>20</v>
      </c>
    </row>
    <row r="26" ht="40.5" customHeight="1">
      <c r="A26" s="22" t="s">
        <v>111</v>
      </c>
      <c r="B26" s="24" t="s">
        <v>1</v>
      </c>
      <c r="C26" s="22" t="s">
        <v>112</v>
      </c>
      <c r="D26" s="73" t="s">
        <v>113</v>
      </c>
      <c r="E26" s="73" t="s">
        <v>114</v>
      </c>
      <c r="F26" s="24" t="s">
        <v>36</v>
      </c>
      <c r="G26" s="24">
        <v>136600.0</v>
      </c>
      <c r="H26" s="24">
        <v>25000.0</v>
      </c>
      <c r="I26" s="25">
        <v>2.9290189420420116</v>
      </c>
      <c r="J26" s="26">
        <v>69564.19987349778</v>
      </c>
      <c r="K26" s="26">
        <v>73225.4735510503</v>
      </c>
      <c r="L26" s="26" t="s">
        <v>20</v>
      </c>
    </row>
    <row r="27" ht="40.5" customHeight="1">
      <c r="A27" s="27" t="s">
        <v>115</v>
      </c>
      <c r="B27" s="18" t="s">
        <v>1</v>
      </c>
      <c r="C27" s="27" t="s">
        <v>116</v>
      </c>
      <c r="D27" s="74" t="s">
        <v>117</v>
      </c>
      <c r="E27" s="74" t="s">
        <v>118</v>
      </c>
      <c r="F27" s="18" t="s">
        <v>36</v>
      </c>
      <c r="G27" s="18">
        <v>357900.0</v>
      </c>
      <c r="H27" s="18">
        <v>70000.0</v>
      </c>
      <c r="I27" s="20">
        <v>0.7613657800415016</v>
      </c>
      <c r="J27" s="21">
        <v>50630.824372759846</v>
      </c>
      <c r="K27" s="21">
        <v>53295.60460290511</v>
      </c>
      <c r="L27" s="21" t="s">
        <v>20</v>
      </c>
    </row>
    <row r="28" ht="40.5" customHeight="1">
      <c r="A28" s="22" t="s">
        <v>119</v>
      </c>
      <c r="B28" s="24" t="s">
        <v>1</v>
      </c>
      <c r="C28" s="22" t="s">
        <v>108</v>
      </c>
      <c r="D28" s="73" t="s">
        <v>120</v>
      </c>
      <c r="E28" s="73" t="s">
        <v>121</v>
      </c>
      <c r="F28" s="24" t="s">
        <v>36</v>
      </c>
      <c r="G28" s="24">
        <v>128000.0</v>
      </c>
      <c r="H28" s="24">
        <v>50000.0</v>
      </c>
      <c r="I28" s="25">
        <v>0.7613657800415017</v>
      </c>
      <c r="J28" s="26">
        <v>36164.87455197133</v>
      </c>
      <c r="K28" s="26">
        <v>38068.289002075086</v>
      </c>
      <c r="L28" s="26" t="s">
        <v>20</v>
      </c>
    </row>
    <row r="29" ht="40.5" customHeight="1">
      <c r="A29" s="15" t="s">
        <v>122</v>
      </c>
      <c r="B29" s="16" t="s">
        <v>1</v>
      </c>
      <c r="C29" s="15" t="s">
        <v>123</v>
      </c>
      <c r="D29" s="75" t="s">
        <v>124</v>
      </c>
      <c r="E29" s="75" t="s">
        <v>125</v>
      </c>
      <c r="F29" s="18" t="s">
        <v>36</v>
      </c>
      <c r="G29" s="16">
        <v>5006.0</v>
      </c>
      <c r="H29" s="18">
        <v>20000.0</v>
      </c>
      <c r="I29" s="20">
        <v>0.815749050044466</v>
      </c>
      <c r="J29" s="21">
        <v>15499.231950844853</v>
      </c>
      <c r="K29" s="21">
        <v>16314.98100088932</v>
      </c>
      <c r="L29" s="21" t="s">
        <v>126</v>
      </c>
    </row>
    <row r="30" ht="40.5" customHeight="1">
      <c r="A30" s="10"/>
      <c r="B30" s="10"/>
      <c r="C30" s="10"/>
      <c r="D30" s="76"/>
      <c r="E30" s="76"/>
      <c r="F30" s="18" t="s">
        <v>127</v>
      </c>
      <c r="G30" s="10"/>
      <c r="H30" s="18">
        <v>40000.0</v>
      </c>
      <c r="I30" s="20">
        <v>0.5710243350311262</v>
      </c>
      <c r="J30" s="21">
        <v>21698.924731182793</v>
      </c>
      <c r="K30" s="21">
        <v>22840.973401245046</v>
      </c>
      <c r="L30" s="21" t="s">
        <v>126</v>
      </c>
    </row>
    <row r="31" ht="40.5" customHeight="1">
      <c r="A31" s="77" t="s">
        <v>128</v>
      </c>
      <c r="B31" s="24" t="s">
        <v>1</v>
      </c>
      <c r="C31" s="22" t="s">
        <v>129</v>
      </c>
      <c r="D31" s="73" t="s">
        <v>130</v>
      </c>
      <c r="E31" s="73" t="s">
        <v>131</v>
      </c>
      <c r="F31" s="24" t="s">
        <v>36</v>
      </c>
      <c r="G31" s="24">
        <v>79600.0</v>
      </c>
      <c r="H31" s="24">
        <v>30000.0</v>
      </c>
      <c r="I31" s="25">
        <v>0.951707225051877</v>
      </c>
      <c r="J31" s="26">
        <v>27123.65591397849</v>
      </c>
      <c r="K31" s="26">
        <v>28551.21675155631</v>
      </c>
      <c r="L31" s="26" t="s">
        <v>20</v>
      </c>
    </row>
    <row r="32" ht="40.5" customHeight="1">
      <c r="A32" s="15" t="s">
        <v>132</v>
      </c>
      <c r="B32" s="16" t="s">
        <v>39</v>
      </c>
      <c r="C32" s="15" t="s">
        <v>133</v>
      </c>
      <c r="D32" s="17" t="s">
        <v>134</v>
      </c>
      <c r="E32" s="17" t="s">
        <v>135</v>
      </c>
      <c r="F32" s="18" t="s">
        <v>36</v>
      </c>
      <c r="G32" s="16">
        <v>354000.0</v>
      </c>
      <c r="H32" s="18">
        <v>60000.0</v>
      </c>
      <c r="I32" s="20">
        <v>0.6797908750370552</v>
      </c>
      <c r="J32" s="21">
        <v>38748.07987711214</v>
      </c>
      <c r="K32" s="21">
        <v>40787.45250222331</v>
      </c>
      <c r="L32" s="21" t="s">
        <v>20</v>
      </c>
    </row>
    <row r="33" ht="40.5" customHeight="1">
      <c r="A33" s="10"/>
      <c r="B33" s="10"/>
      <c r="C33" s="10"/>
      <c r="D33" s="78"/>
      <c r="E33" s="78"/>
      <c r="F33" s="18" t="s">
        <v>127</v>
      </c>
      <c r="G33" s="10"/>
      <c r="H33" s="18">
        <v>200000.0</v>
      </c>
      <c r="I33" s="20">
        <v>0.4078745250222331</v>
      </c>
      <c r="J33" s="21">
        <v>77496.15975422428</v>
      </c>
      <c r="K33" s="21">
        <v>81574.90500444661</v>
      </c>
      <c r="L33" s="21" t="s">
        <v>20</v>
      </c>
    </row>
    <row r="34" ht="40.5" customHeight="1">
      <c r="A34" s="22" t="s">
        <v>136</v>
      </c>
      <c r="B34" s="24" t="s">
        <v>39</v>
      </c>
      <c r="C34" s="22" t="s">
        <v>40</v>
      </c>
      <c r="D34" s="23" t="s">
        <v>41</v>
      </c>
      <c r="E34" s="23" t="s">
        <v>42</v>
      </c>
      <c r="F34" s="24" t="s">
        <v>36</v>
      </c>
      <c r="G34" s="24">
        <v>20200.0</v>
      </c>
      <c r="H34" s="24">
        <v>7000.0</v>
      </c>
      <c r="I34" s="25">
        <v>1.055675241234015</v>
      </c>
      <c r="J34" s="26">
        <v>7020.240354206199</v>
      </c>
      <c r="K34" s="26">
        <v>7020.240354206199</v>
      </c>
      <c r="L34" s="26" t="s">
        <v>20</v>
      </c>
    </row>
    <row r="35" ht="40.5" customHeight="1">
      <c r="A35" s="27" t="s">
        <v>137</v>
      </c>
      <c r="B35" s="18" t="s">
        <v>39</v>
      </c>
      <c r="C35" s="27" t="s">
        <v>138</v>
      </c>
      <c r="D35" s="19" t="s">
        <v>41</v>
      </c>
      <c r="E35" s="19" t="s">
        <v>42</v>
      </c>
      <c r="F35" s="18" t="s">
        <v>36</v>
      </c>
      <c r="G35" s="18">
        <v>21600.0</v>
      </c>
      <c r="H35" s="18">
        <v>15000.0</v>
      </c>
      <c r="I35" s="20">
        <v>0.8305808509543653</v>
      </c>
      <c r="J35" s="21">
        <v>11835.777126099705</v>
      </c>
      <c r="K35" s="21">
        <v>12458.71276431548</v>
      </c>
      <c r="L35" s="21" t="s">
        <v>20</v>
      </c>
    </row>
    <row r="36" ht="40.5" customHeight="1">
      <c r="A36" s="22" t="s">
        <v>139</v>
      </c>
      <c r="B36" s="24" t="s">
        <v>39</v>
      </c>
      <c r="C36" s="22" t="s">
        <v>140</v>
      </c>
      <c r="D36" s="23" t="s">
        <v>141</v>
      </c>
      <c r="E36" s="23" t="s">
        <v>142</v>
      </c>
      <c r="F36" s="24" t="s">
        <v>36</v>
      </c>
      <c r="G36" s="24">
        <v>896200.0</v>
      </c>
      <c r="H36" s="24">
        <v>45000.0</v>
      </c>
      <c r="I36" s="25">
        <v>0.7930893542098976</v>
      </c>
      <c r="J36" s="26">
        <v>33904.56989247312</v>
      </c>
      <c r="K36" s="26">
        <v>35689.02093944539</v>
      </c>
      <c r="L36" s="26" t="s">
        <v>20</v>
      </c>
    </row>
    <row r="37" ht="40.5" customHeight="1">
      <c r="A37" s="27" t="s">
        <v>143</v>
      </c>
      <c r="B37" s="18" t="s">
        <v>1</v>
      </c>
      <c r="C37" s="27" t="s">
        <v>144</v>
      </c>
      <c r="D37" s="19" t="s">
        <v>145</v>
      </c>
      <c r="E37" s="19" t="s">
        <v>146</v>
      </c>
      <c r="F37" s="18" t="s">
        <v>36</v>
      </c>
      <c r="G37" s="18">
        <v>224300.0</v>
      </c>
      <c r="H37" s="18">
        <v>35000.0</v>
      </c>
      <c r="I37" s="20">
        <v>0.9597047647581953</v>
      </c>
      <c r="J37" s="21">
        <v>31910.18342820999</v>
      </c>
      <c r="K37" s="21">
        <v>33589.66676653684</v>
      </c>
      <c r="L37" s="21" t="s">
        <v>20</v>
      </c>
    </row>
    <row r="38" ht="40.5" customHeight="1">
      <c r="A38" s="22" t="s">
        <v>147</v>
      </c>
      <c r="B38" s="25" t="s">
        <v>1</v>
      </c>
      <c r="C38" s="79" t="s">
        <v>148</v>
      </c>
      <c r="D38" s="79" t="s">
        <v>149</v>
      </c>
      <c r="E38" s="28" t="s">
        <v>150</v>
      </c>
      <c r="F38" s="24" t="s">
        <v>36</v>
      </c>
      <c r="G38" s="23">
        <v>42400.0</v>
      </c>
      <c r="H38" s="23">
        <v>10000.0</v>
      </c>
      <c r="I38" s="25">
        <v>0.8298887002452368</v>
      </c>
      <c r="J38" s="26">
        <v>7883.942652329749</v>
      </c>
      <c r="K38" s="26">
        <v>8298.887002452368</v>
      </c>
      <c r="L38" s="26" t="s">
        <v>20</v>
      </c>
    </row>
    <row r="39" ht="40.5" customHeight="1">
      <c r="A39" s="27" t="s">
        <v>151</v>
      </c>
      <c r="B39" s="20" t="s">
        <v>1</v>
      </c>
      <c r="C39" s="80" t="s">
        <v>152</v>
      </c>
      <c r="D39" s="80" t="s">
        <v>153</v>
      </c>
      <c r="E39" s="19" t="s">
        <v>154</v>
      </c>
      <c r="F39" s="18" t="s">
        <v>36</v>
      </c>
      <c r="G39" s="19">
        <v>128700.0</v>
      </c>
      <c r="H39" s="19">
        <v>55000.0</v>
      </c>
      <c r="I39" s="20">
        <v>0.5191130318464784</v>
      </c>
      <c r="J39" s="21">
        <v>27123.65591397849</v>
      </c>
      <c r="K39" s="21">
        <v>28551.21675155631</v>
      </c>
      <c r="L39" s="21" t="s">
        <v>20</v>
      </c>
    </row>
    <row r="40" ht="40.5" customHeight="1">
      <c r="A40" s="22" t="s">
        <v>155</v>
      </c>
      <c r="B40" s="81" t="s">
        <v>1</v>
      </c>
      <c r="C40" s="79" t="s">
        <v>156</v>
      </c>
      <c r="D40" s="79" t="s">
        <v>157</v>
      </c>
      <c r="E40" s="23" t="s">
        <v>158</v>
      </c>
      <c r="F40" s="82" t="s">
        <v>159</v>
      </c>
      <c r="G40" s="24">
        <v>35600.0</v>
      </c>
      <c r="H40" s="24">
        <v>15000.0</v>
      </c>
      <c r="I40" s="25">
        <v>1.4277847686895924</v>
      </c>
      <c r="J40" s="26">
        <v>20345.93295382669</v>
      </c>
      <c r="K40" s="26">
        <v>21416.771530343885</v>
      </c>
      <c r="L40" s="26" t="s">
        <v>20</v>
      </c>
    </row>
    <row r="41" ht="40.5" customHeight="1">
      <c r="A41" s="39" t="s">
        <v>160</v>
      </c>
      <c r="B41" s="18" t="s">
        <v>1</v>
      </c>
      <c r="C41" s="39" t="s">
        <v>161</v>
      </c>
      <c r="D41" s="18" t="s">
        <v>162</v>
      </c>
      <c r="E41" s="18" t="s">
        <v>163</v>
      </c>
      <c r="F41" s="18" t="s">
        <v>19</v>
      </c>
      <c r="G41" s="83">
        <v>53000.0</v>
      </c>
      <c r="H41" s="18">
        <v>10000.0</v>
      </c>
      <c r="I41" s="20">
        <v>1.209228003595326</v>
      </c>
      <c r="J41" s="21">
        <v>11487.666034155596</v>
      </c>
      <c r="K41" s="21">
        <v>12092.28003595326</v>
      </c>
      <c r="L41" s="21" t="s">
        <v>20</v>
      </c>
    </row>
    <row r="42" ht="40.5" customHeight="1">
      <c r="A42" s="22" t="s">
        <v>164</v>
      </c>
      <c r="B42" s="24" t="s">
        <v>1</v>
      </c>
      <c r="C42" s="79" t="s">
        <v>165</v>
      </c>
      <c r="D42" s="24" t="s">
        <v>97</v>
      </c>
      <c r="E42" s="24" t="s">
        <v>166</v>
      </c>
      <c r="F42" s="24" t="s">
        <v>19</v>
      </c>
      <c r="G42" s="24">
        <v>288400.0</v>
      </c>
      <c r="H42" s="24">
        <v>25000.0</v>
      </c>
      <c r="I42" s="25">
        <v>0.8070477268439918</v>
      </c>
      <c r="J42" s="26">
        <v>19167.383512544806</v>
      </c>
      <c r="K42" s="26">
        <v>20176.193171099796</v>
      </c>
      <c r="L42" s="26" t="s">
        <v>20</v>
      </c>
    </row>
    <row r="43" ht="40.5" customHeight="1">
      <c r="A43" s="39" t="s">
        <v>167</v>
      </c>
      <c r="B43" s="19" t="s">
        <v>1</v>
      </c>
      <c r="C43" s="39" t="s">
        <v>168</v>
      </c>
      <c r="D43" s="18" t="s">
        <v>169</v>
      </c>
      <c r="E43" s="18" t="s">
        <v>170</v>
      </c>
      <c r="F43" s="18" t="s">
        <v>19</v>
      </c>
      <c r="G43" s="19">
        <v>1100000.0</v>
      </c>
      <c r="H43" s="39">
        <v>35000.0</v>
      </c>
      <c r="I43" s="20">
        <v>0.8701323200474305</v>
      </c>
      <c r="J43" s="21">
        <v>28931.899641577063</v>
      </c>
      <c r="K43" s="21">
        <v>30454.631201660068</v>
      </c>
      <c r="L43" s="21" t="s">
        <v>20</v>
      </c>
    </row>
    <row r="44" ht="40.5" customHeight="1">
      <c r="A44" s="84" t="s">
        <v>171</v>
      </c>
      <c r="B44" s="22" t="s">
        <v>15</v>
      </c>
      <c r="C44" s="79" t="s">
        <v>172</v>
      </c>
      <c r="D44" s="23" t="s">
        <v>173</v>
      </c>
      <c r="E44" s="23" t="s">
        <v>174</v>
      </c>
      <c r="F44" s="24" t="s">
        <v>19</v>
      </c>
      <c r="G44" s="23">
        <v>520000.0</v>
      </c>
      <c r="H44" s="25">
        <v>220000.0</v>
      </c>
      <c r="I44" s="25">
        <v>0.7341741450400195</v>
      </c>
      <c r="J44" s="26">
        <v>153442.39631336406</v>
      </c>
      <c r="K44" s="26">
        <v>161518.3119088043</v>
      </c>
      <c r="L44" s="26" t="s">
        <v>20</v>
      </c>
    </row>
    <row r="45" ht="40.5" customHeight="1">
      <c r="A45" s="38" t="s">
        <v>175</v>
      </c>
      <c r="B45" s="19" t="s">
        <v>1</v>
      </c>
      <c r="C45" s="39" t="s">
        <v>176</v>
      </c>
      <c r="D45" s="18" t="s">
        <v>177</v>
      </c>
      <c r="E45" s="18" t="s">
        <v>178</v>
      </c>
      <c r="F45" s="18" t="s">
        <v>19</v>
      </c>
      <c r="G45" s="19">
        <v>332400.0</v>
      </c>
      <c r="H45" s="39">
        <v>45000.0</v>
      </c>
      <c r="I45" s="20">
        <v>1.0450118549589238</v>
      </c>
      <c r="J45" s="21">
        <v>44674.25679949399</v>
      </c>
      <c r="K45" s="21">
        <v>47025.53347315157</v>
      </c>
      <c r="L45" s="21" t="s">
        <v>20</v>
      </c>
    </row>
    <row r="46" ht="40.5" customHeight="1">
      <c r="A46" s="85" t="s">
        <v>179</v>
      </c>
      <c r="B46" s="86" t="s">
        <v>1</v>
      </c>
      <c r="C46" s="28" t="s">
        <v>180</v>
      </c>
      <c r="D46" s="24" t="s">
        <v>181</v>
      </c>
      <c r="E46" s="24" t="s">
        <v>182</v>
      </c>
      <c r="F46" s="24" t="s">
        <v>19</v>
      </c>
      <c r="G46" s="86">
        <v>263200.0</v>
      </c>
      <c r="H46" s="86">
        <v>45000.0</v>
      </c>
      <c r="I46" s="25">
        <v>0.725110266706192</v>
      </c>
      <c r="J46" s="26">
        <v>30998.463901689705</v>
      </c>
      <c r="K46" s="26">
        <v>32629.96200177864</v>
      </c>
      <c r="L46" s="26" t="s">
        <v>20</v>
      </c>
    </row>
    <row r="47" ht="40.5" customHeight="1">
      <c r="A47" s="38" t="s">
        <v>183</v>
      </c>
      <c r="B47" s="19" t="s">
        <v>1</v>
      </c>
      <c r="C47" s="39" t="s">
        <v>184</v>
      </c>
      <c r="D47" s="18" t="s">
        <v>185</v>
      </c>
      <c r="E47" s="18" t="s">
        <v>186</v>
      </c>
      <c r="F47" s="18" t="s">
        <v>19</v>
      </c>
      <c r="G47" s="19">
        <v>1300000.0</v>
      </c>
      <c r="H47" s="39">
        <v>110000.0</v>
      </c>
      <c r="I47" s="20">
        <v>1.0748693365291788</v>
      </c>
      <c r="J47" s="21">
        <v>112323.84566729919</v>
      </c>
      <c r="K47" s="21">
        <v>118235.62701820968</v>
      </c>
      <c r="L47" s="21" t="s">
        <v>20</v>
      </c>
    </row>
    <row r="48" ht="40.5" customHeight="1">
      <c r="A48" s="84" t="s">
        <v>187</v>
      </c>
      <c r="B48" s="23" t="s">
        <v>1</v>
      </c>
      <c r="C48" s="28" t="s">
        <v>188</v>
      </c>
      <c r="D48" s="24" t="s">
        <v>81</v>
      </c>
      <c r="E48" s="24" t="s">
        <v>189</v>
      </c>
      <c r="F48" s="24" t="s">
        <v>19</v>
      </c>
      <c r="G48" s="23">
        <v>58400.0</v>
      </c>
      <c r="H48" s="28">
        <v>10000.0</v>
      </c>
      <c r="I48" s="25">
        <v>0.815749050044466</v>
      </c>
      <c r="J48" s="26">
        <v>7749.615975422426</v>
      </c>
      <c r="K48" s="26">
        <v>8157.49050044466</v>
      </c>
      <c r="L48" s="26" t="s">
        <v>20</v>
      </c>
    </row>
    <row r="49" ht="40.5" customHeight="1">
      <c r="A49" s="27" t="s">
        <v>190</v>
      </c>
      <c r="B49" s="19" t="s">
        <v>1</v>
      </c>
      <c r="C49" s="39" t="s">
        <v>191</v>
      </c>
      <c r="D49" s="18" t="s">
        <v>192</v>
      </c>
      <c r="E49" s="18" t="s">
        <v>193</v>
      </c>
      <c r="F49" s="18" t="s">
        <v>19</v>
      </c>
      <c r="G49" s="19">
        <v>1400000.0</v>
      </c>
      <c r="H49" s="39">
        <v>27000.0</v>
      </c>
      <c r="I49" s="20">
        <v>1.0947743242426822</v>
      </c>
      <c r="J49" s="21">
        <v>28080.961416824797</v>
      </c>
      <c r="K49" s="21">
        <v>29558.90675455242</v>
      </c>
      <c r="L49" s="21" t="s">
        <v>20</v>
      </c>
    </row>
    <row r="50" ht="40.5" customHeight="1">
      <c r="A50" s="84" t="s">
        <v>194</v>
      </c>
      <c r="B50" s="23" t="s">
        <v>1</v>
      </c>
      <c r="C50" s="28" t="s">
        <v>195</v>
      </c>
      <c r="D50" s="24" t="s">
        <v>196</v>
      </c>
      <c r="E50" s="24" t="s">
        <v>197</v>
      </c>
      <c r="F50" s="24" t="s">
        <v>19</v>
      </c>
      <c r="G50" s="23">
        <v>215100.0</v>
      </c>
      <c r="H50" s="28">
        <v>60000.0</v>
      </c>
      <c r="I50" s="25">
        <v>0.82</v>
      </c>
      <c r="J50" s="26" t="s">
        <v>198</v>
      </c>
      <c r="K50" s="26" t="s">
        <v>199</v>
      </c>
      <c r="L50" s="30" t="s">
        <v>20</v>
      </c>
    </row>
    <row r="51" ht="40.5" customHeight="1">
      <c r="A51" s="87" t="s">
        <v>200</v>
      </c>
      <c r="B51" s="88" t="s">
        <v>1</v>
      </c>
      <c r="C51" s="45" t="s">
        <v>201</v>
      </c>
      <c r="D51" s="47" t="s">
        <v>202</v>
      </c>
      <c r="E51" s="47" t="s">
        <v>203</v>
      </c>
      <c r="F51" s="47" t="s">
        <v>19</v>
      </c>
      <c r="G51" s="89">
        <v>421800.0</v>
      </c>
      <c r="H51" s="89">
        <v>15000.0</v>
      </c>
      <c r="I51" s="90">
        <v>0.81</v>
      </c>
      <c r="J51" s="91">
        <v>15750.0</v>
      </c>
      <c r="K51" s="91">
        <v>16935.483870967742</v>
      </c>
      <c r="L51" s="92" t="s">
        <v>20</v>
      </c>
    </row>
    <row r="52" ht="40.5" customHeight="1">
      <c r="A52" s="93" t="s">
        <v>204</v>
      </c>
      <c r="B52" s="94" t="s">
        <v>1</v>
      </c>
      <c r="C52" s="32" t="s">
        <v>205</v>
      </c>
      <c r="D52" s="95" t="s">
        <v>206</v>
      </c>
      <c r="E52" s="95" t="s">
        <v>207</v>
      </c>
      <c r="F52" s="34" t="s">
        <v>19</v>
      </c>
      <c r="G52" s="65">
        <v>62600.0</v>
      </c>
      <c r="H52" s="96">
        <v>50000.0</v>
      </c>
      <c r="I52" s="56">
        <v>0.65</v>
      </c>
      <c r="J52" s="97">
        <v>52500.0</v>
      </c>
      <c r="K52" s="97">
        <v>56451.6129032258</v>
      </c>
      <c r="L52" s="58" t="s">
        <v>20</v>
      </c>
    </row>
    <row r="53" ht="40.5" customHeight="1">
      <c r="A53" s="47" t="s">
        <v>208</v>
      </c>
      <c r="B53" s="98" t="s">
        <v>1</v>
      </c>
      <c r="C53" s="45" t="s">
        <v>209</v>
      </c>
      <c r="D53" s="45" t="s">
        <v>210</v>
      </c>
      <c r="E53" s="47" t="s">
        <v>211</v>
      </c>
      <c r="F53" s="47" t="s">
        <v>36</v>
      </c>
      <c r="G53" s="47">
        <v>43800.0</v>
      </c>
      <c r="H53" s="99">
        <v>15000.0</v>
      </c>
      <c r="I53" s="90">
        <v>0.9</v>
      </c>
      <c r="J53" s="91">
        <v>15750.0</v>
      </c>
      <c r="K53" s="91">
        <v>16935.483870967742</v>
      </c>
      <c r="L53" s="92" t="s">
        <v>20</v>
      </c>
    </row>
    <row r="54" ht="40.5" customHeight="1">
      <c r="A54" s="93" t="s">
        <v>212</v>
      </c>
      <c r="B54" s="65" t="s">
        <v>1</v>
      </c>
      <c r="C54" s="32" t="s">
        <v>213</v>
      </c>
      <c r="D54" s="32" t="s">
        <v>214</v>
      </c>
      <c r="E54" s="34" t="s">
        <v>215</v>
      </c>
      <c r="F54" s="34" t="s">
        <v>36</v>
      </c>
      <c r="G54" s="65">
        <v>531700.0</v>
      </c>
      <c r="H54" s="96">
        <v>100000.0</v>
      </c>
      <c r="I54" s="56">
        <v>1.3</v>
      </c>
      <c r="J54" s="97">
        <v>105000.0</v>
      </c>
      <c r="K54" s="97">
        <v>112903.2258064516</v>
      </c>
      <c r="L54" s="58" t="s">
        <v>20</v>
      </c>
    </row>
    <row r="55" ht="40.5" customHeight="1">
      <c r="A55" s="87" t="s">
        <v>216</v>
      </c>
      <c r="B55" s="100" t="s">
        <v>1</v>
      </c>
      <c r="C55" s="45" t="s">
        <v>217</v>
      </c>
      <c r="D55" s="45" t="s">
        <v>218</v>
      </c>
      <c r="E55" s="47" t="s">
        <v>219</v>
      </c>
      <c r="F55" s="47" t="s">
        <v>36</v>
      </c>
      <c r="G55" s="100">
        <v>102900.0</v>
      </c>
      <c r="H55" s="99">
        <v>70000.0</v>
      </c>
      <c r="I55" s="90">
        <v>0.9</v>
      </c>
      <c r="J55" s="91">
        <v>73500.0</v>
      </c>
      <c r="K55" s="91">
        <v>79032.25806451612</v>
      </c>
      <c r="L55" s="92" t="s">
        <v>20</v>
      </c>
    </row>
    <row r="56" ht="40.5" customHeight="1">
      <c r="A56" s="33" t="s">
        <v>220</v>
      </c>
      <c r="B56" s="101" t="s">
        <v>15</v>
      </c>
      <c r="C56" s="65" t="s">
        <v>221</v>
      </c>
      <c r="D56" s="32" t="s">
        <v>222</v>
      </c>
      <c r="E56" s="34" t="s">
        <v>223</v>
      </c>
      <c r="F56" s="34" t="s">
        <v>36</v>
      </c>
      <c r="G56" s="34">
        <v>23800.0</v>
      </c>
      <c r="H56" s="32">
        <v>15000.0</v>
      </c>
      <c r="I56" s="36">
        <v>1.1</v>
      </c>
      <c r="J56" s="37" t="s">
        <v>83</v>
      </c>
      <c r="K56" s="30" t="s">
        <v>84</v>
      </c>
      <c r="L56" s="26" t="s">
        <v>20</v>
      </c>
    </row>
    <row r="57" ht="40.5" customHeight="1">
      <c r="A57" s="38" t="s">
        <v>224</v>
      </c>
      <c r="B57" s="18" t="s">
        <v>1</v>
      </c>
      <c r="C57" s="80" t="s">
        <v>225</v>
      </c>
      <c r="D57" s="80" t="s">
        <v>226</v>
      </c>
      <c r="E57" s="19" t="s">
        <v>227</v>
      </c>
      <c r="F57" s="18" t="s">
        <v>19</v>
      </c>
      <c r="G57" s="18">
        <v>13800.0</v>
      </c>
      <c r="H57" s="39">
        <v>20000.0</v>
      </c>
      <c r="I57" s="20">
        <v>0.5502598137572671</v>
      </c>
      <c r="J57" s="21">
        <v>10454.936461388073</v>
      </c>
      <c r="K57" s="21">
        <v>11005.196275145341</v>
      </c>
      <c r="L57" s="21" t="s">
        <v>20</v>
      </c>
    </row>
    <row r="58" ht="40.5" customHeight="1">
      <c r="A58" s="102" t="s">
        <v>228</v>
      </c>
      <c r="B58" s="103" t="s">
        <v>1</v>
      </c>
      <c r="C58" s="104" t="s">
        <v>229</v>
      </c>
      <c r="D58" s="32" t="s">
        <v>230</v>
      </c>
      <c r="E58" s="34" t="s">
        <v>231</v>
      </c>
      <c r="F58" s="24" t="s">
        <v>19</v>
      </c>
      <c r="G58" s="105">
        <v>173600.0</v>
      </c>
      <c r="H58" s="106">
        <v>50000.0</v>
      </c>
      <c r="I58" s="107">
        <v>0.5</v>
      </c>
      <c r="J58" s="30" t="s">
        <v>232</v>
      </c>
      <c r="K58" s="30" t="s">
        <v>233</v>
      </c>
      <c r="L58" s="26" t="s">
        <v>20</v>
      </c>
    </row>
    <row r="59" ht="40.5" customHeight="1">
      <c r="A59" s="72" t="s">
        <v>234</v>
      </c>
      <c r="B59" s="108" t="s">
        <v>1</v>
      </c>
      <c r="C59" s="109" t="s">
        <v>235</v>
      </c>
      <c r="D59" s="109" t="s">
        <v>236</v>
      </c>
      <c r="E59" s="49" t="s">
        <v>237</v>
      </c>
      <c r="F59" s="62" t="s">
        <v>36</v>
      </c>
      <c r="G59" s="48">
        <v>2000.0</v>
      </c>
      <c r="H59" s="110">
        <v>10000.0</v>
      </c>
      <c r="I59" s="50">
        <v>1.6</v>
      </c>
      <c r="J59" s="51" t="s">
        <v>238</v>
      </c>
      <c r="K59" s="51" t="s">
        <v>239</v>
      </c>
      <c r="L59" s="51" t="s">
        <v>126</v>
      </c>
    </row>
    <row r="60">
      <c r="A60" s="111" t="s">
        <v>240</v>
      </c>
      <c r="B60" s="112">
        <v>46135.0</v>
      </c>
      <c r="C60" s="113"/>
      <c r="D60" s="113"/>
      <c r="E60" s="113"/>
      <c r="F60" s="114"/>
      <c r="G60" s="115"/>
      <c r="H60" s="115"/>
      <c r="I60" s="116"/>
      <c r="J60" s="117"/>
      <c r="K60" s="117"/>
      <c r="L60" s="118"/>
    </row>
    <row r="61">
      <c r="A61" s="119" t="s">
        <v>241</v>
      </c>
      <c r="B61" s="118"/>
      <c r="C61" s="118"/>
      <c r="D61" s="118"/>
      <c r="E61" s="118"/>
      <c r="F61" s="118"/>
      <c r="G61" s="115"/>
      <c r="H61" s="115"/>
      <c r="I61" s="116"/>
      <c r="J61" s="117"/>
      <c r="K61" s="117"/>
      <c r="L61" s="118"/>
    </row>
    <row r="62">
      <c r="A62" s="120" t="s">
        <v>242</v>
      </c>
      <c r="G62" s="121"/>
      <c r="H62" s="121"/>
      <c r="I62" s="122"/>
      <c r="J62" s="117"/>
      <c r="K62" s="117"/>
      <c r="L62" s="118"/>
    </row>
  </sheetData>
  <mergeCells count="34">
    <mergeCell ref="J1:J2"/>
    <mergeCell ref="K1:K2"/>
    <mergeCell ref="L1:L2"/>
    <mergeCell ref="B1:B2"/>
    <mergeCell ref="C1:E1"/>
    <mergeCell ref="F1:F2"/>
    <mergeCell ref="G1:G2"/>
    <mergeCell ref="H1:H2"/>
    <mergeCell ref="I1:I2"/>
    <mergeCell ref="A3:L3"/>
    <mergeCell ref="D14:D16"/>
    <mergeCell ref="E14:E16"/>
    <mergeCell ref="A1:A2"/>
    <mergeCell ref="A4:A5"/>
    <mergeCell ref="B4:B5"/>
    <mergeCell ref="C4:C5"/>
    <mergeCell ref="D4:D5"/>
    <mergeCell ref="E4:E5"/>
    <mergeCell ref="A14:A16"/>
    <mergeCell ref="A29:A30"/>
    <mergeCell ref="A32:A33"/>
    <mergeCell ref="B32:B33"/>
    <mergeCell ref="C32:C33"/>
    <mergeCell ref="D32:D33"/>
    <mergeCell ref="E32:E33"/>
    <mergeCell ref="G32:G33"/>
    <mergeCell ref="A62:F62"/>
    <mergeCell ref="B14:B16"/>
    <mergeCell ref="C14:C16"/>
    <mergeCell ref="B29:B30"/>
    <mergeCell ref="C29:C30"/>
    <mergeCell ref="D29:D30"/>
    <mergeCell ref="E29:E30"/>
    <mergeCell ref="G29:G30"/>
  </mergeCells>
  <hyperlinks>
    <hyperlink r:id="rId1" ref="A4"/>
    <hyperlink r:id="rId2" ref="F5"/>
    <hyperlink r:id="rId3" ref="A6"/>
    <hyperlink r:id="rId4" ref="B6"/>
    <hyperlink r:id="rId5" ref="F6"/>
    <hyperlink r:id="rId6" ref="A7"/>
    <hyperlink r:id="rId7" ref="B7"/>
    <hyperlink r:id="rId8" ref="A8"/>
    <hyperlink r:id="rId9" ref="B8"/>
    <hyperlink r:id="rId10" ref="A9"/>
    <hyperlink r:id="rId11" ref="B9"/>
    <hyperlink r:id="rId12" ref="A10"/>
    <hyperlink r:id="rId13" ref="B10"/>
    <hyperlink r:id="rId14" ref="A11"/>
    <hyperlink r:id="rId15" ref="B11"/>
    <hyperlink r:id="rId16" ref="B12"/>
    <hyperlink r:id="rId17" ref="A13"/>
    <hyperlink r:id="rId18" ref="B13"/>
    <hyperlink r:id="rId19" ref="A14"/>
    <hyperlink r:id="rId20" ref="B14"/>
    <hyperlink r:id="rId21" ref="A17"/>
    <hyperlink r:id="rId22" ref="B17"/>
    <hyperlink r:id="rId23" ref="A18"/>
    <hyperlink r:id="rId24" ref="B18"/>
    <hyperlink r:id="rId25" ref="A20"/>
    <hyperlink r:id="rId26" ref="B20"/>
    <hyperlink r:id="rId27" ref="A21"/>
    <hyperlink r:id="rId28" ref="B21"/>
    <hyperlink r:id="rId29" ref="A22"/>
    <hyperlink r:id="rId30" ref="B22"/>
    <hyperlink r:id="rId31" ref="A23"/>
    <hyperlink r:id="rId32" ref="B23"/>
    <hyperlink r:id="rId33" ref="A24"/>
    <hyperlink r:id="rId34" ref="B24"/>
    <hyperlink r:id="rId35" ref="A25"/>
    <hyperlink r:id="rId36" ref="B25"/>
    <hyperlink r:id="rId37" ref="A26"/>
    <hyperlink r:id="rId38" ref="B26"/>
    <hyperlink r:id="rId39" ref="A27"/>
    <hyperlink r:id="rId40" ref="B27"/>
    <hyperlink r:id="rId41" ref="A28"/>
    <hyperlink r:id="rId42" ref="B28"/>
    <hyperlink r:id="rId43" ref="A29"/>
    <hyperlink r:id="rId44" ref="B29"/>
    <hyperlink r:id="rId45" ref="A31"/>
    <hyperlink r:id="rId46" ref="B31"/>
    <hyperlink r:id="rId47" ref="A32"/>
    <hyperlink r:id="rId48" ref="B32"/>
    <hyperlink r:id="rId49" ref="A34"/>
    <hyperlink r:id="rId50" ref="A35"/>
    <hyperlink r:id="rId51" ref="A36"/>
    <hyperlink r:id="rId52" ref="B36"/>
    <hyperlink r:id="rId53" ref="A37"/>
    <hyperlink r:id="rId54" ref="B37"/>
    <hyperlink r:id="rId55" ref="A38"/>
    <hyperlink r:id="rId56" ref="B38"/>
    <hyperlink r:id="rId57" ref="A39"/>
    <hyperlink r:id="rId58" ref="A40"/>
    <hyperlink r:id="rId59" ref="B40"/>
    <hyperlink r:id="rId60" ref="A41"/>
    <hyperlink r:id="rId61" ref="B41"/>
    <hyperlink r:id="rId62" ref="A42"/>
    <hyperlink r:id="rId63" ref="B42"/>
    <hyperlink r:id="rId64" ref="A43"/>
    <hyperlink r:id="rId65" ref="B43"/>
    <hyperlink r:id="rId66" ref="A44"/>
    <hyperlink r:id="rId67" ref="B44"/>
    <hyperlink r:id="rId68" ref="A45"/>
    <hyperlink r:id="rId69" ref="B45"/>
    <hyperlink r:id="rId70" ref="A46"/>
    <hyperlink r:id="rId71" ref="B46"/>
    <hyperlink r:id="rId72" ref="A47"/>
    <hyperlink r:id="rId73" ref="B47"/>
    <hyperlink r:id="rId74" ref="A48"/>
    <hyperlink r:id="rId75" ref="B48"/>
    <hyperlink r:id="rId76" ref="A49"/>
    <hyperlink r:id="rId77" ref="B49"/>
    <hyperlink r:id="rId78" ref="A50"/>
    <hyperlink r:id="rId79" ref="B50"/>
    <hyperlink r:id="rId80" ref="A51"/>
    <hyperlink r:id="rId81" ref="B51"/>
    <hyperlink r:id="rId82" ref="A52"/>
    <hyperlink r:id="rId83" ref="B52"/>
    <hyperlink r:id="rId84" ref="A53"/>
    <hyperlink r:id="rId85" ref="B53"/>
    <hyperlink r:id="rId86" ref="A54"/>
    <hyperlink r:id="rId87" ref="B54"/>
    <hyperlink r:id="rId88" ref="A55"/>
    <hyperlink r:id="rId89" ref="B55"/>
    <hyperlink r:id="rId90" ref="A56"/>
    <hyperlink r:id="rId91" ref="B56"/>
    <hyperlink r:id="rId92" ref="A57"/>
    <hyperlink r:id="rId93" ref="B57"/>
    <hyperlink r:id="rId94" ref="A58"/>
    <hyperlink r:id="rId95" ref="B58"/>
    <hyperlink r:id="rId96" ref="A59"/>
    <hyperlink r:id="rId97" ref="B59"/>
  </hyperlinks>
  <drawing r:id="rId98"/>
  <tableParts count="4">
    <tablePart r:id="rId103"/>
    <tablePart r:id="rId104"/>
    <tablePart r:id="rId105"/>
    <tablePart r:id="rId10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0"/>
    <col customWidth="1" min="2" max="2" width="14.75"/>
    <col customWidth="1" min="3" max="3" width="12.13"/>
    <col customWidth="1" min="4" max="4" width="18.38"/>
    <col customWidth="1" min="5" max="5" width="11.25"/>
    <col customWidth="1" min="6" max="6" width="16.0"/>
    <col customWidth="1" min="7" max="7" width="14.0"/>
    <col customWidth="1" min="8" max="8" width="12.38"/>
    <col customWidth="1" min="9" max="9" width="13.38"/>
    <col customWidth="1" min="10" max="10" width="10.38"/>
    <col customWidth="1" min="11" max="11" width="9.63"/>
    <col customWidth="1" min="12" max="12" width="8.63"/>
    <col customWidth="1" min="13" max="13" width="11.75"/>
    <col customWidth="1" min="14" max="14" width="8.88"/>
    <col customWidth="1" min="15" max="15" width="35.0"/>
  </cols>
  <sheetData>
    <row r="1" ht="21.0" customHeight="1">
      <c r="A1" s="123" t="s">
        <v>243</v>
      </c>
      <c r="B1" s="124" t="s">
        <v>244</v>
      </c>
      <c r="C1" s="125" t="s">
        <v>245</v>
      </c>
      <c r="D1" s="126" t="s">
        <v>246</v>
      </c>
      <c r="E1" s="127"/>
      <c r="F1" s="128"/>
      <c r="G1" s="129" t="s">
        <v>247</v>
      </c>
      <c r="H1" s="129" t="s">
        <v>248</v>
      </c>
      <c r="I1" s="129" t="s">
        <v>249</v>
      </c>
      <c r="J1" s="129" t="s">
        <v>250</v>
      </c>
      <c r="K1" s="9" t="s">
        <v>251</v>
      </c>
      <c r="L1" s="130" t="s">
        <v>252</v>
      </c>
      <c r="M1" s="131" t="s">
        <v>253</v>
      </c>
      <c r="N1" s="132" t="s">
        <v>254</v>
      </c>
      <c r="O1" s="125" t="s">
        <v>255</v>
      </c>
    </row>
    <row r="2" ht="21.0" customHeight="1">
      <c r="A2" s="133"/>
      <c r="B2" s="134"/>
      <c r="C2" s="134"/>
      <c r="D2" s="135" t="s">
        <v>256</v>
      </c>
      <c r="E2" s="135" t="s">
        <v>257</v>
      </c>
      <c r="F2" s="135" t="s">
        <v>258</v>
      </c>
      <c r="G2" s="134"/>
      <c r="H2" s="134"/>
      <c r="I2" s="134"/>
      <c r="J2" s="134"/>
      <c r="L2" s="134"/>
      <c r="M2" s="136"/>
      <c r="N2" s="134"/>
      <c r="O2" s="134"/>
    </row>
    <row r="3" ht="55.5" customHeight="1">
      <c r="A3" s="137" t="s">
        <v>14</v>
      </c>
      <c r="B3" s="138" t="s">
        <v>259</v>
      </c>
      <c r="C3" s="139" t="s">
        <v>260</v>
      </c>
      <c r="D3" s="140" t="s">
        <v>261</v>
      </c>
      <c r="E3" s="141" t="s">
        <v>262</v>
      </c>
      <c r="F3" s="140" t="s">
        <v>263</v>
      </c>
      <c r="G3" s="140">
        <v>329000.0</v>
      </c>
      <c r="H3" s="140">
        <v>25000.0</v>
      </c>
      <c r="I3" s="142" t="s">
        <v>264</v>
      </c>
      <c r="J3" s="143">
        <v>1720.4301075268816</v>
      </c>
      <c r="K3" s="141">
        <v>43139.784946236556</v>
      </c>
      <c r="L3" s="144">
        <v>2156.989247311828</v>
      </c>
      <c r="M3" s="141">
        <v>45296.77419354839</v>
      </c>
      <c r="N3" s="141">
        <f t="shared" ref="N3:N22" si="1">SUM(M3-L3)/100*7</f>
        <v>3019.784946</v>
      </c>
      <c r="O3" s="145" t="s">
        <v>265</v>
      </c>
    </row>
    <row r="4" ht="66.0" customHeight="1">
      <c r="A4" s="146" t="str">
        <f>HYPERLINK("https://youtube.com/@orlova_v12?si=61-CVHD_ZlU8Dm1w","Виктория Орлова")</f>
        <v>Виктория Орлова</v>
      </c>
      <c r="B4" s="147" t="s">
        <v>259</v>
      </c>
      <c r="C4" s="148" t="s">
        <v>260</v>
      </c>
      <c r="D4" s="149" t="s">
        <v>266</v>
      </c>
      <c r="E4" s="150" t="s">
        <v>267</v>
      </c>
      <c r="F4" s="149" t="s">
        <v>268</v>
      </c>
      <c r="G4" s="149">
        <v>244000.0</v>
      </c>
      <c r="H4" s="149">
        <v>11000.0</v>
      </c>
      <c r="I4" s="151" t="s">
        <v>264</v>
      </c>
      <c r="J4" s="71">
        <v>1845.7823011902708</v>
      </c>
      <c r="K4" s="152">
        <v>20364.516129032258</v>
      </c>
      <c r="L4" s="153">
        <v>1018.2258064516129</v>
      </c>
      <c r="M4" s="152">
        <v>21382.74193548387</v>
      </c>
      <c r="N4" s="152">
        <f t="shared" si="1"/>
        <v>1425.516129</v>
      </c>
      <c r="O4" s="148" t="s">
        <v>269</v>
      </c>
    </row>
    <row r="5" ht="55.5" customHeight="1">
      <c r="A5" s="154" t="str">
        <f>HYPERLINK("https://youtube.com/@victoria.slusar?si=jo0xZDIpHDPHVdfv","Виктория Слюсарь")</f>
        <v>Виктория Слюсарь</v>
      </c>
      <c r="B5" s="155" t="str">
        <f>HYPERLINK("https://disk.yandex.ru/d/2qoDKXKf68HVMg","ссылка")</f>
        <v>ссылка</v>
      </c>
      <c r="C5" s="156" t="s">
        <v>270</v>
      </c>
      <c r="D5" s="156" t="s">
        <v>271</v>
      </c>
      <c r="E5" s="156" t="s">
        <v>267</v>
      </c>
      <c r="F5" s="156" t="s">
        <v>272</v>
      </c>
      <c r="G5" s="156">
        <v>5680.0</v>
      </c>
      <c r="H5" s="140">
        <v>3000.0</v>
      </c>
      <c r="I5" s="140" t="s">
        <v>264</v>
      </c>
      <c r="J5" s="143">
        <v>5060.088551549652</v>
      </c>
      <c r="K5" s="141">
        <v>15225.806451612903</v>
      </c>
      <c r="L5" s="144">
        <v>761.2903225806452</v>
      </c>
      <c r="M5" s="141">
        <v>15987.09677419355</v>
      </c>
      <c r="N5" s="141">
        <f t="shared" si="1"/>
        <v>1065.806452</v>
      </c>
      <c r="O5" s="156" t="s">
        <v>273</v>
      </c>
    </row>
    <row r="6" ht="55.5" customHeight="1">
      <c r="A6" s="157" t="s">
        <v>274</v>
      </c>
      <c r="B6" s="158" t="s">
        <v>259</v>
      </c>
      <c r="C6" s="159" t="s">
        <v>275</v>
      </c>
      <c r="D6" s="160" t="s">
        <v>276</v>
      </c>
      <c r="E6" s="160" t="s">
        <v>277</v>
      </c>
      <c r="F6" s="160" t="s">
        <v>278</v>
      </c>
      <c r="G6" s="159">
        <v>29700.0</v>
      </c>
      <c r="H6" s="149">
        <v>7000.0</v>
      </c>
      <c r="I6" s="149" t="s">
        <v>264</v>
      </c>
      <c r="J6" s="71">
        <v>8192.524321556579</v>
      </c>
      <c r="K6" s="152">
        <v>57519.71326164875</v>
      </c>
      <c r="L6" s="153">
        <v>2875.985663082438</v>
      </c>
      <c r="M6" s="152">
        <v>60395.698924731194</v>
      </c>
      <c r="N6" s="152">
        <f t="shared" si="1"/>
        <v>4026.379928</v>
      </c>
      <c r="O6" s="160" t="s">
        <v>279</v>
      </c>
    </row>
    <row r="7" ht="63.75" customHeight="1">
      <c r="A7" s="137" t="s">
        <v>280</v>
      </c>
      <c r="B7" s="161" t="s">
        <v>259</v>
      </c>
      <c r="C7" s="156" t="s">
        <v>281</v>
      </c>
      <c r="D7" s="156" t="s">
        <v>282</v>
      </c>
      <c r="E7" s="156" t="s">
        <v>283</v>
      </c>
      <c r="F7" s="156" t="s">
        <v>284</v>
      </c>
      <c r="G7" s="156" t="s">
        <v>285</v>
      </c>
      <c r="H7" s="140">
        <v>300.0</v>
      </c>
      <c r="I7" s="162" t="s">
        <v>286</v>
      </c>
      <c r="J7" s="143">
        <v>188172.04301075268</v>
      </c>
      <c r="K7" s="141">
        <v>56620.96774193548</v>
      </c>
      <c r="L7" s="144">
        <v>2831.048387096774</v>
      </c>
      <c r="M7" s="141">
        <v>59452.01612903225</v>
      </c>
      <c r="N7" s="141">
        <f t="shared" si="1"/>
        <v>3963.467742</v>
      </c>
      <c r="O7" s="156" t="s">
        <v>287</v>
      </c>
    </row>
    <row r="8" ht="54.0" customHeight="1">
      <c r="A8" s="163" t="s">
        <v>288</v>
      </c>
      <c r="B8" s="164" t="s">
        <v>259</v>
      </c>
      <c r="C8" s="165" t="s">
        <v>260</v>
      </c>
      <c r="D8" s="165" t="s">
        <v>289</v>
      </c>
      <c r="E8" s="165" t="s">
        <v>290</v>
      </c>
      <c r="F8" s="165" t="s">
        <v>291</v>
      </c>
      <c r="G8" s="159">
        <v>76000.0</v>
      </c>
      <c r="H8" s="149">
        <v>1500.0</v>
      </c>
      <c r="I8" s="149" t="s">
        <v>264</v>
      </c>
      <c r="J8" s="71">
        <v>6374.619439173519</v>
      </c>
      <c r="K8" s="152">
        <v>9590.61494623656</v>
      </c>
      <c r="L8" s="153">
        <v>479.530747311828</v>
      </c>
      <c r="M8" s="152">
        <v>10070.145693548387</v>
      </c>
      <c r="N8" s="152">
        <f t="shared" si="1"/>
        <v>671.3430462</v>
      </c>
      <c r="O8" s="165" t="s">
        <v>292</v>
      </c>
    </row>
    <row r="9" ht="54.0" customHeight="1">
      <c r="A9" s="43"/>
      <c r="B9" s="43"/>
      <c r="C9" s="43"/>
      <c r="D9" s="43"/>
      <c r="E9" s="43"/>
      <c r="F9" s="43"/>
      <c r="G9" s="166">
        <v>259300.0</v>
      </c>
      <c r="H9" s="149">
        <v>6000.0</v>
      </c>
      <c r="I9" s="149" t="s">
        <v>293</v>
      </c>
      <c r="J9" s="71">
        <v>2108.3702298123553</v>
      </c>
      <c r="K9" s="152">
        <v>12688.172043010753</v>
      </c>
      <c r="L9" s="153">
        <v>634.4086021505377</v>
      </c>
      <c r="M9" s="152">
        <v>13322.580645161292</v>
      </c>
      <c r="N9" s="152">
        <f t="shared" si="1"/>
        <v>888.172043</v>
      </c>
      <c r="O9" s="43"/>
    </row>
    <row r="10" ht="54.0" customHeight="1">
      <c r="A10" s="10"/>
      <c r="B10" s="10"/>
      <c r="C10" s="10"/>
      <c r="D10" s="10"/>
      <c r="E10" s="10"/>
      <c r="F10" s="10"/>
      <c r="G10" s="10"/>
      <c r="H10" s="149">
        <v>10000.0</v>
      </c>
      <c r="I10" s="149" t="s">
        <v>294</v>
      </c>
      <c r="J10" s="71">
        <v>4507.601518026565</v>
      </c>
      <c r="K10" s="152">
        <v>45211.243225806444</v>
      </c>
      <c r="L10" s="153">
        <v>2260.5621612903224</v>
      </c>
      <c r="M10" s="152">
        <v>47471.80538709677</v>
      </c>
      <c r="N10" s="152">
        <f t="shared" si="1"/>
        <v>3164.787026</v>
      </c>
      <c r="O10" s="10"/>
    </row>
    <row r="11" ht="29.25" customHeight="1">
      <c r="A11" s="167" t="s">
        <v>295</v>
      </c>
      <c r="B11" s="168" t="s">
        <v>259</v>
      </c>
      <c r="C11" s="169" t="s">
        <v>296</v>
      </c>
      <c r="D11" s="169" t="s">
        <v>297</v>
      </c>
      <c r="E11" s="169" t="s">
        <v>298</v>
      </c>
      <c r="F11" s="169" t="s">
        <v>299</v>
      </c>
      <c r="G11" s="169">
        <v>75600.0</v>
      </c>
      <c r="H11" s="140">
        <v>5000.0</v>
      </c>
      <c r="I11" s="140" t="s">
        <v>264</v>
      </c>
      <c r="J11" s="143">
        <v>6535.9477124183</v>
      </c>
      <c r="K11" s="141">
        <v>32777.777777777774</v>
      </c>
      <c r="L11" s="144">
        <v>1638.8888888888887</v>
      </c>
      <c r="M11" s="141">
        <v>34416.666666666664</v>
      </c>
      <c r="N11" s="141">
        <f t="shared" si="1"/>
        <v>2294.444444</v>
      </c>
      <c r="O11" s="169" t="s">
        <v>300</v>
      </c>
    </row>
    <row r="12" ht="27.0" customHeight="1">
      <c r="A12" s="43"/>
      <c r="B12" s="43"/>
      <c r="C12" s="43"/>
      <c r="D12" s="43"/>
      <c r="E12" s="43"/>
      <c r="F12" s="43"/>
      <c r="G12" s="43"/>
      <c r="H12" s="140">
        <v>800.0</v>
      </c>
      <c r="I12" s="140" t="s">
        <v>301</v>
      </c>
      <c r="J12" s="143">
        <v>39531.94180898165</v>
      </c>
      <c r="K12" s="141">
        <v>31720.43010752688</v>
      </c>
      <c r="L12" s="144">
        <v>1586.021505376344</v>
      </c>
      <c r="M12" s="141">
        <v>33306.45161290323</v>
      </c>
      <c r="N12" s="141">
        <f t="shared" si="1"/>
        <v>2220.430108</v>
      </c>
      <c r="O12" s="43"/>
    </row>
    <row r="13" ht="54.0" customHeight="1">
      <c r="A13" s="10"/>
      <c r="B13" s="10"/>
      <c r="C13" s="10"/>
      <c r="D13" s="10"/>
      <c r="E13" s="10"/>
      <c r="F13" s="10"/>
      <c r="G13" s="10"/>
      <c r="H13" s="140">
        <v>23000.0</v>
      </c>
      <c r="I13" s="140" t="s">
        <v>302</v>
      </c>
      <c r="J13" s="143">
        <v>4950.086626515964</v>
      </c>
      <c r="K13" s="141">
        <v>114193.54838709677</v>
      </c>
      <c r="L13" s="144">
        <v>5709.677419354839</v>
      </c>
      <c r="M13" s="141">
        <v>119903.22580645162</v>
      </c>
      <c r="N13" s="141">
        <f t="shared" si="1"/>
        <v>7993.548387</v>
      </c>
      <c r="O13" s="10"/>
    </row>
    <row r="14">
      <c r="A14" s="170" t="s">
        <v>303</v>
      </c>
      <c r="B14" s="164" t="s">
        <v>259</v>
      </c>
      <c r="C14" s="171" t="s">
        <v>260</v>
      </c>
      <c r="D14" s="172" t="s">
        <v>304</v>
      </c>
      <c r="E14" s="173" t="s">
        <v>305</v>
      </c>
      <c r="F14" s="172" t="s">
        <v>306</v>
      </c>
      <c r="G14" s="149">
        <v>89400.0</v>
      </c>
      <c r="H14" s="149">
        <v>14000.0</v>
      </c>
      <c r="I14" s="149" t="s">
        <v>307</v>
      </c>
      <c r="J14" s="71">
        <v>4320.276497695852</v>
      </c>
      <c r="K14" s="152">
        <v>60665.32258064516</v>
      </c>
      <c r="L14" s="153">
        <v>3033.266129032258</v>
      </c>
      <c r="M14" s="152">
        <v>63698.58870967742</v>
      </c>
      <c r="N14" s="152">
        <f t="shared" si="1"/>
        <v>4246.572581</v>
      </c>
      <c r="O14" s="173" t="s">
        <v>308</v>
      </c>
    </row>
    <row r="15" ht="38.25" customHeight="1">
      <c r="A15" s="10"/>
      <c r="B15" s="10"/>
      <c r="C15" s="10"/>
      <c r="D15" s="10"/>
      <c r="E15" s="10"/>
      <c r="F15" s="10"/>
      <c r="G15" s="149">
        <v>96974.0</v>
      </c>
      <c r="H15" s="149">
        <v>16000.0</v>
      </c>
      <c r="I15" s="149" t="s">
        <v>309</v>
      </c>
      <c r="J15" s="71">
        <v>3780.2419354838707</v>
      </c>
      <c r="K15" s="152">
        <v>60665.32258064516</v>
      </c>
      <c r="L15" s="153">
        <v>3033.266129032258</v>
      </c>
      <c r="M15" s="152">
        <v>63698.58870967742</v>
      </c>
      <c r="N15" s="152">
        <f t="shared" si="1"/>
        <v>4246.572581</v>
      </c>
      <c r="O15" s="10"/>
    </row>
    <row r="16">
      <c r="A16" s="137" t="s">
        <v>310</v>
      </c>
      <c r="B16" s="155" t="s">
        <v>259</v>
      </c>
      <c r="C16" s="174" t="s">
        <v>260</v>
      </c>
      <c r="D16" s="143" t="s">
        <v>311</v>
      </c>
      <c r="E16" s="141" t="s">
        <v>312</v>
      </c>
      <c r="F16" s="143" t="s">
        <v>313</v>
      </c>
      <c r="G16" s="140">
        <v>134000.0</v>
      </c>
      <c r="H16" s="140">
        <v>15000.0</v>
      </c>
      <c r="I16" s="140" t="s">
        <v>264</v>
      </c>
      <c r="J16" s="143">
        <v>4216.74045962471</v>
      </c>
      <c r="K16" s="141">
        <v>63440.86021505376</v>
      </c>
      <c r="L16" s="144">
        <v>3172.043010752688</v>
      </c>
      <c r="M16" s="141">
        <v>66612.90322580645</v>
      </c>
      <c r="N16" s="141">
        <f t="shared" si="1"/>
        <v>4440.860215</v>
      </c>
      <c r="O16" s="141" t="s">
        <v>314</v>
      </c>
    </row>
    <row r="17" ht="63.75" customHeight="1">
      <c r="A17" s="175" t="s">
        <v>315</v>
      </c>
      <c r="B17" s="176" t="s">
        <v>259</v>
      </c>
      <c r="C17" s="177" t="s">
        <v>260</v>
      </c>
      <c r="D17" s="178" t="s">
        <v>316</v>
      </c>
      <c r="E17" s="178" t="s">
        <v>120</v>
      </c>
      <c r="F17" s="178" t="s">
        <v>121</v>
      </c>
      <c r="G17" s="178">
        <v>169000.0</v>
      </c>
      <c r="H17" s="178">
        <v>15000.0</v>
      </c>
      <c r="I17" s="179" t="s">
        <v>317</v>
      </c>
      <c r="J17" s="71">
        <v>16385.048643113158</v>
      </c>
      <c r="K17" s="152">
        <v>246513.05683563746</v>
      </c>
      <c r="L17" s="153">
        <v>12325.652841781874</v>
      </c>
      <c r="M17" s="152">
        <v>258838.70967741933</v>
      </c>
      <c r="N17" s="152">
        <f t="shared" si="1"/>
        <v>17255.91398</v>
      </c>
      <c r="O17" s="180" t="s">
        <v>318</v>
      </c>
    </row>
    <row r="18" ht="63.75" customHeight="1">
      <c r="A18" s="181" t="s">
        <v>319</v>
      </c>
      <c r="B18" s="182" t="s">
        <v>259</v>
      </c>
      <c r="C18" s="183" t="s">
        <v>260</v>
      </c>
      <c r="D18" s="183" t="s">
        <v>320</v>
      </c>
      <c r="E18" s="183" t="s">
        <v>321</v>
      </c>
      <c r="F18" s="183" t="s">
        <v>322</v>
      </c>
      <c r="G18" s="184">
        <v>191000.0</v>
      </c>
      <c r="H18" s="184">
        <v>115000.0</v>
      </c>
      <c r="I18" s="185" t="s">
        <v>317</v>
      </c>
      <c r="J18" s="143">
        <v>1193.080878915381</v>
      </c>
      <c r="K18" s="141">
        <v>137615.91397849462</v>
      </c>
      <c r="L18" s="144">
        <v>6880.795698924731</v>
      </c>
      <c r="M18" s="141">
        <v>144496.70967741936</v>
      </c>
      <c r="N18" s="141">
        <f t="shared" si="1"/>
        <v>9633.113978</v>
      </c>
      <c r="O18" s="186" t="s">
        <v>323</v>
      </c>
    </row>
    <row r="19" ht="63.75" customHeight="1">
      <c r="A19" s="175" t="s">
        <v>324</v>
      </c>
      <c r="B19" s="176" t="s">
        <v>259</v>
      </c>
      <c r="C19" s="178" t="s">
        <v>325</v>
      </c>
      <c r="D19" s="177" t="s">
        <v>326</v>
      </c>
      <c r="E19" s="177" t="s">
        <v>327</v>
      </c>
      <c r="F19" s="177" t="s">
        <v>328</v>
      </c>
      <c r="G19" s="178">
        <v>308000.0</v>
      </c>
      <c r="H19" s="178">
        <v>15000.0</v>
      </c>
      <c r="I19" s="187" t="s">
        <v>329</v>
      </c>
      <c r="J19" s="71">
        <v>8846.247311827958</v>
      </c>
      <c r="K19" s="152">
        <v>133091.7908064516</v>
      </c>
      <c r="L19" s="153">
        <v>6654.58954032258</v>
      </c>
      <c r="M19" s="152">
        <v>139746.38034677418</v>
      </c>
      <c r="N19" s="152">
        <f t="shared" si="1"/>
        <v>9316.425356</v>
      </c>
      <c r="O19" s="180" t="s">
        <v>330</v>
      </c>
    </row>
    <row r="20" ht="37.5" customHeight="1">
      <c r="A20" s="167" t="s">
        <v>331</v>
      </c>
      <c r="B20" s="168" t="s">
        <v>259</v>
      </c>
      <c r="C20" s="169" t="s">
        <v>260</v>
      </c>
      <c r="D20" s="169" t="s">
        <v>332</v>
      </c>
      <c r="E20" s="169" t="s">
        <v>333</v>
      </c>
      <c r="F20" s="169" t="s">
        <v>334</v>
      </c>
      <c r="G20" s="188">
        <v>71200.0</v>
      </c>
      <c r="H20" s="140">
        <v>6500.0</v>
      </c>
      <c r="I20" s="143" t="s">
        <v>264</v>
      </c>
      <c r="J20" s="143">
        <v>7298.59387923904</v>
      </c>
      <c r="K20" s="141">
        <v>47583.18279569892</v>
      </c>
      <c r="L20" s="144">
        <v>2379.159139784946</v>
      </c>
      <c r="M20" s="141">
        <v>49962.34193548387</v>
      </c>
      <c r="N20" s="141">
        <f t="shared" si="1"/>
        <v>3330.822796</v>
      </c>
      <c r="O20" s="169" t="s">
        <v>335</v>
      </c>
    </row>
    <row r="21" ht="39.0" customHeight="1">
      <c r="A21" s="10"/>
      <c r="B21" s="10"/>
      <c r="C21" s="10"/>
      <c r="D21" s="10"/>
      <c r="E21" s="10"/>
      <c r="F21" s="10"/>
      <c r="G21" s="10"/>
      <c r="H21" s="140">
        <v>3000.0</v>
      </c>
      <c r="I21" s="140" t="s">
        <v>336</v>
      </c>
      <c r="J21" s="140">
        <v>5988.0</v>
      </c>
      <c r="K21" s="141">
        <v>57096.77419354839</v>
      </c>
      <c r="L21" s="144">
        <v>2854.8387096774195</v>
      </c>
      <c r="M21" s="141">
        <v>59951.61290322581</v>
      </c>
      <c r="N21" s="141">
        <f t="shared" si="1"/>
        <v>3996.774194</v>
      </c>
      <c r="O21" s="10"/>
    </row>
    <row r="22" ht="63.75" customHeight="1">
      <c r="A22" s="175" t="s">
        <v>337</v>
      </c>
      <c r="B22" s="189" t="s">
        <v>259</v>
      </c>
      <c r="C22" s="178" t="s">
        <v>260</v>
      </c>
      <c r="D22" s="178" t="s">
        <v>338</v>
      </c>
      <c r="E22" s="177" t="s">
        <v>339</v>
      </c>
      <c r="F22" s="177" t="s">
        <v>340</v>
      </c>
      <c r="G22" s="178">
        <v>11500.0</v>
      </c>
      <c r="H22" s="178">
        <v>15000.0</v>
      </c>
      <c r="I22" s="179" t="s">
        <v>317</v>
      </c>
      <c r="J22" s="71">
        <v>2500.768049155146</v>
      </c>
      <c r="K22" s="152">
        <v>37624.05529953917</v>
      </c>
      <c r="L22" s="153">
        <v>1881.2027649769586</v>
      </c>
      <c r="M22" s="152">
        <v>39505.25806451613</v>
      </c>
      <c r="N22" s="152">
        <f t="shared" si="1"/>
        <v>2633.683871</v>
      </c>
      <c r="O22" s="180" t="s">
        <v>341</v>
      </c>
    </row>
    <row r="23" ht="41.25" customHeight="1">
      <c r="A23" s="190" t="s">
        <v>342</v>
      </c>
      <c r="B23" s="191">
        <v>46135.0</v>
      </c>
      <c r="C23" s="191"/>
      <c r="D23" s="190"/>
      <c r="E23" s="190"/>
      <c r="F23" s="190"/>
      <c r="G23" s="190"/>
      <c r="H23" s="190"/>
      <c r="I23" s="190"/>
      <c r="J23" s="192"/>
      <c r="K23" s="193"/>
      <c r="L23" s="194"/>
      <c r="M23" s="193"/>
      <c r="N23" s="190"/>
      <c r="O23" s="190"/>
    </row>
    <row r="24" ht="18.0" customHeight="1">
      <c r="A24" s="195" t="s">
        <v>241</v>
      </c>
      <c r="B24" s="195"/>
      <c r="C24" s="195"/>
      <c r="D24" s="195"/>
      <c r="E24" s="195"/>
      <c r="F24" s="195"/>
      <c r="G24" s="195"/>
      <c r="H24" s="195"/>
      <c r="I24" s="195"/>
      <c r="J24" s="192"/>
      <c r="K24" s="193"/>
      <c r="L24" s="194"/>
      <c r="M24" s="193"/>
      <c r="N24" s="190"/>
    </row>
    <row r="25" ht="33.75" customHeight="1">
      <c r="A25" s="196" t="s">
        <v>343</v>
      </c>
      <c r="G25" s="195"/>
      <c r="H25" s="195"/>
      <c r="I25" s="195"/>
      <c r="J25" s="192"/>
      <c r="K25" s="193"/>
      <c r="L25" s="194"/>
      <c r="M25" s="193"/>
      <c r="N25" s="190"/>
    </row>
    <row r="26" ht="22.5" customHeight="1">
      <c r="A26" s="196" t="s">
        <v>344</v>
      </c>
      <c r="G26" s="195"/>
      <c r="H26" s="195"/>
      <c r="I26" s="195"/>
      <c r="J26" s="192"/>
      <c r="K26" s="193"/>
      <c r="L26" s="194"/>
      <c r="M26" s="193"/>
      <c r="N26" s="190"/>
    </row>
  </sheetData>
  <mergeCells count="47">
    <mergeCell ref="J1:J2"/>
    <mergeCell ref="K1:K2"/>
    <mergeCell ref="L1:L2"/>
    <mergeCell ref="M1:M2"/>
    <mergeCell ref="N1:N2"/>
    <mergeCell ref="O1:O2"/>
    <mergeCell ref="A1:A2"/>
    <mergeCell ref="B1:B2"/>
    <mergeCell ref="C1:C2"/>
    <mergeCell ref="D1:F1"/>
    <mergeCell ref="G1:G2"/>
    <mergeCell ref="H1:H2"/>
    <mergeCell ref="I1:I2"/>
    <mergeCell ref="A8:A10"/>
    <mergeCell ref="B11:B13"/>
    <mergeCell ref="C11:C13"/>
    <mergeCell ref="D11:D13"/>
    <mergeCell ref="E11:E13"/>
    <mergeCell ref="F11:F13"/>
    <mergeCell ref="G11:G13"/>
    <mergeCell ref="O11:O13"/>
    <mergeCell ref="O14:O15"/>
    <mergeCell ref="O20:O21"/>
    <mergeCell ref="O23:O26"/>
    <mergeCell ref="B8:B10"/>
    <mergeCell ref="C8:C10"/>
    <mergeCell ref="D8:D10"/>
    <mergeCell ref="E8:E10"/>
    <mergeCell ref="F8:F10"/>
    <mergeCell ref="O8:O10"/>
    <mergeCell ref="G9:G10"/>
    <mergeCell ref="A11:A13"/>
    <mergeCell ref="A14:A15"/>
    <mergeCell ref="B14:B15"/>
    <mergeCell ref="C14:C15"/>
    <mergeCell ref="D14:D15"/>
    <mergeCell ref="E14:E15"/>
    <mergeCell ref="F14:F15"/>
    <mergeCell ref="A25:F25"/>
    <mergeCell ref="A26:F26"/>
    <mergeCell ref="A20:A21"/>
    <mergeCell ref="B20:B21"/>
    <mergeCell ref="C20:C21"/>
    <mergeCell ref="D20:D21"/>
    <mergeCell ref="E20:E21"/>
    <mergeCell ref="F20:F21"/>
    <mergeCell ref="G20:G21"/>
  </mergeCells>
  <hyperlinks>
    <hyperlink r:id="rId2" ref="A3"/>
    <hyperlink r:id="rId3" ref="B3"/>
    <hyperlink r:id="rId4" ref="B4"/>
    <hyperlink r:id="rId5" ref="A6"/>
    <hyperlink r:id="rId6" ref="B6"/>
    <hyperlink r:id="rId7" ref="A7"/>
    <hyperlink r:id="rId8" ref="B7"/>
    <hyperlink r:id="rId9" ref="B8"/>
    <hyperlink r:id="rId10" ref="A11"/>
    <hyperlink r:id="rId11" ref="B11"/>
    <hyperlink r:id="rId12" ref="A14"/>
    <hyperlink r:id="rId13" ref="B14"/>
    <hyperlink r:id="rId14" ref="A16"/>
    <hyperlink r:id="rId15" ref="B16"/>
    <hyperlink r:id="rId16" ref="A17"/>
    <hyperlink r:id="rId17" ref="B17"/>
    <hyperlink r:id="rId18" ref="A18"/>
    <hyperlink r:id="rId19" ref="B18"/>
    <hyperlink r:id="rId20" ref="A19"/>
    <hyperlink r:id="rId21" ref="B19"/>
    <hyperlink r:id="rId22" ref="A20"/>
    <hyperlink r:id="rId23" ref="B20"/>
    <hyperlink r:id="rId24" ref="A2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5"/>
  <legacyDrawing r:id="rId26"/>
</worksheet>
</file>
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Размещения Инста" sheetId="1" r:id="rId5"/>
    <sheet state="visible" name="Размещения тг" sheetId="2" r:id="rId6"/>
    <sheet state="visible" name="Контроль посевы телеграм" sheetId="3" r:id="rId7"/>
    <sheet state="visible" name="Контроль размещения инстаграм" sheetId="4" r:id="rId8"/>
    <sheet state="hidden" name="Отслеживание по артикулам  тг" sheetId="5" r:id="rId9"/>
    <sheet state="hidden" name="Отслеживание по артикулам  инст" sheetId="6" r:id="rId10"/>
    <sheet state="visible" name="Анализ конкурентов тг" sheetId="7" r:id="rId11"/>
    <sheet state="visible" name="Анализ конкурентов инст" sheetId="8" r:id="rId12"/>
    <sheet state="visible" name="Артикулы " sheetId="9" r:id="rId13"/>
  </sheets>
  <definedNames/>
  <calcPr/>
</workbook>
</file>

<file path=xl/sharedStrings.xml><?xml version="1.0" encoding="utf-8"?>
<sst xmlns="http://schemas.openxmlformats.org/spreadsheetml/2006/main" count="716" uniqueCount="490">
  <si>
    <t>Дата</t>
  </si>
  <si>
    <t>Блогер</t>
  </si>
  <si>
    <t>Ссылка на блогера</t>
  </si>
  <si>
    <t>Формат (рилс/пост)</t>
  </si>
  <si>
    <t>Стоимость рекламы</t>
  </si>
  <si>
    <t xml:space="preserve">Поддменный артикул для него </t>
  </si>
  <si>
    <t xml:space="preserve">Просмотры </t>
  </si>
  <si>
    <t>Заказы</t>
  </si>
  <si>
    <t>Куда ведем</t>
  </si>
  <si>
    <t>Количество переходов</t>
  </si>
  <si>
    <t>Стоимость перехода</t>
  </si>
  <si>
    <t>АДРЕСА ПВЗ для бартера</t>
  </si>
  <si>
    <t>viktoria_puzhel</t>
  </si>
  <si>
    <t>https://www.instagram.com/viktoria_puzhel?igsh=N2hhZGN3Y2J5NG0y</t>
  </si>
  <si>
    <t>Пост + сторис</t>
  </si>
  <si>
    <t>Скраб WW435334; Тон WW435364</t>
  </si>
  <si>
    <t>48 скраб, 80 тон</t>
  </si>
  <si>
    <t>3 скраб, 5 тон</t>
  </si>
  <si>
    <t>ВБ артикул</t>
  </si>
  <si>
    <t>-</t>
  </si>
  <si>
    <t>nadi.wish</t>
  </si>
  <si>
    <t>https://www.instagram.com/nadi.wish?igsh=MXNranMyZHRteXg3Zg==</t>
  </si>
  <si>
    <t>Пост</t>
  </si>
  <si>
    <t>Скраб WW435341; Тон WW435370</t>
  </si>
  <si>
    <t>2 скраб, 2 тон</t>
  </si>
  <si>
    <t>gg_xxl_</t>
  </si>
  <si>
    <t>https://www.instagram.com/gg_xxl_?igsh=MWhoOHd4ZW5zbTN4Ng==</t>
  </si>
  <si>
    <t>Только скраб: WW435342</t>
  </si>
  <si>
    <t>2 скраб</t>
  </si>
  <si>
    <t>alina.belyaeva</t>
  </si>
  <si>
    <t>https://www.instagram.com/alina.bellyaeva?igsh=MWhxenY1c3FrdW54eQ==</t>
  </si>
  <si>
    <t>1300 + бартер</t>
  </si>
  <si>
    <t>Скраб WW435343
Тон WW435374</t>
  </si>
  <si>
    <t>г. Уфа, ул. Бакалинская 19</t>
  </si>
  <si>
    <t>mili.lalalyan</t>
  </si>
  <si>
    <t>https://www.instagram.com/mili_lalayan?igsh=d2oybW5xdnkzcGds</t>
  </si>
  <si>
    <t>Рилс</t>
  </si>
  <si>
    <t>Бартер</t>
  </si>
  <si>
    <t>Скраб: WW435345
Тон: WW435376</t>
  </si>
  <si>
    <t>г. Таганрог , переулок Вечность 43</t>
  </si>
  <si>
    <t>Sahakyan_narina</t>
  </si>
  <si>
    <t>https://www.instagram.com/sahakyan_narina?igsh=MTUyZm84NDBpMG11aA==</t>
  </si>
  <si>
    <t>г. Краснодар, садовое товарищество Заводское, Цветочная ул. 1</t>
  </si>
  <si>
    <t>Ann_shatilova</t>
  </si>
  <si>
    <t>https://www.instagram.com/ann_shatilova?igsh=MTB4d2owZmhpN3Y2cw==</t>
  </si>
  <si>
    <t>2000 + бартер</t>
  </si>
  <si>
    <t>Скраб: WW435348; Тон: WW435378</t>
  </si>
  <si>
    <t>Иркутск, Улица Красных Мадьяр 25</t>
  </si>
  <si>
    <t>sokol_ugc</t>
  </si>
  <si>
    <t>https://www.instagram.com/sokol_ugc?igsh=MTNzemozNWwxY2dlNA==</t>
  </si>
  <si>
    <t>Рилс или пост</t>
  </si>
  <si>
    <t>Томск, Береговая Улица 17</t>
  </si>
  <si>
    <t>ulyanova_ann</t>
  </si>
  <si>
    <t>https://www.instagram.com/ulyanova_ann?igsh=NW9haGZkeHZzZHVt</t>
  </si>
  <si>
    <t>г. Саратов, Одесская 11а</t>
  </si>
  <si>
    <t>t.laikova</t>
  </si>
  <si>
    <t>https://www.instagram.com/t.laikova?igsh=aHJrOWJkdDBwNmJq</t>
  </si>
  <si>
    <t>3000 + рилс</t>
  </si>
  <si>
    <t>Московская область, Дмитров, Махалина 39</t>
  </si>
  <si>
    <t>nastya_storyblinskaya</t>
  </si>
  <si>
    <t>https://www.instagram.com/nastya_storublinskaya?igsh=MXNoY3p3ZW84amprbA==</t>
  </si>
  <si>
    <t>г. Вологда, Ленинградская 146</t>
  </si>
  <si>
    <t>Формат (пост с видео / фото)</t>
  </si>
  <si>
    <t xml:space="preserve">Анастасия Романова </t>
  </si>
  <si>
    <t>https://t.me/romanovapechataet</t>
  </si>
  <si>
    <t>Скраб WW435332	; Тон WW435361</t>
  </si>
  <si>
    <t>14 скраб, 11 тон</t>
  </si>
  <si>
    <t>Лучезарная муза</t>
  </si>
  <si>
    <t>https://t.me/beautyluch</t>
  </si>
  <si>
    <t>Скраб WW435330	; Тон WW435359</t>
  </si>
  <si>
    <t>5 скраб, 14 тон</t>
  </si>
  <si>
    <t>Дневник Яны</t>
  </si>
  <si>
    <t>https://t.me/yana_budni1</t>
  </si>
  <si>
    <t>Скраб WW435335	; Тон WW435366</t>
  </si>
  <si>
    <t>4 скраб, 4 тон</t>
  </si>
  <si>
    <t>Janezett</t>
  </si>
  <si>
    <t>https://t.me/janezett</t>
  </si>
  <si>
    <t xml:space="preserve">Скраб WW435336	; Тон WW435367
</t>
  </si>
  <si>
    <t>10 скраб, 25 тон</t>
  </si>
  <si>
    <t>Incrediblance</t>
  </si>
  <si>
    <t>https://t.me/incredibleane</t>
  </si>
  <si>
    <t>Скраб WW435338; Тон WW435369</t>
  </si>
  <si>
    <t>6 скраб, 7 тон</t>
  </si>
  <si>
    <t>Название канала</t>
  </si>
  <si>
    <t>Ссылка</t>
  </si>
  <si>
    <t>Количество подписчиков</t>
  </si>
  <si>
    <t xml:space="preserve">Проверка на накрутку </t>
  </si>
  <si>
    <t>Статус</t>
  </si>
  <si>
    <t>Количество дней/часов публикации</t>
  </si>
  <si>
    <t>Стоимость</t>
  </si>
  <si>
    <t>Месяц: МАЙ</t>
  </si>
  <si>
    <t>Сумма рекламной закупки за месяц</t>
  </si>
  <si>
    <t>МАША РАССКАЖЕТ</t>
  </si>
  <si>
    <t>https://t.me/gogolmarie</t>
  </si>
  <si>
    <t>Фотопост 70.000 рублей 
Видеопост 100.000 рублей 
Ип +10%</t>
  </si>
  <si>
    <t>Количество подписчиков за месяц</t>
  </si>
  <si>
    <t>Музлото</t>
  </si>
  <si>
    <t>https://t.me/muzloto</t>
  </si>
  <si>
    <t>Ср/цена</t>
  </si>
  <si>
    <t>TRENDY BOX</t>
  </si>
  <si>
    <t>https://t.me/trendybox_ru</t>
  </si>
  <si>
    <t>Бабушка блогерского поведения</t>
  </si>
  <si>
    <t>https://t.me/babulya_sveta</t>
  </si>
  <si>
    <t>Фотопост 21 000р
Видео кружок 21 000р
Видео Пост 28 000р
+5% НДС</t>
  </si>
  <si>
    <t>Косметический маньяк</t>
  </si>
  <si>
    <t>https://t.me/cosmetman_com</t>
  </si>
  <si>
    <t>32.000</t>
  </si>
  <si>
    <t>Романова печатает</t>
  </si>
  <si>
    <t>Разместились</t>
  </si>
  <si>
    <t>Обычно сотрудничаю так: ваш товар который нужно прорекламировать + доплата к посту 2.000₽</t>
  </si>
  <si>
    <t>14 скраб, 10 тон</t>
  </si>
  <si>
    <t>Yulia rise Материнство в кайф</t>
  </si>
  <si>
    <t>https://t.me/rise_yulia</t>
  </si>
  <si>
    <t>Леди гринч</t>
  </si>
  <si>
    <t>https://t.me/lyubofka_33</t>
  </si>
  <si>
    <t xml:space="preserve">фото пост - 8000₽ 
• видео пост -11 000₽ 
+ 50% доплата  если пост с розыгрышем 
(разыгрываем продукцию бренда) 
• Репост - 7000₽ (48 часов) 
+10% налог, при оплате на СЗ. </t>
  </si>
  <si>
    <t xml:space="preserve">Крем от всех проблем </t>
  </si>
  <si>
    <t>https://t.me/knyazeva_kate</t>
  </si>
  <si>
    <t>Теремок</t>
  </si>
  <si>
    <t>https://t.me/MemTeremok</t>
  </si>
  <si>
    <t>Непросто блоггер</t>
  </si>
  <si>
    <t>https://t.me/neprosto_blogger</t>
  </si>
  <si>
    <t>Переговоры</t>
  </si>
  <si>
    <t>Телеграм: фото/пост сутки : 9000₽, 48 часов 15000, месяц 25000₽
Видео/пост сутки: 15000₽, 48 часов 19000₽, месяц 32000₽ 
Налог СЗ + 9%</t>
  </si>
  <si>
    <t xml:space="preserve">Обзоры классных мест и не только </t>
  </si>
  <si>
    <t>https://t.me/petitekatii</t>
  </si>
  <si>
    <t xml:space="preserve">Переговоры </t>
  </si>
  <si>
    <t>10.000</t>
  </si>
  <si>
    <t>Marrusia</t>
  </si>
  <si>
    <t>https://t.me/tmarrusia</t>
  </si>
  <si>
    <t>Про еду, сериалы и кино</t>
  </si>
  <si>
    <t>https://t.me/nastiasmiirnovaaa</t>
  </si>
  <si>
    <t>фотопост 17к
видеопост 25к
ИП +10%</t>
  </si>
  <si>
    <t xml:space="preserve">Разместились </t>
  </si>
  <si>
    <t>1500 пост с фото. Пост с видео 2000</t>
  </si>
  <si>
    <t>Life with EL</t>
  </si>
  <si>
    <t>https://t.me/lifewithEL</t>
  </si>
  <si>
    <t>Стоимость поста 1/24 - 19.000₽
* при оплате на ООО +8%</t>
  </si>
  <si>
    <t>Сияй, Эля, сияй</t>
  </si>
  <si>
    <t>https://t.me/gloweblow</t>
  </si>
  <si>
    <t>Ди про бьюти</t>
  </si>
  <si>
    <t>https://t.me/margaryandimusic</t>
  </si>
  <si>
    <t>by TAISIYA</t>
  </si>
  <si>
    <t>https://t.me/byTAISIYA</t>
  </si>
  <si>
    <t>Belenkova</t>
  </si>
  <si>
    <t>https://t.me/BelenkoNa</t>
  </si>
  <si>
    <t>9.000₽</t>
  </si>
  <si>
    <t xml:space="preserve">Лучезарная муза </t>
  </si>
  <si>
    <t>фото-пост - 2000₽
•видео-пост - 3000₽
+50% доплата если пост с розыгрышем. 
•репост розыгрыша  - 2000₽ ( срок уточняем)</t>
  </si>
  <si>
    <t>5 скраб, 5 тон</t>
  </si>
  <si>
    <t>Беррингтон</t>
  </si>
  <si>
    <t>https://t.me/diberri</t>
  </si>
  <si>
    <t xml:space="preserve">
💬 https://t.me/diberri
Пост 24 часа : 3.600₽
Пост 78 часов : 4.180₽
Пост 72 часа: 4.770₽
Пост на 7 дней : 5.300₽
Пост на 1 месяц : 7.420₽  
Так же знакомлю вас с другими площадками блогера 🫶🏻⬇️
📱https://www.instagram.com/berrrington
Рилс : 5.000₽
📱https://www.tiktok.com/@berrrington
12.700₽
📺https://youtube.com/@berrrington
15.900₽
📱 https://vk.com/berrr1ngton
10.600₽
•Комбо тт + ютуб : 23.200₽
•Комбо тт + ютуб + тг : 26.500₽</t>
  </si>
  <si>
    <t>Парфюмерная вписка</t>
  </si>
  <si>
    <t>https://t.me/parfvpiska</t>
  </si>
  <si>
    <t>Если косметика качественная, есть вариант работать по бартеру. Ориентир: продукция на 2-3 тысячи в обмен на пост. 
Или 1000 руб за пост, если не бартер</t>
  </si>
  <si>
    <t>Культ сияния</t>
  </si>
  <si>
    <t>https://t.me/lynarialskin</t>
  </si>
  <si>
    <t>???</t>
  </si>
  <si>
    <t>Согласна на бартер</t>
  </si>
  <si>
    <t>Иришкина радость</t>
  </si>
  <si>
    <t>https://t.me/irrrrrrrishkatyt</t>
  </si>
  <si>
    <t xml:space="preserve">Неактуально </t>
  </si>
  <si>
    <t>Позовите консультанта</t>
  </si>
  <si>
    <t>https://t.me/consapls</t>
  </si>
  <si>
    <t>Бьюти магия</t>
  </si>
  <si>
    <t>https://t.me/beauty_magiya</t>
  </si>
  <si>
    <t>•фото-пост - 9000₽
•видео-пост - 12 000₽
•совместный розыгрыш в формате фото-поста - 13 500₽
•совместный розыгрыш в формате видео-поста - 18 000₽
•репост вашего розыгрыша + комментарий от блогера - 12 000₽
+10% налог при оплате на СЗ.</t>
  </si>
  <si>
    <t>Бьютифак</t>
  </si>
  <si>
    <t>https://t.me/beautyfuck</t>
  </si>
  <si>
    <t xml:space="preserve">Отказ </t>
  </si>
  <si>
    <t>Отказ</t>
  </si>
  <si>
    <t>By Sabina</t>
  </si>
  <si>
    <t>https://t.me/sabimissss</t>
  </si>
  <si>
    <t>•фото-пост - 3000₽
•видео-пост - 4500₽
+50% к стоимости поста, если он с розыгрышем.
•репост розыгрыша - 2000₽ (срок уточняем) 
+10% налога при оплате на СЗ.</t>
  </si>
  <si>
    <t>Мисс марго</t>
  </si>
  <si>
    <t>https://t.me/missmargori</t>
  </si>
  <si>
    <t>•фото-пост - 4000₽
•видео-пост - 5500₽
+50% доплата если пост с розыгрышем. 
+10% налог при оплате на СЗ</t>
  </si>
  <si>
    <t>О косметике</t>
  </si>
  <si>
    <t>https://t.me/moonstonealbina</t>
  </si>
  <si>
    <t xml:space="preserve">🔴фото пост - 4500₽ 
🔴видео пост - 6500₽ 
🔴+50% к стоимости поста, если он с розыгрышем. 
🔴репост розыгрыша - 4000₽ 
🔴макет - 3200₽ (24 часа)
🔴макет - 4400₽ (48 часов)
🔴репост поста - 2500₽ от 24ч до недели 
🔴репост розыгрыша - 3500₽ (24 часа)
🔴репост розыгрыша - 4500₽ (48 часов)
🔴Дальше +1500 в сутки (кол-во дней неограниченно)
</t>
  </si>
  <si>
    <t>Семья на первом месте</t>
  </si>
  <si>
    <t>https://t.me/family_first_love</t>
  </si>
  <si>
    <t>🔴фото пост - 4500₽ 
🔴видео пост - 6500₽ 
🔴+50% к стоимости поста, если он с розыгрышем. 
🔴репост розыгрыша - 4000₽ 
+10% налога при оплате на СЗ.</t>
  </si>
  <si>
    <t>By Daria K</t>
  </si>
  <si>
    <t>https://t.me/withlovebydariak</t>
  </si>
  <si>
    <t>•ваш макет на 72 часа - 2500₽
•фото-пост - 5000₽ (срок 1-3 месяца)
•видео-пост - 8000₽ (срок 1-3 месяца)
•совместный розыгрыш в формате фото-поста - 7500₽
•совместный розыгрыш в формате видео-поста - 12 000₽
•репост вашего розыгрыша + комментарий от блогера на неделю - 4000₽
+10% налог при оплате на СЗ.</t>
  </si>
  <si>
    <t>vorontsovanicole</t>
  </si>
  <si>
    <t>https://t.me/vorontsovanicolee</t>
  </si>
  <si>
    <t>Пост в тг 2000₽</t>
  </si>
  <si>
    <t>olyalunova1</t>
  </si>
  <si>
    <t>https://t.me/olyaulanova1</t>
  </si>
  <si>
    <t>7.000</t>
  </si>
  <si>
    <t>Janezett_</t>
  </si>
  <si>
    <t>juliapogaa</t>
  </si>
  <si>
    <t>https://t.me/juliapogaa</t>
  </si>
  <si>
    <t>GRETS ANNA</t>
  </si>
  <si>
    <t>https://t.me/gertsannaa</t>
  </si>
  <si>
    <t>Ally</t>
  </si>
  <si>
    <t>https://t.me/by_ally</t>
  </si>
  <si>
    <t>Пост 3000, видео пост 5000</t>
  </si>
  <si>
    <t>https://t.me/tavlove</t>
  </si>
  <si>
    <t>moqqon</t>
  </si>
  <si>
    <t>https://t.me/moqqon</t>
  </si>
  <si>
    <t>Ole_son</t>
  </si>
  <si>
    <t>https://t.me/Ole_sonnn</t>
  </si>
  <si>
    <t>2500 на 48ч</t>
  </si>
  <si>
    <t>incredibleane</t>
  </si>
  <si>
    <t>Хотим разместиться</t>
  </si>
  <si>
    <t>1300 пост для брендов</t>
  </si>
  <si>
    <t>Дневник клубники</t>
  </si>
  <si>
    <t>https://t.me/klubnikadnevnik</t>
  </si>
  <si>
    <t>Пост в ленту с закрепом на сутки , в топе 5 часов 2000р 
( в ленте навсегда)</t>
  </si>
  <si>
    <t xml:space="preserve"> Voksa mama</t>
  </si>
  <si>
    <t>https://t.me/voksaaa</t>
  </si>
  <si>
    <t>— Прайс 🌸
Работаю по бартеру - вы мне товар посылаете, договариваемая о выходе в ТГ и MAX. Так же работаю по коммерции. 
Выход поста/рекомендации на канале ТГ — 1400 (держу в топе 6 часов) выбираем самые ближние даты. 
+ делаю в MAX.</t>
  </si>
  <si>
    <t>Название аккаунта</t>
  </si>
  <si>
    <t>Просмотры</t>
  </si>
  <si>
    <t>Елена ромашина</t>
  </si>
  <si>
    <t>https://www.instagram.com/elenaromashinaa?igsh=MXg2dmV0ZWpsZm1taA==</t>
  </si>
  <si>
    <t>Катя мотовилова</t>
  </si>
  <si>
    <t>https://www.instagram.com/kate_motovilova?igsh=NjhldHF3OGZkOGww</t>
  </si>
  <si>
    <t>Гульнара</t>
  </si>
  <si>
    <t>https://www.instagram.com/gi.ibra?igsh=MWljY3pzeHpyd21tdQ==</t>
  </si>
  <si>
    <t>Форматы размещения: рилс (нативный 7.000₽/продуктовый по тз 8.500₽) охваты от 10.000, при недоброе доп отметка ✅</t>
  </si>
  <si>
    <t>Валерия цвик</t>
  </si>
  <si>
    <t>https://www.instagram.com/_tsvik_v?igsh=YnhnZm9ubmR2MGVy</t>
  </si>
  <si>
    <t>Аня Ивашина</t>
  </si>
  <si>
    <t>https://www.instagram.com/iwwashina?igsh=MTQ5N2lxb2hjeHoyNA==</t>
  </si>
  <si>
    <t>Юлия Надрова</t>
  </si>
  <si>
    <t>https://www.instagram.com/yuliyanadrova?igsh=eDY4dDU0ZXJsZW02</t>
  </si>
  <si>
    <t>1 рилс 4000₽
Если нужно отдать файлом, +1000₽🩷</t>
  </si>
  <si>
    <t>Vorontsovanicole</t>
  </si>
  <si>
    <t>https://www.instagram.com/vorontsovanicole?igsh=MTNsa2R2cjVnaGc5Nw==</t>
  </si>
  <si>
    <t>Интеграция рилс 3500</t>
  </si>
  <si>
    <t>aleksaneeks</t>
  </si>
  <si>
    <t>https://www.instagram.com/aleksanees?igsh=MWRuOWdwc3ZrZjBveQ==</t>
  </si>
  <si>
    <t>Shenchenko_y</t>
  </si>
  <si>
    <t>https://www.instagram.com/shevchenko__y?igsh=MW9qdDBxMWVxOW5nNQ==</t>
  </si>
  <si>
    <t>Стоимость одного ролика 4.000₽ ( рилс + сторис ) более одного, обсуждаем индивидуально</t>
  </si>
  <si>
    <t>Kateeina_pronina</t>
  </si>
  <si>
    <t>https://www.instagram.com/katerina.proninaa?igsh=enJxaXJoejZxazB3</t>
  </si>
  <si>
    <t>Iraida go</t>
  </si>
  <si>
    <t>https://www.instagram.com/iraida.go?igsh=OGc5a3Q1bXVpZG0=</t>
  </si>
  <si>
    <t>Рилс - товар + 5000р 
Если берёте от 3 то скидка 3500 за рилс.</t>
  </si>
  <si>
    <t>muakossta</t>
  </si>
  <si>
    <t>https://www.instagram.com/muakossta?igsh=MW4yZDdwMTgwbnF4cA==</t>
  </si>
  <si>
    <t>blondvvv</t>
  </si>
  <si>
    <t>https://www.instagram.com/blondvvvv?igsh=a2J0bzBocWM3NnBx</t>
  </si>
  <si>
    <t>Бартер отказ</t>
  </si>
  <si>
    <t>cremsup</t>
  </si>
  <si>
    <t>https://www.instagram.com/cremsup?igsh=Zjlxcnk3NTRub2Zl</t>
  </si>
  <si>
    <t>saaavushkina</t>
  </si>
  <si>
    <t>https://www.instagram.com/saaavushkina_?igsh=MWczbmI1ZTA2cG1yNg==</t>
  </si>
  <si>
    <t xml:space="preserve">Отказ - не актуально </t>
  </si>
  <si>
    <t>diana mg</t>
  </si>
  <si>
    <t>https://www.instagram.com/diaanaa_mg?igsh=MTQ3djFhNzdoeXJrdQ==</t>
  </si>
  <si>
    <t>e kurkuzova</t>
  </si>
  <si>
    <t>https://www.instagram.com/e_kurguzovaaa?igsh=Ym9hZ3FjeXZvejE4</t>
  </si>
  <si>
    <t>kosmo lola</t>
  </si>
  <si>
    <t>https://www.instagram.com/kosmo_lola?igsh=MWlyOGVtMzhzNGR5bA==</t>
  </si>
  <si>
    <t>pro makeup mila</t>
  </si>
  <si>
    <t>https://www.instagram.com/pro_makeup_mila?igsh=YXQ2NzdkZzR3ajZ5</t>
  </si>
  <si>
    <t>Молчит</t>
  </si>
  <si>
    <t>Orlova_jenya</t>
  </si>
  <si>
    <t>https://www.instagram.com/orlova.jenya?igsh=NXdlaHBpcmYxMnN6</t>
  </si>
  <si>
    <t>daryalolenko</t>
  </si>
  <si>
    <t>https://www.instagram.com/daryalolenko?igsh=ODU0M3FiOXF2anJq</t>
  </si>
  <si>
    <t>k_krasote</t>
  </si>
  <si>
    <t>https://www.instagram.com/k_krasote_?igsh=MXEyNGs2ZWN5MzBqYQ==</t>
  </si>
  <si>
    <t>Бартер + доплата за Сторис и рилс 3.000 руб</t>
  </si>
  <si>
    <t>d_dasha</t>
  </si>
  <si>
    <t>https://www.instagram.com/d_ddasha?igsh=N3J5bXNnczZzY2tu</t>
  </si>
  <si>
    <t>perfiiileva</t>
  </si>
  <si>
    <t>https://www.instagram.com/perfiilevaa?igsh=cmVvNmIwazZ1OXNj</t>
  </si>
  <si>
    <t>marjan_kaltay</t>
  </si>
  <si>
    <t>https://www.instagram.com/marzhan_kaltay?igsh=eDRya2VrYm81eDls</t>
  </si>
  <si>
    <t>1 рилс 25.000тг</t>
  </si>
  <si>
    <t>svetlanakokosyan</t>
  </si>
  <si>
    <t>https://www.instagram.com/svetlanakakosyan?igsh=czRuZ2d1Nmpqd2g4</t>
  </si>
  <si>
    <t>saintariana</t>
  </si>
  <si>
    <t>https://www.instagram.com/saintaruana?igsh=NG43b2t5M2owZmJp</t>
  </si>
  <si>
    <t xml:space="preserve">• 1 Reels — 40 000 тг
• 3 Stories — 25 000 тг
• 1 пост — 30 000 тг
</t>
  </si>
  <si>
    <t>katiiroiid</t>
  </si>
  <si>
    <t>https://www.instagram.com/katiiroiid?igsh=MWlwaTBlY3Fxb2RzZQ==</t>
  </si>
  <si>
    <t>goryachevaone</t>
  </si>
  <si>
    <t>https://www.instagram.com/goryachevaone?igsh=MTdrYXE0bnR3M3Fseg==</t>
  </si>
  <si>
    <t>ozeryanix</t>
  </si>
  <si>
    <t>https://www.instagram.com/ozeryanix.ph?igsh=cjVpanc1N3E3djI=</t>
  </si>
  <si>
    <t>один рекламный ролик моего формата - 2.500 
С вашим ТЗ - 3.500
Серия из 2-3 сторис - 1.000</t>
  </si>
  <si>
    <t>sssofisha</t>
  </si>
  <si>
    <t>https://www.instagram.com/sssofisha?igsh=MW82Y2Q3YXYwazljbQ==</t>
  </si>
  <si>
    <t>heylizzabet</t>
  </si>
  <si>
    <t>https://www.instagram.com/heylizabett?igsh=MTB3Mm1yMDc5ZzBjag==</t>
  </si>
  <si>
    <t>varfolomeeva</t>
  </si>
  <si>
    <t>https://www.instagram.com/vvarfolomeeva?igsh=MXhvbmxnNWswOG9vZQ==</t>
  </si>
  <si>
    <t>Катерина пронина</t>
  </si>
  <si>
    <t>Катерина олеговна</t>
  </si>
  <si>
    <t>https://www.instagram.com/_ekaterinaolegovna?igsh=MXF0N2VpZHM0MHoy</t>
  </si>
  <si>
    <t>chmkv</t>
  </si>
  <si>
    <t>https://www.instagram.com/chmkv?igsh=NGh1enV1YTV0dDJh</t>
  </si>
  <si>
    <t>3000 сторис, 2000 пост</t>
  </si>
  <si>
    <t>krugovaya_nastya</t>
  </si>
  <si>
    <t>https://www.instagram.com/krugovaya_nastya?igsh=MXB0aDBhOTlsY210MQ==</t>
  </si>
  <si>
    <t>16.200</t>
  </si>
  <si>
    <t>Обзор stories — 8000₽
Stories + пост или reels — 12 000₽
Ugs контент для вас без рекламы — от 3000₽</t>
  </si>
  <si>
    <t>vronaai</t>
  </si>
  <si>
    <t>https://www.instagram.com/vronaai?igsh=ZWhycWYwbXVocDlr</t>
  </si>
  <si>
    <t>— 4 сторис — 1000 ₽
— рилс — 1500₽
— рилс + сторис 2200 ₽
— рилс + сторис + диск с исходниками моих материалов — 2500₽, просто пост в инст 3.000</t>
  </si>
  <si>
    <t>asia.anima</t>
  </si>
  <si>
    <t>https://www.instagram.com/asia.anima?igsh=Y2JnaGxoNWt4N2hr</t>
  </si>
  <si>
    <t>🌸stories от 2500₽
🌸reels 5000 ₽
🌸комбо: stories + reels от 6500₽
🌸фото-пост в инсте 5500₽
🌸пост в телеграмме 2000₽
🌸шортс в ютуб 3000₽</t>
  </si>
  <si>
    <t>43 скраб, 78 тон</t>
  </si>
  <si>
    <t>2 скраб, 4 тон</t>
  </si>
  <si>
    <t>ksu_sfx</t>
  </si>
  <si>
    <t>https://www.instagram.com/ksu_sfx?igsh=MTI2eDVnN2drb2hzcw==</t>
  </si>
  <si>
    <t>Стоимость публикаций в соц.сетях:
От 7.000₽ публикация
Дублирование:
От 13.000₽ 
Креативный формат видео (грим/перевоплощение) от 20.000₽
Если ролики формата UGC (без публикации в моем профиле) цена от 3.000₽/ролик
Предметная съемка видео от 10.000₽/ролик до 20 секунд</t>
  </si>
  <si>
    <t>kristina_one</t>
  </si>
  <si>
    <t>https://www.instagram.com/kristina_one?igsh=MTJ6a2txbjh1c21nNw==</t>
  </si>
  <si>
    <t>Условия работы ⬇️
Бартерная основа:
Рилс - цена продукта не ниже 3.000 рублей (если цена низкая, то оплата рилс в размере 3.000, также возможность оплатить разницу в деньгах) - ориентируюсь на продукт, все подряд не беру 
+ сторис 3/4 штуки доплата 1000 (получается Рилс+сторис) 
Платная основа - рилс  - 5.000 рублей (с возвратом товара вам)
UGC от 2500-3000 за ролик зависит от формата</t>
  </si>
  <si>
    <t>zu_gerieva</t>
  </si>
  <si>
    <t>https://www.instagram.com/zu_gerieva?igsh=ZTRsdTZ6bjN6Zzk1</t>
  </si>
  <si>
    <t>Переговоры на бартер</t>
  </si>
  <si>
    <t>kaniiess</t>
  </si>
  <si>
    <t>https://www.instagram.com/kaniiess?igsh=MTFxZDNwbWhjZjI5NQ==</t>
  </si>
  <si>
    <t xml:space="preserve">Под вопросом </t>
  </si>
  <si>
    <t>2.000 пост, 4.000 разговорный рилс</t>
  </si>
  <si>
    <t xml:space="preserve">Хотим разместиться </t>
  </si>
  <si>
    <t>Ролик 1.000, пост 2.000</t>
  </si>
  <si>
    <t>sasha.sova</t>
  </si>
  <si>
    <t>https://www.instagram.com/sasha.sova?igsh=ODk4NWFqYmw1NHBq</t>
  </si>
  <si>
    <t>Рилс/пост и сторис 6000</t>
  </si>
  <si>
    <t>golikova_sasha</t>
  </si>
  <si>
    <t>https://www.instagram.com/golikova_sasha?igsh=bWJyaG91emNvZHNp</t>
  </si>
  <si>
    <t>12.200</t>
  </si>
  <si>
    <t>Условия: товар на рекламу+ оплата рекламы 
2-3 Сторис -2000₽
Рекламный рилс -5000₽
Рилс +2 сторис - 6000₽</t>
  </si>
  <si>
    <t>ilovekatya</t>
  </si>
  <si>
    <t>https://www.instagram.com/ilovekatyaa?igsh=Z2pkbTR2czRyZW00</t>
  </si>
  <si>
    <t>UGC ролик с размещением у себя в блоге - 3.000₽
UGC с полной отдачей прав на контент для соц сетей бренда - 4.500₽
Пост с подборкой - 1.500₽</t>
  </si>
  <si>
    <t>ireneussz</t>
  </si>
  <si>
    <t>https://www.instagram.com/ireneussz?igsh=dW8xM3JsYjRrd2Z1</t>
  </si>
  <si>
    <t>juliya_andreeva</t>
  </si>
  <si>
    <t>https://www.instagram.com/juliya__andreeva?igsh=MXduZnMyOXJ3cTc5bA==</t>
  </si>
  <si>
    <t>Рилс 1500, пост 2000</t>
  </si>
  <si>
    <t>kreyda_wb</t>
  </si>
  <si>
    <t>https://www.instagram.com/kreyda_wb?igsh=MTluMmJrbXA1YzJjOQ==</t>
  </si>
  <si>
    <t>Пост подборка 2500, 4000 рилс</t>
  </si>
  <si>
    <t>anastasiya_vilchanskaya</t>
  </si>
  <si>
    <t>https://www.instagram.com/anastasiya_volchanskaya?igsh=YXhiYnlkMGhua2U0</t>
  </si>
  <si>
    <t>Рилс 3500
Сторис 800
Рилс + сторис 4000, пост + сторис 2500</t>
  </si>
  <si>
    <t>sahakyan_narina</t>
  </si>
  <si>
    <t>Nadi.wish</t>
  </si>
  <si>
    <t>Рилс 2500, пост 2000</t>
  </si>
  <si>
    <t>Пост + сторис 2500 (с налогом 2750)</t>
  </si>
  <si>
    <t>novikova_mk</t>
  </si>
  <si>
    <t>https://www.instagram.com/novikova__mk?igsh=MTF0NDg0eWt6a2ZlZQ==</t>
  </si>
  <si>
    <t>Ссылка на конкурента</t>
  </si>
  <si>
    <t>Название</t>
  </si>
  <si>
    <t>Каналы, в которых было размещение</t>
  </si>
  <si>
    <t>Ссылка на пост (если есть)</t>
  </si>
  <si>
    <t>https://t.me/cream_shop</t>
  </si>
  <si>
    <t>cream_shop</t>
  </si>
  <si>
    <t>https://t.me/muzloto/1163</t>
  </si>
  <si>
    <t>https://t.me/trendybox_ru/5601</t>
  </si>
  <si>
    <t>https://t.me/babulya_sveta/883</t>
  </si>
  <si>
    <t>https://t.me/cosmetman_com/8847</t>
  </si>
  <si>
    <t>https://t.me/romanovapechataet/806</t>
  </si>
  <si>
    <t>https://t.me/rise_yulia/1366</t>
  </si>
  <si>
    <t>https://t.me/lyubofka_33/8530</t>
  </si>
  <si>
    <t>https://t.me/knyazeva_kate/9116</t>
  </si>
  <si>
    <t>https://t.me/MemTeremok/1418</t>
  </si>
  <si>
    <t>https://t.me/neprosto_blogger/2661</t>
  </si>
  <si>
    <t>https://t.me/petitekatii/126</t>
  </si>
  <si>
    <t>https://t.me/tmarrusia/850</t>
  </si>
  <si>
    <t>https://t.me/nastiasmiirnovaaa/221</t>
  </si>
  <si>
    <t>https://t.me/yana_budni1/2787</t>
  </si>
  <si>
    <t>https://t.me/lifewithEL/16374</t>
  </si>
  <si>
    <t>https://t.me/farmstay_ru</t>
  </si>
  <si>
    <t>farmstay</t>
  </si>
  <si>
    <t>https://t.me/gloweblow/2652</t>
  </si>
  <si>
    <t>https://t.me/aloesmart_official</t>
  </si>
  <si>
    <t>Aloesmart</t>
  </si>
  <si>
    <t>https://t.me/margaryandimusic/2914</t>
  </si>
  <si>
    <t>https://ozon.ru/s/d-alba-russia</t>
  </si>
  <si>
    <t>d'Alba</t>
  </si>
  <si>
    <t>https://t.me/gogolmarie/7097</t>
  </si>
  <si>
    <t>https://goldapple.ru/70063200001-total-repair-balm</t>
  </si>
  <si>
    <t>SHIK Studio</t>
  </si>
  <si>
    <t>https://t.me/gogolmarie/7042</t>
  </si>
  <si>
    <t>https://3723247.redirect.appmetrica.yandex.com/showProduct?productCode=dr-jart-power-derma-barrier-cream&amp;appmetrica_tracking_id=101276730056016451&amp;referrer=reattribution%3D1&amp;id=dr-jart-power-derma-barrier-cream&amp;utm_source=rgblogger&amp;utm_medium=dr-jart&amp;utm_campaign=byTAISIYA&amp;utm_content=apr26</t>
  </si>
  <si>
    <t>Рив Гош</t>
  </si>
  <si>
    <t>https://t.me/byTAISIYA/6535</t>
  </si>
  <si>
    <t>https://clck.ru/3TaKFX</t>
  </si>
  <si>
    <t>Holly shop</t>
  </si>
  <si>
    <t>https://t.me/kate_motovilovaa</t>
  </si>
  <si>
    <t>https://t.me/kate_motovilovaa/3076</t>
  </si>
  <si>
    <t>https://t.me/hollyshop_ru</t>
  </si>
  <si>
    <t>https://t.me/BelenkoNa/3974</t>
  </si>
  <si>
    <t>https://t.me/beautypolyubvi</t>
  </si>
  <si>
    <t>https://t.me/beautypolyubvi/17610</t>
  </si>
  <si>
    <t>https://t.me/beautyluch/5021</t>
  </si>
  <si>
    <t>https://t.me/diberri/2240</t>
  </si>
  <si>
    <t>https://t.me/parfvpiska/2497</t>
  </si>
  <si>
    <t>https://t.me/lynarialskin/830</t>
  </si>
  <si>
    <t>https://t.me/irrrrrrrishkatyt/2752</t>
  </si>
  <si>
    <t>https://t.me/consapls/853</t>
  </si>
  <si>
    <t>https://t.me/cosrx_russia</t>
  </si>
  <si>
    <t>Cosrx</t>
  </si>
  <si>
    <t>https://t.me/beauty_magiya/1654</t>
  </si>
  <si>
    <t>https://t.me/realbarrier_ru</t>
  </si>
  <si>
    <t>Real Barrier</t>
  </si>
  <si>
    <t>https://t.me/beautyfuck/16601</t>
  </si>
  <si>
    <t>Аккаунты, в которых было размещение</t>
  </si>
  <si>
    <t>https://www.instagram.com/clarinsrussia?igsh=cmV5d3oydDZtOGpt</t>
  </si>
  <si>
    <t>Clarins</t>
  </si>
  <si>
    <t>https://www.instagram.com/reel/DXd3hTGjV1f/?igsh=NHhlb3Q2eXRoOGQ0</t>
  </si>
  <si>
    <t>https://dalbaru.ru</t>
  </si>
  <si>
    <t>https://www.instagram.com/reel/DYMKiSegsdn/?igsh=b3N3bWtqa2V3bm55</t>
  </si>
  <si>
    <t>Mad one</t>
  </si>
  <si>
    <t>https://www.instagram.com/reel/DYFbO4vKHR7/?igsh=MWVmc3NtNDkycGpzaA==</t>
  </si>
  <si>
    <t>https://www.instagram.com/vois_cosmetics?igsh=MTB5aGZicXZweXltZA==</t>
  </si>
  <si>
    <t>Vois cosmetics</t>
  </si>
  <si>
    <t>https://www.instagram.com/p/DHJNw-roe-f/?igsh=bWU0Z2lzajR5anpu</t>
  </si>
  <si>
    <t>Pusy, estrada</t>
  </si>
  <si>
    <t>https://www.instagram.com/reel/DYH7-zLRA36/?igsh=MXhxZ2psMmFmMnZ2bA==</t>
  </si>
  <si>
    <t>Pusy</t>
  </si>
  <si>
    <t>https://www.instagram.com/reel/DYPO4IoIOR0/?igsh=MWJidm4zc2dndXV1ZQ==</t>
  </si>
  <si>
    <t>https://www.instagram.com/reel/DYSNCtYNidI/?igsh=MWM1NTFmcWEwbGE5cg==</t>
  </si>
  <si>
    <t>Ma:nuo</t>
  </si>
  <si>
    <t>https://www.instagram.com/reel/DYExSK_hCY7/?igsh=aTE2OWo1d20wNjVt</t>
  </si>
  <si>
    <t>https://www.instagram.com/vtcosmetics_cis?igsh=MXRib216Y3l4eXRzeQ==</t>
  </si>
  <si>
    <t>Pusy, vtcosmetics, rare beauty …</t>
  </si>
  <si>
    <t>https://www.instagram.com/reel/DYRvxabCexw/?igsh=MTJtMmc1aXJ4NTBleg==</t>
  </si>
  <si>
    <t>Shik, essence, rarebeauty..</t>
  </si>
  <si>
    <t>https://www.instagram.com/reel/DX6b7zRIWRf/?igsh=NHptdzhpY29maWI4</t>
  </si>
  <si>
    <t>Celimax</t>
  </si>
  <si>
    <t>Elian, moda pop и тд</t>
  </si>
  <si>
    <t>https://www.instagram.com/reel/DYHh_E5sOKM/?igsh=MTQzcTM2YjVtYnJoeg==</t>
  </si>
  <si>
    <t>https://www.instagram.com/flowerknows_global?igsh=cHZiOGI5cW03YXRr</t>
  </si>
  <si>
    <t>Flowerknowsglobal</t>
  </si>
  <si>
    <t>https://www.instagram.com/reel/DYNhovlhnNV/?igsh=MTdwdHRid2xweXFuZw==</t>
  </si>
  <si>
    <t>https://www.instagram.com/reel/DYSFoQYMtil/?igsh=MWN4bzk2aXlwbDc3eQ==</t>
  </si>
  <si>
    <t>https://www.instagram.com/p/DYSA5hdFySv/?igsh=MTRmYm0zbXEyMDNueg==</t>
  </si>
  <si>
    <t>https://www.instagram.com/p/DYR7CgNDMw7/?igsh=cnpxeHgyM3A1YzQ4</t>
  </si>
  <si>
    <t>https://www.instagram.com/p/DYRzKXwiJBV/?img_index=6&amp;igsh=MW9iY3d2eDR5NWd1bw==</t>
  </si>
  <si>
    <t>https://www.instagram.com/p/DYRvfHiFLd4/?img_index=1&amp;igsh=eW9jN3pwcHA3eXA2</t>
  </si>
  <si>
    <t>https://www.instagram.com/reel/DYRpGeqCD7i/?igsh=aGZ2NjNxcHdtN29v</t>
  </si>
  <si>
    <t>https://www.instagram.com/p/DYRPK3BjZCr/?img_index=1&amp;igsh=NHB4YXQwaTJkdGk2</t>
  </si>
  <si>
    <t>https://www.instagram.com/reel/DYRNZGWIqxr/?igsh=Z2pma3hmbzh6ZHNt</t>
  </si>
  <si>
    <t>https://www.instagram.com/reel/DYQBqLLOrV-/?igsh=MTI4enh5MzFoNzQzbw==</t>
  </si>
  <si>
    <t>https://www.instagram.com/pusy.beauty?igsh=MWZidHUwdjd0YWg1MQ==</t>
  </si>
  <si>
    <t>https://www.instagram.com/reel/DX_UbKzoy5t/?igsh=bHEwdTYya3dtYWx5</t>
  </si>
  <si>
    <t>https://www.instagram.com/reel/DX6tdyXqsJu/?igsh=cHFhamZtMm9lOW5o</t>
  </si>
  <si>
    <t>https://www.instagram.com/reel/DXUF8TODCvd/?igsh=ZXEwaTZ2ZXZ1NXM=</t>
  </si>
  <si>
    <t>https://www.instagram.com/reel/DXEj9FfjQKG/?igsh=ajkxbWQzYWdidXJ2</t>
  </si>
  <si>
    <t>Centella</t>
  </si>
  <si>
    <t>https://www.instagram.com/reel/DYCIUIRgUjy/?igsh=MWZ4eW82OGZkd3V1Zw==</t>
  </si>
  <si>
    <t>https://www.instagram.com/celimax.cis?igsh=bDF0ZnZwa3Brejc4</t>
  </si>
  <si>
    <t>https://www.instagram.com/reel/DVBRbm9kgPG/?igsh=bDAxeWZxdG50YnQ=</t>
  </si>
  <si>
    <t>https://www.instagram.com/charismo_journal.ru?igsh=Mmo1NGZqbDZ4bmty</t>
  </si>
  <si>
    <t>Charismo</t>
  </si>
  <si>
    <t>https://www.instagram.com/reel/DYPWS5OtPgl/?igsh=cGdkcTBsbmJ2YW9l</t>
  </si>
  <si>
    <t>Бренды с ЗЯ</t>
  </si>
  <si>
    <t>https://www.instagram.com/reel/DYMO4edMbDi/?igsh=MWQ0YnQ2bWZzcjdndg==</t>
  </si>
  <si>
    <t>https://www.instagram.com/p/DXNH6tzgj9l/?igsh=M2ptMWw5N3VydTd1</t>
  </si>
  <si>
    <t>https://www.instagram.com/reel/DYSGJsDMI8s/?igsh=MXFtZGkwNGY1dmgxag==</t>
  </si>
  <si>
    <t>https://www.instagram.com/reel/DYNKz2AoNyG/?igsh=MWUyYWgxcDJiYThqbA==</t>
  </si>
  <si>
    <t>https://www.instagram.com/reel/DYRo5R2IYHc/?igsh=MXVnOWtkdmhrODZ2</t>
  </si>
  <si>
    <t>https://www.instagram.com/reel/DYPsCDOsWp4/?igsh=b2t1OWxzZ3RqOGdn</t>
  </si>
  <si>
    <t xml:space="preserve">Блогеры </t>
  </si>
  <si>
    <t>Арт.скраб</t>
  </si>
  <si>
    <t>Арт.тон</t>
  </si>
  <si>
    <t>Платформа</t>
  </si>
  <si>
    <t>WW435330</t>
  </si>
  <si>
    <t>WW435359</t>
  </si>
  <si>
    <t>Тг</t>
  </si>
  <si>
    <t>WW435332</t>
  </si>
  <si>
    <t>WW435361</t>
  </si>
  <si>
    <t>WW435334</t>
  </si>
  <si>
    <t>WW435364</t>
  </si>
  <si>
    <t>Инст</t>
  </si>
  <si>
    <t>WW435335</t>
  </si>
  <si>
    <t>WW435366</t>
  </si>
  <si>
    <t>WW435336</t>
  </si>
  <si>
    <t>WW435367</t>
  </si>
  <si>
    <t>WW435338</t>
  </si>
  <si>
    <t>WW435369</t>
  </si>
  <si>
    <t>WW435341</t>
  </si>
  <si>
    <t>WW435370</t>
  </si>
  <si>
    <t>WW435342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</si>
</sst>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"/>
  </numFmts>
  <fonts count="16">
    <font>
      <sz val="10.0"/>
      <color rgb="FF000000"/>
      <name val="Arial"/>
      <scheme val="minor"/>
    </font>
    <font>
      <b/>
      <color rgb="FFFFFFFF"/>
      <name val="Montserrat"/>
    </font>
    <font>
      <b/>
      <color rgb="FFFFFFFF"/>
      <name val="Helvetica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color theme="1"/>
      <name val="Helvetica"/>
    </font>
    <font/>
    <font>
      <color theme="1"/>
      <name val="Arial"/>
    </font>
    <font>
      <u/>
      <color rgb="FF1155CC"/>
      <name val="Helvetica"/>
    </font>
    <font>
      <b/>
      <color theme="1"/>
      <name val="Arial"/>
    </font>
    <font>
      <b/>
      <color rgb="FFFFFFFF"/>
      <name val="Arial"/>
      <scheme val="minor"/>
    </font>
    <font>
      <b/>
      <color theme="1"/>
      <name val="Arial"/>
      <scheme val="minor"/>
    </font>
    <font>
      <u/>
      <color rgb="FF0000FF"/>
    </font>
  </fonts>
  <fills count="10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9D9D9"/>
        <bgColor rgb="FFD9D9D9"/>
      </patternFill>
    </fill>
    <fill>
      <patternFill patternType="solid">
        <fgColor rgb="FF00FF00"/>
        <bgColor rgb="FF00FF00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FCE5CD"/>
        <bgColor rgb="FFFCE5CD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1" fillId="2" fontId="2" numFmtId="0" xfId="0" applyAlignment="1" applyBorder="1" applyFont="1">
      <alignment readingOrder="0" shrinkToFit="0" vertical="bottom" wrapText="1"/>
    </xf>
    <xf borderId="1" fillId="2" fontId="2" numFmtId="0" xfId="0" applyAlignment="1" applyBorder="1" applyFont="1">
      <alignment shrinkToFit="0" vertical="bottom" wrapText="1"/>
    </xf>
    <xf borderId="1" fillId="0" fontId="3" numFmtId="164" xfId="0" applyAlignment="1" applyBorder="1" applyFont="1" applyNumberFormat="1">
      <alignment horizontal="left" readingOrder="0"/>
    </xf>
    <xf borderId="1" fillId="0" fontId="3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1" fillId="0" fontId="3" numFmtId="0" xfId="0" applyAlignment="1" applyBorder="1" applyFont="1">
      <alignment horizontal="left" readingOrder="0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horizontal="left" readingOrder="0" shrinkToFit="0" wrapText="1"/>
    </xf>
    <xf borderId="1" fillId="0" fontId="3" numFmtId="1" xfId="0" applyAlignment="1" applyBorder="1" applyFont="1" applyNumberFormat="1">
      <alignment horizontal="left" shrinkToFit="0" wrapText="1"/>
    </xf>
    <xf borderId="1" fillId="0" fontId="5" numFmtId="0" xfId="0" applyAlignment="1" applyBorder="1" applyFont="1">
      <alignment horizontal="left" readingOrder="0"/>
    </xf>
    <xf borderId="1" fillId="0" fontId="3" numFmtId="0" xfId="0" applyAlignment="1" applyBorder="1" applyFont="1">
      <alignment horizontal="left" shrinkToFit="0" wrapText="1"/>
    </xf>
    <xf borderId="1" fillId="0" fontId="3" numFmtId="0" xfId="0" applyAlignment="1" applyBorder="1" applyFont="1">
      <alignment horizontal="left"/>
    </xf>
    <xf borderId="1" fillId="3" fontId="3" numFmtId="0" xfId="0" applyAlignment="1" applyBorder="1" applyFill="1" applyFont="1">
      <alignment horizontal="left" readingOrder="0"/>
    </xf>
    <xf borderId="1" fillId="4" fontId="3" numFmtId="0" xfId="0" applyAlignment="1" applyBorder="1" applyFill="1" applyFont="1">
      <alignment horizontal="left"/>
    </xf>
    <xf borderId="1" fillId="4" fontId="3" numFmtId="0" xfId="0" applyAlignment="1" applyBorder="1" applyFont="1">
      <alignment horizontal="left" readingOrder="0"/>
    </xf>
    <xf borderId="1" fillId="4" fontId="6" numFmtId="0" xfId="0" applyAlignment="1" applyBorder="1" applyFont="1">
      <alignment horizontal="left" readingOrder="0"/>
    </xf>
    <xf borderId="1" fillId="4" fontId="3" numFmtId="0" xfId="0" applyAlignment="1" applyBorder="1" applyFont="1">
      <alignment horizontal="left" readingOrder="0" shrinkToFit="0" wrapText="1"/>
    </xf>
    <xf borderId="1" fillId="4" fontId="3" numFmtId="0" xfId="0" applyAlignment="1" applyBorder="1" applyFont="1">
      <alignment readingOrder="0" shrinkToFit="0" wrapText="1"/>
    </xf>
    <xf borderId="0" fillId="4" fontId="3" numFmtId="0" xfId="0" applyFont="1"/>
    <xf borderId="1" fillId="0" fontId="3" numFmtId="0" xfId="0" applyBorder="1" applyFont="1"/>
    <xf borderId="0" fillId="0" fontId="3" numFmtId="0" xfId="0" applyAlignment="1" applyFont="1">
      <alignment horizontal="left"/>
    </xf>
    <xf borderId="0" fillId="0" fontId="3" numFmtId="0" xfId="0" applyAlignment="1" applyFont="1">
      <alignment horizontal="left" readingOrder="0"/>
    </xf>
    <xf borderId="0" fillId="0" fontId="7" numFmtId="0" xfId="0" applyAlignment="1" applyFont="1">
      <alignment readingOrder="0"/>
    </xf>
    <xf borderId="0" fillId="0" fontId="3" numFmtId="0" xfId="0" applyAlignment="1" applyFont="1">
      <alignment shrinkToFit="0" wrapText="1"/>
    </xf>
    <xf borderId="0" fillId="2" fontId="2" numFmtId="0" xfId="0" applyAlignment="1" applyFont="1">
      <alignment shrinkToFit="0" vertical="bottom" wrapText="1"/>
    </xf>
    <xf borderId="0" fillId="2" fontId="3" numFmtId="0" xfId="0" applyFont="1"/>
    <xf borderId="0" fillId="2" fontId="2" numFmtId="0" xfId="0" applyAlignment="1" applyFont="1">
      <alignment readingOrder="0" shrinkToFit="0" vertical="bottom" wrapText="1"/>
    </xf>
    <xf borderId="1" fillId="5" fontId="8" numFmtId="0" xfId="0" applyAlignment="1" applyBorder="1" applyFill="1" applyFont="1">
      <alignment horizontal="center" readingOrder="0" shrinkToFit="0" wrapText="1"/>
    </xf>
    <xf borderId="2" fillId="5" fontId="8" numFmtId="0" xfId="0" applyAlignment="1" applyBorder="1" applyFont="1">
      <alignment horizontal="center" readingOrder="0" shrinkToFit="0" wrapText="1"/>
    </xf>
    <xf borderId="3" fillId="0" fontId="9" numFmtId="0" xfId="0" applyBorder="1" applyFont="1"/>
    <xf borderId="4" fillId="0" fontId="9" numFmtId="0" xfId="0" applyBorder="1" applyFont="1"/>
    <xf borderId="1" fillId="0" fontId="10" numFmtId="0" xfId="0" applyAlignment="1" applyBorder="1" applyFont="1">
      <alignment readingOrder="0" shrinkToFit="0" vertical="bottom" wrapText="1"/>
    </xf>
    <xf borderId="1" fillId="0" fontId="10" numFmtId="0" xfId="0" applyAlignment="1" applyBorder="1" applyFont="1">
      <alignment horizontal="right" vertical="bottom"/>
    </xf>
    <xf borderId="1" fillId="0" fontId="8" numFmtId="0" xfId="0" applyAlignment="1" applyBorder="1" applyFont="1">
      <alignment horizontal="center" readingOrder="0" shrinkToFit="0" wrapText="1"/>
    </xf>
    <xf borderId="1" fillId="0" fontId="11" numFmtId="0" xfId="0" applyAlignment="1" applyBorder="1" applyFont="1">
      <alignment readingOrder="0" shrinkToFit="0" wrapText="1"/>
    </xf>
    <xf borderId="1" fillId="0" fontId="8" numFmtId="0" xfId="0" applyAlignment="1" applyBorder="1" applyFont="1">
      <alignment horizontal="center" readingOrder="0" vertical="bottom"/>
    </xf>
    <xf borderId="1" fillId="0" fontId="8" numFmtId="0" xfId="0" applyAlignment="1" applyBorder="1" applyFont="1">
      <alignment horizontal="center" vertical="bottom"/>
    </xf>
    <xf borderId="1" fillId="0" fontId="8" numFmtId="0" xfId="0" applyAlignment="1" applyBorder="1" applyFont="1">
      <alignment horizontal="center" readingOrder="0" shrinkToFit="0" vertical="bottom" wrapText="1"/>
    </xf>
    <xf borderId="1" fillId="0" fontId="8" numFmtId="0" xfId="0" applyAlignment="1" applyBorder="1" applyFont="1">
      <alignment horizontal="center" shrinkToFit="0" vertical="bottom" wrapText="1"/>
    </xf>
    <xf borderId="1" fillId="0" fontId="8" numFmtId="1" xfId="0" applyAlignment="1" applyBorder="1" applyFont="1" applyNumberFormat="1">
      <alignment horizontal="center" vertical="bottom"/>
    </xf>
    <xf borderId="1" fillId="0" fontId="12" numFmtId="1" xfId="0" applyAlignment="1" applyBorder="1" applyFont="1" applyNumberFormat="1">
      <alignment vertical="bottom"/>
    </xf>
    <xf borderId="1" fillId="0" fontId="12" numFmtId="1" xfId="0" applyAlignment="1" applyBorder="1" applyFont="1" applyNumberFormat="1">
      <alignment horizontal="right" vertical="bottom"/>
    </xf>
    <xf borderId="1" fillId="0" fontId="3" numFmtId="0" xfId="0" applyAlignment="1" applyBorder="1" applyFont="1">
      <alignment horizontal="center" readingOrder="0" shrinkToFit="0" wrapText="1"/>
    </xf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/>
    </xf>
    <xf borderId="1" fillId="6" fontId="3" numFmtId="0" xfId="0" applyAlignment="1" applyBorder="1" applyFill="1" applyFont="1">
      <alignment horizontal="center" readingOrder="0" shrinkToFit="0" wrapText="1"/>
    </xf>
    <xf borderId="1" fillId="7" fontId="3" numFmtId="0" xfId="0" applyAlignment="1" applyBorder="1" applyFill="1" applyFont="1">
      <alignment horizontal="center" readingOrder="0" shrinkToFit="0" wrapText="1"/>
    </xf>
    <xf borderId="0" fillId="0" fontId="3" numFmtId="0" xfId="0" applyAlignment="1" applyFont="1">
      <alignment horizontal="center" readingOrder="0"/>
    </xf>
    <xf borderId="1" fillId="0" fontId="3" numFmtId="0" xfId="0" applyAlignment="1" applyBorder="1" applyFont="1">
      <alignment horizontal="center" shrinkToFit="0" wrapText="1"/>
    </xf>
    <xf borderId="1" fillId="4" fontId="3" numFmtId="0" xfId="0" applyAlignment="1" applyBorder="1" applyFont="1">
      <alignment horizontal="center" readingOrder="0" shrinkToFit="0" wrapText="1"/>
    </xf>
    <xf borderId="1" fillId="8" fontId="3" numFmtId="0" xfId="0" applyAlignment="1" applyBorder="1" applyFill="1" applyFont="1">
      <alignment horizontal="center" readingOrder="0" shrinkToFit="0" wrapText="1"/>
    </xf>
    <xf borderId="0" fillId="2" fontId="13" numFmtId="0" xfId="0" applyAlignment="1" applyFont="1">
      <alignment readingOrder="0"/>
    </xf>
    <xf borderId="1" fillId="0" fontId="8" numFmtId="0" xfId="0" applyAlignment="1" applyBorder="1" applyFont="1">
      <alignment vertical="bottom"/>
    </xf>
    <xf borderId="1" fillId="0" fontId="8" numFmtId="0" xfId="0" applyAlignment="1" applyBorder="1" applyFont="1">
      <alignment horizontal="right" vertical="bottom"/>
    </xf>
    <xf borderId="1" fillId="0" fontId="8" numFmtId="0" xfId="0" applyAlignment="1" applyBorder="1" applyFont="1">
      <alignment shrinkToFit="0" vertical="bottom" wrapText="1"/>
    </xf>
    <xf borderId="1" fillId="0" fontId="8" numFmtId="1" xfId="0" applyAlignment="1" applyBorder="1" applyFont="1" applyNumberFormat="1">
      <alignment horizontal="right" vertical="bottom"/>
    </xf>
    <xf borderId="1" fillId="0" fontId="8" numFmtId="0" xfId="0" applyAlignment="1" applyBorder="1" applyFont="1">
      <alignment horizontal="right" shrinkToFit="0" vertical="bottom" wrapText="1"/>
    </xf>
    <xf borderId="1" fillId="0" fontId="8" numFmtId="0" xfId="0" applyAlignment="1" applyBorder="1" applyFont="1">
      <alignment readingOrder="0" shrinkToFit="0" vertical="bottom" wrapText="1"/>
    </xf>
    <xf borderId="1" fillId="4" fontId="3" numFmtId="0" xfId="0" applyAlignment="1" applyBorder="1" applyFont="1">
      <alignment readingOrder="0"/>
    </xf>
    <xf borderId="1" fillId="4" fontId="8" numFmtId="0" xfId="0" applyAlignment="1" applyBorder="1" applyFont="1">
      <alignment readingOrder="0" shrinkToFit="0" vertical="bottom" wrapText="1"/>
    </xf>
    <xf borderId="1" fillId="0" fontId="3" numFmtId="0" xfId="0" applyAlignment="1" applyBorder="1" applyFont="1">
      <alignment shrinkToFit="0" wrapText="1"/>
    </xf>
    <xf borderId="1" fillId="7" fontId="3" numFmtId="0" xfId="0" applyAlignment="1" applyBorder="1" applyFont="1">
      <alignment readingOrder="0" shrinkToFit="0" wrapText="1"/>
    </xf>
    <xf borderId="1" fillId="6" fontId="3" numFmtId="0" xfId="0" applyAlignment="1" applyBorder="1" applyFont="1">
      <alignment readingOrder="0"/>
    </xf>
    <xf borderId="1" fillId="9" fontId="3" numFmtId="0" xfId="0" applyAlignment="1" applyBorder="1" applyFill="1" applyFont="1">
      <alignment readingOrder="0" shrinkToFit="0" wrapText="1"/>
    </xf>
    <xf borderId="0" fillId="0" fontId="14" numFmtId="0" xfId="0" applyAlignment="1" applyFont="1">
      <alignment horizontal="center" readingOrder="0"/>
    </xf>
    <xf borderId="0" fillId="0" fontId="14" numFmtId="0" xfId="0" applyAlignment="1" applyFont="1">
      <alignment horizontal="center" readingOrder="0" shrinkToFit="0" wrapText="1"/>
    </xf>
    <xf borderId="0" fillId="0" fontId="15" numFmtId="0" xfId="0" applyAlignment="1" applyFont="1">
      <alignment readingOrder="0" vertical="center"/>
    </xf>
    <xf borderId="0" fillId="0" fontId="3" numFmtId="0" xfId="0" applyAlignment="1" applyFont="1">
      <alignment readingOrder="0" vertical="center"/>
    </xf>
    <xf borderId="0" fillId="0" fontId="3" numFmtId="0" xfId="0" applyAlignment="1" applyFont="1">
      <alignment readingOrder="0"/>
    </xf>
    <xf borderId="0" fillId="0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342900</xdr:colOff>
      <xdr:row>0</xdr:row>
      <xdr:rowOff>0</xdr:rowOff>
    </xdr:from>
    <xdr:ext cx="2486025" cy="381000"/>
    <xdr:pic>
      <xdr:nvPicPr>
        <xdr:cNvPr id="0" name="image1.jp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342900</xdr:colOff>
      <xdr:row>0</xdr:row>
      <xdr:rowOff>0</xdr:rowOff>
    </xdr:from>
    <xdr:ext cx="2486025" cy="381000"/>
    <xdr:pic>
      <xdr:nvPicPr>
        <xdr:cNvPr id="0" name="image1.jp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viktoria_puzhel?igsh=N2hhZGN3Y2J5NG0y" TargetMode="External"/><Relationship Id="rId2" Type="http://schemas.openxmlformats.org/officeDocument/2006/relationships/hyperlink" Target="https://www.instagram.com/nadi.wish?igsh=MXNranMyZHRteXg3Zg==" TargetMode="External"/><Relationship Id="rId3" Type="http://schemas.openxmlformats.org/officeDocument/2006/relationships/hyperlink" Target="https://www.instagram.com/gg_xxl_?igsh=MWhoOHd4ZW5zbTN4Ng==" TargetMode="External"/><Relationship Id="rId4" Type="http://schemas.openxmlformats.org/officeDocument/2006/relationships/hyperlink" Target="https://www.instagram.com/alina.bellyaeva?igsh=MWhxenY1c3FrdW54eQ==" TargetMode="External"/><Relationship Id="rId11" Type="http://schemas.openxmlformats.org/officeDocument/2006/relationships/hyperlink" Target="https://www.instagram.com/nastya_storublinskaya?igsh=MXNoY3p3ZW84amprbA==" TargetMode="External"/><Relationship Id="rId10" Type="http://schemas.openxmlformats.org/officeDocument/2006/relationships/hyperlink" Target="https://www.instagram.com/t.laikova?igsh=aHJrOWJkdDBwNmJq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https://www.instagram.com/ulyanova_ann?igsh=NW9haGZkeHZzZHVt" TargetMode="External"/><Relationship Id="rId5" Type="http://schemas.openxmlformats.org/officeDocument/2006/relationships/hyperlink" Target="https://www.instagram.com/mili_lalayan?igsh=d2oybW5xdnkzcGds" TargetMode="External"/><Relationship Id="rId6" Type="http://schemas.openxmlformats.org/officeDocument/2006/relationships/hyperlink" Target="https://www.instagram.com/sahakyan_narina?igsh=MTUyZm84NDBpMG11aA==" TargetMode="External"/><Relationship Id="rId7" Type="http://schemas.openxmlformats.org/officeDocument/2006/relationships/hyperlink" Target="https://www.instagram.com/ann_shatilova?igsh=MTB4d2owZmhpN3Y2cw==" TargetMode="External"/><Relationship Id="rId8" Type="http://schemas.openxmlformats.org/officeDocument/2006/relationships/hyperlink" Target="https://www.instagram.com/sokol_ugc?igsh=MTNzemozNWwxY2dlNA==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t.me/romanovapechataet" TargetMode="External"/><Relationship Id="rId2" Type="http://schemas.openxmlformats.org/officeDocument/2006/relationships/hyperlink" Target="https://t.me/beautyluch" TargetMode="External"/><Relationship Id="rId3" Type="http://schemas.openxmlformats.org/officeDocument/2006/relationships/hyperlink" Target="https://t.me/yana_budni1" TargetMode="External"/><Relationship Id="rId4" Type="http://schemas.openxmlformats.org/officeDocument/2006/relationships/hyperlink" Target="https://t.me/janezett" TargetMode="External"/><Relationship Id="rId5" Type="http://schemas.openxmlformats.org/officeDocument/2006/relationships/hyperlink" Target="https://t.me/incredibleane" TargetMode="External"/><Relationship Id="rId6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t.me/tavlove" TargetMode="External"/><Relationship Id="rId20" Type="http://schemas.openxmlformats.org/officeDocument/2006/relationships/hyperlink" Target="https://t.me/BelenkoNa" TargetMode="External"/><Relationship Id="rId42" Type="http://schemas.openxmlformats.org/officeDocument/2006/relationships/hyperlink" Target="https://t.me/Ole_sonnn" TargetMode="External"/><Relationship Id="rId41" Type="http://schemas.openxmlformats.org/officeDocument/2006/relationships/hyperlink" Target="https://t.me/moqqon" TargetMode="External"/><Relationship Id="rId22" Type="http://schemas.openxmlformats.org/officeDocument/2006/relationships/hyperlink" Target="https://t.me/diberri" TargetMode="External"/><Relationship Id="rId44" Type="http://schemas.openxmlformats.org/officeDocument/2006/relationships/hyperlink" Target="https://t.me/klubnikadnevnik" TargetMode="External"/><Relationship Id="rId21" Type="http://schemas.openxmlformats.org/officeDocument/2006/relationships/hyperlink" Target="https://t.me/beautyluch" TargetMode="External"/><Relationship Id="rId43" Type="http://schemas.openxmlformats.org/officeDocument/2006/relationships/hyperlink" Target="https://t.me/incredibleane" TargetMode="External"/><Relationship Id="rId24" Type="http://schemas.openxmlformats.org/officeDocument/2006/relationships/hyperlink" Target="https://t.me/lynarialskin" TargetMode="External"/><Relationship Id="rId46" Type="http://schemas.openxmlformats.org/officeDocument/2006/relationships/drawing" Target="../drawings/drawing3.xml"/><Relationship Id="rId23" Type="http://schemas.openxmlformats.org/officeDocument/2006/relationships/hyperlink" Target="https://t.me/parfvpiska" TargetMode="External"/><Relationship Id="rId45" Type="http://schemas.openxmlformats.org/officeDocument/2006/relationships/hyperlink" Target="https://t.me/voksaaa" TargetMode="External"/><Relationship Id="rId1" Type="http://schemas.openxmlformats.org/officeDocument/2006/relationships/hyperlink" Target="https://t.me/gogolmarie" TargetMode="External"/><Relationship Id="rId2" Type="http://schemas.openxmlformats.org/officeDocument/2006/relationships/hyperlink" Target="https://t.me/muzloto" TargetMode="External"/><Relationship Id="rId3" Type="http://schemas.openxmlformats.org/officeDocument/2006/relationships/hyperlink" Target="https://t.me/trendybox_ru" TargetMode="External"/><Relationship Id="rId4" Type="http://schemas.openxmlformats.org/officeDocument/2006/relationships/hyperlink" Target="https://t.me/babulya_sveta" TargetMode="External"/><Relationship Id="rId9" Type="http://schemas.openxmlformats.org/officeDocument/2006/relationships/hyperlink" Target="https://t.me/knyazeva_kate" TargetMode="External"/><Relationship Id="rId26" Type="http://schemas.openxmlformats.org/officeDocument/2006/relationships/hyperlink" Target="https://t.me/consapls" TargetMode="External"/><Relationship Id="rId25" Type="http://schemas.openxmlformats.org/officeDocument/2006/relationships/hyperlink" Target="https://t.me/irrrrrrrishkatyt" TargetMode="External"/><Relationship Id="rId28" Type="http://schemas.openxmlformats.org/officeDocument/2006/relationships/hyperlink" Target="https://t.me/beautyfuck" TargetMode="External"/><Relationship Id="rId27" Type="http://schemas.openxmlformats.org/officeDocument/2006/relationships/hyperlink" Target="https://t.me/beauty_magiya" TargetMode="External"/><Relationship Id="rId5" Type="http://schemas.openxmlformats.org/officeDocument/2006/relationships/hyperlink" Target="https://t.me/cosmetman_com" TargetMode="External"/><Relationship Id="rId6" Type="http://schemas.openxmlformats.org/officeDocument/2006/relationships/hyperlink" Target="https://t.me/romanovapechataet" TargetMode="External"/><Relationship Id="rId29" Type="http://schemas.openxmlformats.org/officeDocument/2006/relationships/hyperlink" Target="https://t.me/sabimissss" TargetMode="External"/><Relationship Id="rId7" Type="http://schemas.openxmlformats.org/officeDocument/2006/relationships/hyperlink" Target="https://t.me/rise_yulia" TargetMode="External"/><Relationship Id="rId8" Type="http://schemas.openxmlformats.org/officeDocument/2006/relationships/hyperlink" Target="https://t.me/lyubofka_33" TargetMode="External"/><Relationship Id="rId31" Type="http://schemas.openxmlformats.org/officeDocument/2006/relationships/hyperlink" Target="https://t.me/moonstonealbina" TargetMode="External"/><Relationship Id="rId30" Type="http://schemas.openxmlformats.org/officeDocument/2006/relationships/hyperlink" Target="https://t.me/missmargori" TargetMode="External"/><Relationship Id="rId11" Type="http://schemas.openxmlformats.org/officeDocument/2006/relationships/hyperlink" Target="https://t.me/neprosto_blogger" TargetMode="External"/><Relationship Id="rId33" Type="http://schemas.openxmlformats.org/officeDocument/2006/relationships/hyperlink" Target="https://t.me/withlovebydariak" TargetMode="External"/><Relationship Id="rId10" Type="http://schemas.openxmlformats.org/officeDocument/2006/relationships/hyperlink" Target="https://t.me/MemTeremok" TargetMode="External"/><Relationship Id="rId32" Type="http://schemas.openxmlformats.org/officeDocument/2006/relationships/hyperlink" Target="https://t.me/family_first_love" TargetMode="External"/><Relationship Id="rId13" Type="http://schemas.openxmlformats.org/officeDocument/2006/relationships/hyperlink" Target="https://t.me/tmarrusia" TargetMode="External"/><Relationship Id="rId35" Type="http://schemas.openxmlformats.org/officeDocument/2006/relationships/hyperlink" Target="https://t.me/olyaulanova1" TargetMode="External"/><Relationship Id="rId12" Type="http://schemas.openxmlformats.org/officeDocument/2006/relationships/hyperlink" Target="https://t.me/petitekatii" TargetMode="External"/><Relationship Id="rId34" Type="http://schemas.openxmlformats.org/officeDocument/2006/relationships/hyperlink" Target="https://t.me/vorontsovanicolee" TargetMode="External"/><Relationship Id="rId15" Type="http://schemas.openxmlformats.org/officeDocument/2006/relationships/hyperlink" Target="https://t.me/yana_budni1" TargetMode="External"/><Relationship Id="rId37" Type="http://schemas.openxmlformats.org/officeDocument/2006/relationships/hyperlink" Target="https://t.me/juliapogaa" TargetMode="External"/><Relationship Id="rId14" Type="http://schemas.openxmlformats.org/officeDocument/2006/relationships/hyperlink" Target="https://t.me/nastiasmiirnovaaa" TargetMode="External"/><Relationship Id="rId36" Type="http://schemas.openxmlformats.org/officeDocument/2006/relationships/hyperlink" Target="https://t.me/janezett" TargetMode="External"/><Relationship Id="rId17" Type="http://schemas.openxmlformats.org/officeDocument/2006/relationships/hyperlink" Target="https://t.me/gloweblow" TargetMode="External"/><Relationship Id="rId39" Type="http://schemas.openxmlformats.org/officeDocument/2006/relationships/hyperlink" Target="https://t.me/by_ally" TargetMode="External"/><Relationship Id="rId16" Type="http://schemas.openxmlformats.org/officeDocument/2006/relationships/hyperlink" Target="https://t.me/lifewithEL" TargetMode="External"/><Relationship Id="rId38" Type="http://schemas.openxmlformats.org/officeDocument/2006/relationships/hyperlink" Target="https://t.me/gertsannaa" TargetMode="External"/><Relationship Id="rId19" Type="http://schemas.openxmlformats.org/officeDocument/2006/relationships/hyperlink" Target="https://t.me/byTAISIYA" TargetMode="External"/><Relationship Id="rId18" Type="http://schemas.openxmlformats.org/officeDocument/2006/relationships/hyperlink" Target="https://t.me/margaryandimusic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instagram.com/viktoria_puzhel?igsh=N2hhZGN3Y2J5NG0y" TargetMode="External"/><Relationship Id="rId42" Type="http://schemas.openxmlformats.org/officeDocument/2006/relationships/hyperlink" Target="https://www.instagram.com/kristina_one?igsh=MTJ6a2txbjh1c21nNw==" TargetMode="External"/><Relationship Id="rId41" Type="http://schemas.openxmlformats.org/officeDocument/2006/relationships/hyperlink" Target="https://www.instagram.com/ksu_sfx?igsh=MTI2eDVnN2drb2hzcw==" TargetMode="External"/><Relationship Id="rId44" Type="http://schemas.openxmlformats.org/officeDocument/2006/relationships/hyperlink" Target="https://www.instagram.com/kaniiess?igsh=MTFxZDNwbWhjZjI5NQ==" TargetMode="External"/><Relationship Id="rId43" Type="http://schemas.openxmlformats.org/officeDocument/2006/relationships/hyperlink" Target="https://www.instagram.com/zu_gerieva?igsh=ZTRsdTZ6bjN6Zzk1" TargetMode="External"/><Relationship Id="rId46" Type="http://schemas.openxmlformats.org/officeDocument/2006/relationships/hyperlink" Target="https://www.instagram.com/sasha.sova?igsh=ODk4NWFqYmw1NHBq" TargetMode="External"/><Relationship Id="rId45" Type="http://schemas.openxmlformats.org/officeDocument/2006/relationships/hyperlink" Target="https://www.instagram.com/gg_xxl_?igsh=MWhoOHd4ZW5zbTN4Ng==" TargetMode="External"/><Relationship Id="rId1" Type="http://schemas.openxmlformats.org/officeDocument/2006/relationships/hyperlink" Target="https://www.instagram.com/elenaromashinaa?igsh=MXg2dmV0ZWpsZm1taA==" TargetMode="External"/><Relationship Id="rId2" Type="http://schemas.openxmlformats.org/officeDocument/2006/relationships/hyperlink" Target="https://www.instagram.com/kate_motovilova?igsh=NjhldHF3OGZkOGww" TargetMode="External"/><Relationship Id="rId3" Type="http://schemas.openxmlformats.org/officeDocument/2006/relationships/hyperlink" Target="https://www.instagram.com/gi.ibra?igsh=MWljY3pzeHpyd21tdQ==" TargetMode="External"/><Relationship Id="rId4" Type="http://schemas.openxmlformats.org/officeDocument/2006/relationships/hyperlink" Target="https://www.instagram.com/_tsvik_v?igsh=YnhnZm9ubmR2MGVy" TargetMode="External"/><Relationship Id="rId9" Type="http://schemas.openxmlformats.org/officeDocument/2006/relationships/hyperlink" Target="https://www.instagram.com/shevchenko__y?igsh=MW9qdDBxMWVxOW5nNQ==" TargetMode="External"/><Relationship Id="rId48" Type="http://schemas.openxmlformats.org/officeDocument/2006/relationships/hyperlink" Target="https://www.instagram.com/ilovekatyaa?igsh=Z2pkbTR2czRyZW00" TargetMode="External"/><Relationship Id="rId47" Type="http://schemas.openxmlformats.org/officeDocument/2006/relationships/hyperlink" Target="https://www.instagram.com/golikova_sasha?igsh=bWJyaG91emNvZHNp" TargetMode="External"/><Relationship Id="rId49" Type="http://schemas.openxmlformats.org/officeDocument/2006/relationships/hyperlink" Target="https://www.instagram.com/ireneussz?igsh=dW8xM3JsYjRrd2Z1" TargetMode="External"/><Relationship Id="rId5" Type="http://schemas.openxmlformats.org/officeDocument/2006/relationships/hyperlink" Target="https://www.instagram.com/iwwashina?igsh=MTQ5N2lxb2hjeHoyNA==" TargetMode="External"/><Relationship Id="rId6" Type="http://schemas.openxmlformats.org/officeDocument/2006/relationships/hyperlink" Target="https://www.instagram.com/yuliyanadrova?igsh=eDY4dDU0ZXJsZW02" TargetMode="External"/><Relationship Id="rId7" Type="http://schemas.openxmlformats.org/officeDocument/2006/relationships/hyperlink" Target="https://www.instagram.com/vorontsovanicole?igsh=MTNsa2R2cjVnaGc5Nw==" TargetMode="External"/><Relationship Id="rId8" Type="http://schemas.openxmlformats.org/officeDocument/2006/relationships/hyperlink" Target="https://www.instagram.com/aleksanees?igsh=MWRuOWdwc3ZrZjBveQ==" TargetMode="External"/><Relationship Id="rId31" Type="http://schemas.openxmlformats.org/officeDocument/2006/relationships/hyperlink" Target="https://www.instagram.com/sssofisha?igsh=MW82Y2Q3YXYwazljbQ==" TargetMode="External"/><Relationship Id="rId30" Type="http://schemas.openxmlformats.org/officeDocument/2006/relationships/hyperlink" Target="https://www.instagram.com/ozeryanix.ph?igsh=cjVpanc1N3E3djI=" TargetMode="External"/><Relationship Id="rId33" Type="http://schemas.openxmlformats.org/officeDocument/2006/relationships/hyperlink" Target="https://www.instagram.com/vvarfolomeeva?igsh=MXhvbmxnNWswOG9vZQ==" TargetMode="External"/><Relationship Id="rId32" Type="http://schemas.openxmlformats.org/officeDocument/2006/relationships/hyperlink" Target="https://www.instagram.com/heylizabett?igsh=MTB3Mm1yMDc5ZzBjag==" TargetMode="External"/><Relationship Id="rId35" Type="http://schemas.openxmlformats.org/officeDocument/2006/relationships/hyperlink" Target="https://www.instagram.com/_ekaterinaolegovna?igsh=MXF0N2VpZHM0MHoy" TargetMode="External"/><Relationship Id="rId34" Type="http://schemas.openxmlformats.org/officeDocument/2006/relationships/hyperlink" Target="https://www.instagram.com/katerina.proninaa?igsh=enJxaXJoejZxazB3" TargetMode="External"/><Relationship Id="rId37" Type="http://schemas.openxmlformats.org/officeDocument/2006/relationships/hyperlink" Target="https://www.instagram.com/krugovaya_nastya?igsh=MXB0aDBhOTlsY210MQ==" TargetMode="External"/><Relationship Id="rId36" Type="http://schemas.openxmlformats.org/officeDocument/2006/relationships/hyperlink" Target="https://www.instagram.com/chmkv?igsh=NGh1enV1YTV0dDJh" TargetMode="External"/><Relationship Id="rId39" Type="http://schemas.openxmlformats.org/officeDocument/2006/relationships/hyperlink" Target="https://www.instagram.com/asia.anima?igsh=Y2JnaGxoNWt4N2hr" TargetMode="External"/><Relationship Id="rId38" Type="http://schemas.openxmlformats.org/officeDocument/2006/relationships/hyperlink" Target="https://www.instagram.com/vronaai?igsh=ZWhycWYwbXVocDlr" TargetMode="External"/><Relationship Id="rId20" Type="http://schemas.openxmlformats.org/officeDocument/2006/relationships/hyperlink" Target="https://www.instagram.com/orlova.jenya?igsh=NXdlaHBpcmYxMnN6" TargetMode="External"/><Relationship Id="rId22" Type="http://schemas.openxmlformats.org/officeDocument/2006/relationships/hyperlink" Target="https://www.instagram.com/k_krasote_?igsh=MXEyNGs2ZWN5MzBqYQ==" TargetMode="External"/><Relationship Id="rId21" Type="http://schemas.openxmlformats.org/officeDocument/2006/relationships/hyperlink" Target="https://www.instagram.com/daryalolenko?igsh=ODU0M3FiOXF2anJq" TargetMode="External"/><Relationship Id="rId24" Type="http://schemas.openxmlformats.org/officeDocument/2006/relationships/hyperlink" Target="https://www.instagram.com/perfiilevaa?igsh=cmVvNmIwazZ1OXNj" TargetMode="External"/><Relationship Id="rId23" Type="http://schemas.openxmlformats.org/officeDocument/2006/relationships/hyperlink" Target="https://www.instagram.com/d_ddasha?igsh=N3J5bXNnczZzY2tu" TargetMode="External"/><Relationship Id="rId26" Type="http://schemas.openxmlformats.org/officeDocument/2006/relationships/hyperlink" Target="https://www.instagram.com/svetlanakakosyan?igsh=czRuZ2d1Nmpqd2g4" TargetMode="External"/><Relationship Id="rId25" Type="http://schemas.openxmlformats.org/officeDocument/2006/relationships/hyperlink" Target="https://www.instagram.com/marzhan_kaltay?igsh=eDRya2VrYm81eDls" TargetMode="External"/><Relationship Id="rId28" Type="http://schemas.openxmlformats.org/officeDocument/2006/relationships/hyperlink" Target="https://www.instagram.com/katiiroiid?igsh=MWlwaTBlY3Fxb2RzZQ==" TargetMode="External"/><Relationship Id="rId27" Type="http://schemas.openxmlformats.org/officeDocument/2006/relationships/hyperlink" Target="https://www.instagram.com/saintaruana?igsh=NG43b2t5M2owZmJp" TargetMode="External"/><Relationship Id="rId29" Type="http://schemas.openxmlformats.org/officeDocument/2006/relationships/hyperlink" Target="https://www.instagram.com/goryachevaone?igsh=MTdrYXE0bnR3M3Fseg==" TargetMode="External"/><Relationship Id="rId51" Type="http://schemas.openxmlformats.org/officeDocument/2006/relationships/hyperlink" Target="https://www.instagram.com/kreyda_wb?igsh=MTluMmJrbXA1YzJjOQ==" TargetMode="External"/><Relationship Id="rId50" Type="http://schemas.openxmlformats.org/officeDocument/2006/relationships/hyperlink" Target="https://www.instagram.com/juliya__andreeva?igsh=MXduZnMyOXJ3cTc5bA==" TargetMode="External"/><Relationship Id="rId53" Type="http://schemas.openxmlformats.org/officeDocument/2006/relationships/hyperlink" Target="https://www.instagram.com/sahakyan_narina?igsh=MTUyZm84NDBpMG11aA==" TargetMode="External"/><Relationship Id="rId52" Type="http://schemas.openxmlformats.org/officeDocument/2006/relationships/hyperlink" Target="https://www.instagram.com/anastasiya_volchanskaya?igsh=YXhiYnlkMGhua2U0" TargetMode="External"/><Relationship Id="rId11" Type="http://schemas.openxmlformats.org/officeDocument/2006/relationships/hyperlink" Target="https://www.instagram.com/iraida.go?igsh=OGc5a3Q1bXVpZG0=" TargetMode="External"/><Relationship Id="rId55" Type="http://schemas.openxmlformats.org/officeDocument/2006/relationships/hyperlink" Target="https://www.instagram.com/anastasiya_volchanskaya?igsh=YXhiYnlkMGhua2U0" TargetMode="External"/><Relationship Id="rId10" Type="http://schemas.openxmlformats.org/officeDocument/2006/relationships/hyperlink" Target="https://www.instagram.com/katerina.proninaa?igsh=enJxaXJoejZxazB3" TargetMode="External"/><Relationship Id="rId54" Type="http://schemas.openxmlformats.org/officeDocument/2006/relationships/hyperlink" Target="https://www.instagram.com/nadi.wish?igsh=MXNranMyZHRteXg3Zg==" TargetMode="External"/><Relationship Id="rId13" Type="http://schemas.openxmlformats.org/officeDocument/2006/relationships/hyperlink" Target="https://www.instagram.com/blondvvvv?igsh=a2J0bzBocWM3NnBx" TargetMode="External"/><Relationship Id="rId57" Type="http://schemas.openxmlformats.org/officeDocument/2006/relationships/hyperlink" Target="https://www.instagram.com/alina.bellyaeva?igsh=MWhxenY1c3FrdW54eQ==" TargetMode="External"/><Relationship Id="rId12" Type="http://schemas.openxmlformats.org/officeDocument/2006/relationships/hyperlink" Target="https://www.instagram.com/muakossta?igsh=MW4yZDdwMTgwbnF4cA==" TargetMode="External"/><Relationship Id="rId56" Type="http://schemas.openxmlformats.org/officeDocument/2006/relationships/hyperlink" Target="https://www.instagram.com/novikova__mk?igsh=MTF0NDg0eWt6a2ZlZQ==" TargetMode="External"/><Relationship Id="rId15" Type="http://schemas.openxmlformats.org/officeDocument/2006/relationships/hyperlink" Target="https://www.instagram.com/saaavushkina_?igsh=MWczbmI1ZTA2cG1yNg==" TargetMode="External"/><Relationship Id="rId14" Type="http://schemas.openxmlformats.org/officeDocument/2006/relationships/hyperlink" Target="https://www.instagram.com/cremsup?igsh=Zjlxcnk3NTRub2Zl" TargetMode="External"/><Relationship Id="rId58" Type="http://schemas.openxmlformats.org/officeDocument/2006/relationships/drawing" Target="../drawings/drawing4.xml"/><Relationship Id="rId17" Type="http://schemas.openxmlformats.org/officeDocument/2006/relationships/hyperlink" Target="https://www.instagram.com/e_kurguzovaaa?igsh=Ym9hZ3FjeXZvejE4" TargetMode="External"/><Relationship Id="rId16" Type="http://schemas.openxmlformats.org/officeDocument/2006/relationships/hyperlink" Target="https://www.instagram.com/diaanaa_mg?igsh=MTQ3djFhNzdoeXJrdQ==" TargetMode="External"/><Relationship Id="rId19" Type="http://schemas.openxmlformats.org/officeDocument/2006/relationships/hyperlink" Target="https://www.instagram.com/pro_makeup_mila?igsh=YXQ2NzdkZzR3ajZ5" TargetMode="External"/><Relationship Id="rId18" Type="http://schemas.openxmlformats.org/officeDocument/2006/relationships/hyperlink" Target="https://www.instagram.com/kosmo_lola?igsh=MWlyOGVtMzhzNGR5bA==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s://t.me/gogolmarie/7097" TargetMode="External"/><Relationship Id="rId42" Type="http://schemas.openxmlformats.org/officeDocument/2006/relationships/hyperlink" Target="https://t.me/gogolmarie" TargetMode="External"/><Relationship Id="rId41" Type="http://schemas.openxmlformats.org/officeDocument/2006/relationships/hyperlink" Target="https://goldapple.ru/70063200001-total-repair-balm" TargetMode="External"/><Relationship Id="rId44" Type="http://schemas.openxmlformats.org/officeDocument/2006/relationships/hyperlink" Target="https://3723247.redirect.appmetrica.yandex.com/showProduct?productCode=dr-jart-power-derma-barrier-cream&amp;appmetrica_tracking_id=101276730056016451&amp;referrer=reattribution%3D1&amp;id=dr-jart-power-derma-barrier-cream&amp;utm_source=rgblogger&amp;utm_medium=dr-jart&amp;utm_campaign=byTAISIYA&amp;utm_content=apr26" TargetMode="External"/><Relationship Id="rId43" Type="http://schemas.openxmlformats.org/officeDocument/2006/relationships/hyperlink" Target="https://t.me/gogolmarie/7042" TargetMode="External"/><Relationship Id="rId46" Type="http://schemas.openxmlformats.org/officeDocument/2006/relationships/hyperlink" Target="https://t.me/byTAISIYA/6535" TargetMode="External"/><Relationship Id="rId45" Type="http://schemas.openxmlformats.org/officeDocument/2006/relationships/hyperlink" Target="https://t.me/byTAISIYA" TargetMode="External"/><Relationship Id="rId1" Type="http://schemas.openxmlformats.org/officeDocument/2006/relationships/hyperlink" Target="https://t.me/cream_shop" TargetMode="External"/><Relationship Id="rId2" Type="http://schemas.openxmlformats.org/officeDocument/2006/relationships/hyperlink" Target="https://t.me/muzloto" TargetMode="External"/><Relationship Id="rId3" Type="http://schemas.openxmlformats.org/officeDocument/2006/relationships/hyperlink" Target="https://t.me/muzloto/1163" TargetMode="External"/><Relationship Id="rId4" Type="http://schemas.openxmlformats.org/officeDocument/2006/relationships/hyperlink" Target="https://t.me/trendybox_ru" TargetMode="External"/><Relationship Id="rId9" Type="http://schemas.openxmlformats.org/officeDocument/2006/relationships/hyperlink" Target="https://t.me/cosmetman_com/8847" TargetMode="External"/><Relationship Id="rId48" Type="http://schemas.openxmlformats.org/officeDocument/2006/relationships/hyperlink" Target="https://t.me/kate_motovilovaa" TargetMode="External"/><Relationship Id="rId47" Type="http://schemas.openxmlformats.org/officeDocument/2006/relationships/hyperlink" Target="https://clck.ru/3TaKFX" TargetMode="External"/><Relationship Id="rId49" Type="http://schemas.openxmlformats.org/officeDocument/2006/relationships/hyperlink" Target="https://t.me/kate_motovilovaa/3076" TargetMode="External"/><Relationship Id="rId5" Type="http://schemas.openxmlformats.org/officeDocument/2006/relationships/hyperlink" Target="https://t.me/trendybox_ru/5601" TargetMode="External"/><Relationship Id="rId6" Type="http://schemas.openxmlformats.org/officeDocument/2006/relationships/hyperlink" Target="https://t.me/babulya_sveta" TargetMode="External"/><Relationship Id="rId7" Type="http://schemas.openxmlformats.org/officeDocument/2006/relationships/hyperlink" Target="https://t.me/babulya_sveta/883" TargetMode="External"/><Relationship Id="rId8" Type="http://schemas.openxmlformats.org/officeDocument/2006/relationships/hyperlink" Target="https://t.me/cosmetman_com" TargetMode="External"/><Relationship Id="rId73" Type="http://schemas.openxmlformats.org/officeDocument/2006/relationships/drawing" Target="../drawings/drawing7.xml"/><Relationship Id="rId72" Type="http://schemas.openxmlformats.org/officeDocument/2006/relationships/hyperlink" Target="https://t.me/beautyfuck" TargetMode="External"/><Relationship Id="rId31" Type="http://schemas.openxmlformats.org/officeDocument/2006/relationships/hyperlink" Target="https://t.me/lifewithEL/16374" TargetMode="External"/><Relationship Id="rId30" Type="http://schemas.openxmlformats.org/officeDocument/2006/relationships/hyperlink" Target="https://t.me/lifewithEL" TargetMode="External"/><Relationship Id="rId33" Type="http://schemas.openxmlformats.org/officeDocument/2006/relationships/hyperlink" Target="https://t.me/gloweblow" TargetMode="External"/><Relationship Id="rId32" Type="http://schemas.openxmlformats.org/officeDocument/2006/relationships/hyperlink" Target="https://t.me/farmstay_ru" TargetMode="External"/><Relationship Id="rId35" Type="http://schemas.openxmlformats.org/officeDocument/2006/relationships/hyperlink" Target="https://t.me/aloesmart_official" TargetMode="External"/><Relationship Id="rId34" Type="http://schemas.openxmlformats.org/officeDocument/2006/relationships/hyperlink" Target="https://t.me/gloweblow/2652" TargetMode="External"/><Relationship Id="rId71" Type="http://schemas.openxmlformats.org/officeDocument/2006/relationships/hyperlink" Target="https://t.me/beautyfuck/16601" TargetMode="External"/><Relationship Id="rId70" Type="http://schemas.openxmlformats.org/officeDocument/2006/relationships/hyperlink" Target="https://t.me/realbarrier_ru" TargetMode="External"/><Relationship Id="rId37" Type="http://schemas.openxmlformats.org/officeDocument/2006/relationships/hyperlink" Target="https://t.me/margaryandimusic/2914" TargetMode="External"/><Relationship Id="rId36" Type="http://schemas.openxmlformats.org/officeDocument/2006/relationships/hyperlink" Target="https://t.me/margaryandimusic" TargetMode="External"/><Relationship Id="rId39" Type="http://schemas.openxmlformats.org/officeDocument/2006/relationships/hyperlink" Target="https://t.me/gogolmarie" TargetMode="External"/><Relationship Id="rId38" Type="http://schemas.openxmlformats.org/officeDocument/2006/relationships/hyperlink" Target="https://ozon.ru/s/d-alba-russia" TargetMode="External"/><Relationship Id="rId62" Type="http://schemas.openxmlformats.org/officeDocument/2006/relationships/hyperlink" Target="https://t.me/lynarialskin/830" TargetMode="External"/><Relationship Id="rId61" Type="http://schemas.openxmlformats.org/officeDocument/2006/relationships/hyperlink" Target="https://t.me/lynarialskin" TargetMode="External"/><Relationship Id="rId20" Type="http://schemas.openxmlformats.org/officeDocument/2006/relationships/hyperlink" Target="https://t.me/neprosto_blogger" TargetMode="External"/><Relationship Id="rId64" Type="http://schemas.openxmlformats.org/officeDocument/2006/relationships/hyperlink" Target="https://t.me/irrrrrrrishkatyt/2752" TargetMode="External"/><Relationship Id="rId63" Type="http://schemas.openxmlformats.org/officeDocument/2006/relationships/hyperlink" Target="https://t.me/irrrrrrrishkatyt" TargetMode="External"/><Relationship Id="rId22" Type="http://schemas.openxmlformats.org/officeDocument/2006/relationships/hyperlink" Target="https://t.me/petitekatii" TargetMode="External"/><Relationship Id="rId66" Type="http://schemas.openxmlformats.org/officeDocument/2006/relationships/hyperlink" Target="https://t.me/consapls/853" TargetMode="External"/><Relationship Id="rId21" Type="http://schemas.openxmlformats.org/officeDocument/2006/relationships/hyperlink" Target="https://t.me/neprosto_blogger/2661" TargetMode="External"/><Relationship Id="rId65" Type="http://schemas.openxmlformats.org/officeDocument/2006/relationships/hyperlink" Target="https://t.me/consapls" TargetMode="External"/><Relationship Id="rId24" Type="http://schemas.openxmlformats.org/officeDocument/2006/relationships/hyperlink" Target="https://t.me/tmarrusia" TargetMode="External"/><Relationship Id="rId68" Type="http://schemas.openxmlformats.org/officeDocument/2006/relationships/hyperlink" Target="https://t.me/beauty_magiya" TargetMode="External"/><Relationship Id="rId23" Type="http://schemas.openxmlformats.org/officeDocument/2006/relationships/hyperlink" Target="https://t.me/petitekatii/126" TargetMode="External"/><Relationship Id="rId67" Type="http://schemas.openxmlformats.org/officeDocument/2006/relationships/hyperlink" Target="https://t.me/cosrx_russia" TargetMode="External"/><Relationship Id="rId60" Type="http://schemas.openxmlformats.org/officeDocument/2006/relationships/hyperlink" Target="https://t.me/parfvpiska/2497" TargetMode="External"/><Relationship Id="rId26" Type="http://schemas.openxmlformats.org/officeDocument/2006/relationships/hyperlink" Target="https://t.me/nastiasmiirnovaaa" TargetMode="External"/><Relationship Id="rId25" Type="http://schemas.openxmlformats.org/officeDocument/2006/relationships/hyperlink" Target="https://t.me/tmarrusia/850" TargetMode="External"/><Relationship Id="rId69" Type="http://schemas.openxmlformats.org/officeDocument/2006/relationships/hyperlink" Target="https://t.me/beauty_magiya/1654" TargetMode="External"/><Relationship Id="rId28" Type="http://schemas.openxmlformats.org/officeDocument/2006/relationships/hyperlink" Target="https://t.me/yana_budni1" TargetMode="External"/><Relationship Id="rId27" Type="http://schemas.openxmlformats.org/officeDocument/2006/relationships/hyperlink" Target="https://t.me/nastiasmiirnovaaa/221" TargetMode="External"/><Relationship Id="rId29" Type="http://schemas.openxmlformats.org/officeDocument/2006/relationships/hyperlink" Target="https://t.me/yana_budni1/2787" TargetMode="External"/><Relationship Id="rId51" Type="http://schemas.openxmlformats.org/officeDocument/2006/relationships/hyperlink" Target="https://t.me/BelenkoNa" TargetMode="External"/><Relationship Id="rId50" Type="http://schemas.openxmlformats.org/officeDocument/2006/relationships/hyperlink" Target="https://t.me/hollyshop_ru" TargetMode="External"/><Relationship Id="rId53" Type="http://schemas.openxmlformats.org/officeDocument/2006/relationships/hyperlink" Target="https://t.me/beautypolyubvi" TargetMode="External"/><Relationship Id="rId52" Type="http://schemas.openxmlformats.org/officeDocument/2006/relationships/hyperlink" Target="https://t.me/BelenkoNa/3974" TargetMode="External"/><Relationship Id="rId11" Type="http://schemas.openxmlformats.org/officeDocument/2006/relationships/hyperlink" Target="https://t.me/romanovapechataet/806" TargetMode="External"/><Relationship Id="rId55" Type="http://schemas.openxmlformats.org/officeDocument/2006/relationships/hyperlink" Target="https://t.me/beautyluch" TargetMode="External"/><Relationship Id="rId10" Type="http://schemas.openxmlformats.org/officeDocument/2006/relationships/hyperlink" Target="https://t.me/romanovapechataet" TargetMode="External"/><Relationship Id="rId54" Type="http://schemas.openxmlformats.org/officeDocument/2006/relationships/hyperlink" Target="https://t.me/beautypolyubvi/17610" TargetMode="External"/><Relationship Id="rId13" Type="http://schemas.openxmlformats.org/officeDocument/2006/relationships/hyperlink" Target="https://t.me/rise_yulia/1366" TargetMode="External"/><Relationship Id="rId57" Type="http://schemas.openxmlformats.org/officeDocument/2006/relationships/hyperlink" Target="https://t.me/diberri" TargetMode="External"/><Relationship Id="rId12" Type="http://schemas.openxmlformats.org/officeDocument/2006/relationships/hyperlink" Target="https://t.me/rise_yulia" TargetMode="External"/><Relationship Id="rId56" Type="http://schemas.openxmlformats.org/officeDocument/2006/relationships/hyperlink" Target="https://t.me/beautyluch/5021" TargetMode="External"/><Relationship Id="rId15" Type="http://schemas.openxmlformats.org/officeDocument/2006/relationships/hyperlink" Target="https://t.me/lyubofka_33/8530" TargetMode="External"/><Relationship Id="rId59" Type="http://schemas.openxmlformats.org/officeDocument/2006/relationships/hyperlink" Target="https://t.me/parfvpiska" TargetMode="External"/><Relationship Id="rId14" Type="http://schemas.openxmlformats.org/officeDocument/2006/relationships/hyperlink" Target="https://t.me/lyubofka_33" TargetMode="External"/><Relationship Id="rId58" Type="http://schemas.openxmlformats.org/officeDocument/2006/relationships/hyperlink" Target="https://t.me/diberri/2240" TargetMode="External"/><Relationship Id="rId17" Type="http://schemas.openxmlformats.org/officeDocument/2006/relationships/hyperlink" Target="https://t.me/knyazeva_kate/9116" TargetMode="External"/><Relationship Id="rId16" Type="http://schemas.openxmlformats.org/officeDocument/2006/relationships/hyperlink" Target="https://t.me/knyazeva_kate" TargetMode="External"/><Relationship Id="rId19" Type="http://schemas.openxmlformats.org/officeDocument/2006/relationships/hyperlink" Target="https://t.me/MemTeremok/1418" TargetMode="External"/><Relationship Id="rId18" Type="http://schemas.openxmlformats.org/officeDocument/2006/relationships/hyperlink" Target="https://t.me/MemTeremok" TargetMode="Externa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instagram.com/kosmo_lola?igsh=MWlyOGVtMzhzNGR5bA==" TargetMode="External"/><Relationship Id="rId42" Type="http://schemas.openxmlformats.org/officeDocument/2006/relationships/hyperlink" Target="https://www.instagram.com/pro_makeup_mila?igsh=YXQ2NzdkZzR3ajZ5" TargetMode="External"/><Relationship Id="rId41" Type="http://schemas.openxmlformats.org/officeDocument/2006/relationships/hyperlink" Target="https://www.instagram.com/p/DYRvfHiFLd4/?img_index=1&amp;igsh=eW9jN3pwcHA3eXA2" TargetMode="External"/><Relationship Id="rId44" Type="http://schemas.openxmlformats.org/officeDocument/2006/relationships/hyperlink" Target="https://www.instagram.com/orlova.jenya?igsh=NXdlaHBpcmYxMnN6" TargetMode="External"/><Relationship Id="rId43" Type="http://schemas.openxmlformats.org/officeDocument/2006/relationships/hyperlink" Target="https://www.instagram.com/reel/DYRpGeqCD7i/?igsh=aGZ2NjNxcHdtN29v" TargetMode="External"/><Relationship Id="rId46" Type="http://schemas.openxmlformats.org/officeDocument/2006/relationships/hyperlink" Target="https://www.instagram.com/daryalolenko?igsh=ODU0M3FiOXF2anJq" TargetMode="External"/><Relationship Id="rId45" Type="http://schemas.openxmlformats.org/officeDocument/2006/relationships/hyperlink" Target="https://www.instagram.com/p/DYRPK3BjZCr/?img_index=1&amp;igsh=NHB4YXQwaTJkdGk2" TargetMode="External"/><Relationship Id="rId1" Type="http://schemas.openxmlformats.org/officeDocument/2006/relationships/hyperlink" Target="https://www.instagram.com/clarinsrussia?igsh=cmV5d3oydDZtOGpt" TargetMode="External"/><Relationship Id="rId2" Type="http://schemas.openxmlformats.org/officeDocument/2006/relationships/hyperlink" Target="https://www.instagram.com/elenaromashinaa?igsh=MXg2dmV0ZWpsZm1taA==" TargetMode="External"/><Relationship Id="rId3" Type="http://schemas.openxmlformats.org/officeDocument/2006/relationships/hyperlink" Target="https://www.instagram.com/reel/DXd3hTGjV1f/?igsh=NHhlb3Q2eXRoOGQ0" TargetMode="External"/><Relationship Id="rId4" Type="http://schemas.openxmlformats.org/officeDocument/2006/relationships/hyperlink" Target="https://dalbaru.ru" TargetMode="External"/><Relationship Id="rId9" Type="http://schemas.openxmlformats.org/officeDocument/2006/relationships/hyperlink" Target="https://www.instagram.com/vois_cosmetics?igsh=MTB5aGZicXZweXltZA==" TargetMode="External"/><Relationship Id="rId48" Type="http://schemas.openxmlformats.org/officeDocument/2006/relationships/hyperlink" Target="https://www.instagram.com/k_krasote_?igsh=MXEyNGs2ZWN5MzBqYQ==" TargetMode="External"/><Relationship Id="rId47" Type="http://schemas.openxmlformats.org/officeDocument/2006/relationships/hyperlink" Target="https://www.instagram.com/reel/DYRNZGWIqxr/?igsh=Z2pma3hmbzh6ZHNt" TargetMode="External"/><Relationship Id="rId49" Type="http://schemas.openxmlformats.org/officeDocument/2006/relationships/hyperlink" Target="https://www.instagram.com/reel/DYQBqLLOrV-/?igsh=MTI4enh5MzFoNzQzbw==" TargetMode="External"/><Relationship Id="rId5" Type="http://schemas.openxmlformats.org/officeDocument/2006/relationships/hyperlink" Target="https://www.instagram.com/kate_motovilova?igsh=NjhldHF3OGZkOGww" TargetMode="External"/><Relationship Id="rId6" Type="http://schemas.openxmlformats.org/officeDocument/2006/relationships/hyperlink" Target="https://www.instagram.com/reel/DYMKiSegsdn/?igsh=b3N3bWtqa2V3bm55" TargetMode="External"/><Relationship Id="rId7" Type="http://schemas.openxmlformats.org/officeDocument/2006/relationships/hyperlink" Target="https://www.instagram.com/gi.ibra?igsh=MWljY3pzeHpyd21tdQ==" TargetMode="External"/><Relationship Id="rId8" Type="http://schemas.openxmlformats.org/officeDocument/2006/relationships/hyperlink" Target="https://www.instagram.com/reel/DYFbO4vKHR7/?igsh=MWVmc3NtNDkycGpzaA==" TargetMode="External"/><Relationship Id="rId73" Type="http://schemas.openxmlformats.org/officeDocument/2006/relationships/hyperlink" Target="https://www.instagram.com/vvarfolomeeva?igsh=MXhvbmxnNWswOG9vZQ==" TargetMode="External"/><Relationship Id="rId72" Type="http://schemas.openxmlformats.org/officeDocument/2006/relationships/hyperlink" Target="https://www.instagram.com/reel/DYSGJsDMI8s/?igsh=MXFtZGkwNGY1dmgxag==" TargetMode="External"/><Relationship Id="rId31" Type="http://schemas.openxmlformats.org/officeDocument/2006/relationships/hyperlink" Target="https://www.instagram.com/reel/DYNhovlhnNV/?igsh=MTdwdHRid2xweXFuZw==" TargetMode="External"/><Relationship Id="rId75" Type="http://schemas.openxmlformats.org/officeDocument/2006/relationships/hyperlink" Target="https://www.instagram.com/katerina.proninaa?igsh=enJxaXJoejZxazB3" TargetMode="External"/><Relationship Id="rId30" Type="http://schemas.openxmlformats.org/officeDocument/2006/relationships/hyperlink" Target="https://www.instagram.com/blondvvvv?igsh=a2J0bzBocWM3NnBx" TargetMode="External"/><Relationship Id="rId74" Type="http://schemas.openxmlformats.org/officeDocument/2006/relationships/hyperlink" Target="https://www.instagram.com/reel/DYNKz2AoNyG/?igsh=MWUyYWgxcDJiYThqbA==" TargetMode="External"/><Relationship Id="rId33" Type="http://schemas.openxmlformats.org/officeDocument/2006/relationships/hyperlink" Target="https://www.instagram.com/reel/DYSFoQYMtil/?igsh=MWN4bzk2aXlwbDc3eQ==" TargetMode="External"/><Relationship Id="rId77" Type="http://schemas.openxmlformats.org/officeDocument/2006/relationships/hyperlink" Target="https://www.instagram.com/_ekaterinaolegovna?igsh=MXF0N2VpZHM0MHoy" TargetMode="External"/><Relationship Id="rId32" Type="http://schemas.openxmlformats.org/officeDocument/2006/relationships/hyperlink" Target="https://www.instagram.com/cremsup?igsh=Zjlxcnk3NTRub2Zl" TargetMode="External"/><Relationship Id="rId76" Type="http://schemas.openxmlformats.org/officeDocument/2006/relationships/hyperlink" Target="https://www.instagram.com/reel/DYRo5R2IYHc/?igsh=MXVnOWtkdmhrODZ2" TargetMode="External"/><Relationship Id="rId35" Type="http://schemas.openxmlformats.org/officeDocument/2006/relationships/hyperlink" Target="https://www.instagram.com/p/DYSA5hdFySv/?igsh=MTRmYm0zbXEyMDNueg==" TargetMode="External"/><Relationship Id="rId79" Type="http://schemas.openxmlformats.org/officeDocument/2006/relationships/drawing" Target="../drawings/drawing8.xml"/><Relationship Id="rId34" Type="http://schemas.openxmlformats.org/officeDocument/2006/relationships/hyperlink" Target="https://www.instagram.com/saaavushkina_?igsh=MWczbmI1ZTA2cG1yNg==" TargetMode="External"/><Relationship Id="rId78" Type="http://schemas.openxmlformats.org/officeDocument/2006/relationships/hyperlink" Target="https://www.instagram.com/reel/DYPsCDOsWp4/?igsh=b2t1OWxzZ3RqOGdn" TargetMode="External"/><Relationship Id="rId71" Type="http://schemas.openxmlformats.org/officeDocument/2006/relationships/hyperlink" Target="https://www.instagram.com/heylizabett?igsh=MTB3Mm1yMDc5ZzBjag==" TargetMode="External"/><Relationship Id="rId70" Type="http://schemas.openxmlformats.org/officeDocument/2006/relationships/hyperlink" Target="https://www.instagram.com/p/DXNH6tzgj9l/?igsh=M2ptMWw5N3VydTd1" TargetMode="External"/><Relationship Id="rId37" Type="http://schemas.openxmlformats.org/officeDocument/2006/relationships/hyperlink" Target="https://www.instagram.com/p/DYR7CgNDMw7/?igsh=cnpxeHgyM3A1YzQ4" TargetMode="External"/><Relationship Id="rId36" Type="http://schemas.openxmlformats.org/officeDocument/2006/relationships/hyperlink" Target="https://www.instagram.com/diaanaa_mg?igsh=MTQ3djFhNzdoeXJrdQ==" TargetMode="External"/><Relationship Id="rId39" Type="http://schemas.openxmlformats.org/officeDocument/2006/relationships/hyperlink" Target="https://www.instagram.com/p/DYRzKXwiJBV/?img_index=6&amp;igsh=MW9iY3d2eDR5NWd1bw==" TargetMode="External"/><Relationship Id="rId38" Type="http://schemas.openxmlformats.org/officeDocument/2006/relationships/hyperlink" Target="https://www.instagram.com/e_kurguzovaaa?igsh=Ym9hZ3FjeXZvejE4" TargetMode="External"/><Relationship Id="rId62" Type="http://schemas.openxmlformats.org/officeDocument/2006/relationships/hyperlink" Target="https://www.instagram.com/katiiroiid?igsh=MWlwaTBlY3Fxb2RzZQ==" TargetMode="External"/><Relationship Id="rId61" Type="http://schemas.openxmlformats.org/officeDocument/2006/relationships/hyperlink" Target="https://www.instagram.com/celimax.cis?igsh=bDF0ZnZwa3Brejc4" TargetMode="External"/><Relationship Id="rId20" Type="http://schemas.openxmlformats.org/officeDocument/2006/relationships/hyperlink" Target="https://www.instagram.com/vtcosmetics_cis?igsh=MXRib216Y3l4eXRzeQ==" TargetMode="External"/><Relationship Id="rId64" Type="http://schemas.openxmlformats.org/officeDocument/2006/relationships/hyperlink" Target="https://www.instagram.com/charismo_journal.ru?igsh=Mmo1NGZqbDZ4bmty" TargetMode="External"/><Relationship Id="rId63" Type="http://schemas.openxmlformats.org/officeDocument/2006/relationships/hyperlink" Target="https://www.instagram.com/reel/DVBRbm9kgPG/?igsh=bDAxeWZxdG50YnQ=" TargetMode="External"/><Relationship Id="rId22" Type="http://schemas.openxmlformats.org/officeDocument/2006/relationships/hyperlink" Target="https://www.instagram.com/reel/DYRvxabCexw/?igsh=MTJtMmc1aXJ4NTBleg==" TargetMode="External"/><Relationship Id="rId66" Type="http://schemas.openxmlformats.org/officeDocument/2006/relationships/hyperlink" Target="https://www.instagram.com/reel/DYPWS5OtPgl/?igsh=cGdkcTBsbmJ2YW9l" TargetMode="External"/><Relationship Id="rId21" Type="http://schemas.openxmlformats.org/officeDocument/2006/relationships/hyperlink" Target="https://www.instagram.com/shevchenko__y?igsh=MW9qdDBxMWVxOW5nNQ==" TargetMode="External"/><Relationship Id="rId65" Type="http://schemas.openxmlformats.org/officeDocument/2006/relationships/hyperlink" Target="https://www.instagram.com/goryachevaone?igsh=MTdrYXE0bnR3M3Fseg==" TargetMode="External"/><Relationship Id="rId24" Type="http://schemas.openxmlformats.org/officeDocument/2006/relationships/hyperlink" Target="https://www.instagram.com/reel/DX6b7zRIWRf/?igsh=NHptdzhpY29maWI4" TargetMode="External"/><Relationship Id="rId68" Type="http://schemas.openxmlformats.org/officeDocument/2006/relationships/hyperlink" Target="https://www.instagram.com/reel/DYMO4edMbDi/?igsh=MWQ0YnQ2bWZzcjdndg==" TargetMode="External"/><Relationship Id="rId23" Type="http://schemas.openxmlformats.org/officeDocument/2006/relationships/hyperlink" Target="https://www.instagram.com/katerina.proninaa?igsh=enJxaXJoejZxazB3" TargetMode="External"/><Relationship Id="rId67" Type="http://schemas.openxmlformats.org/officeDocument/2006/relationships/hyperlink" Target="https://www.instagram.com/ozeryanix.ph?igsh=cjVpanc1N3E3djI=" TargetMode="External"/><Relationship Id="rId60" Type="http://schemas.openxmlformats.org/officeDocument/2006/relationships/hyperlink" Target="https://www.instagram.com/reel/DYCIUIRgUjy/?igsh=MWZ4eW82OGZkd3V1Zw==" TargetMode="External"/><Relationship Id="rId26" Type="http://schemas.openxmlformats.org/officeDocument/2006/relationships/hyperlink" Target="https://www.instagram.com/iraida.go?igsh=OGc5a3Q1bXVpZG0=" TargetMode="External"/><Relationship Id="rId25" Type="http://schemas.openxmlformats.org/officeDocument/2006/relationships/hyperlink" Target="https://www.instagram.com/iraida.go?igsh=OGc5a3Q1bXVpZG0=" TargetMode="External"/><Relationship Id="rId69" Type="http://schemas.openxmlformats.org/officeDocument/2006/relationships/hyperlink" Target="https://www.instagram.com/sssofisha?igsh=MW82Y2Q3YXYwazljbQ==" TargetMode="External"/><Relationship Id="rId28" Type="http://schemas.openxmlformats.org/officeDocument/2006/relationships/hyperlink" Target="https://www.instagram.com/reel/DYHh_E5sOKM/?igsh=MTQzcTM2YjVtYnJoeg==" TargetMode="External"/><Relationship Id="rId27" Type="http://schemas.openxmlformats.org/officeDocument/2006/relationships/hyperlink" Target="https://www.instagram.com/muakossta?igsh=MW4yZDdwMTgwbnF4cA==" TargetMode="External"/><Relationship Id="rId29" Type="http://schemas.openxmlformats.org/officeDocument/2006/relationships/hyperlink" Target="https://www.instagram.com/flowerknows_global?igsh=cHZiOGI5cW03YXRr" TargetMode="External"/><Relationship Id="rId51" Type="http://schemas.openxmlformats.org/officeDocument/2006/relationships/hyperlink" Target="https://www.instagram.com/d_ddasha?igsh=N3J5bXNnczZzY2tu" TargetMode="External"/><Relationship Id="rId50" Type="http://schemas.openxmlformats.org/officeDocument/2006/relationships/hyperlink" Target="https://www.instagram.com/pusy.beauty?igsh=MWZidHUwdjd0YWg1MQ==" TargetMode="External"/><Relationship Id="rId53" Type="http://schemas.openxmlformats.org/officeDocument/2006/relationships/hyperlink" Target="https://www.instagram.com/perfiilevaa?igsh=cmVvNmIwazZ1OXNj" TargetMode="External"/><Relationship Id="rId52" Type="http://schemas.openxmlformats.org/officeDocument/2006/relationships/hyperlink" Target="https://www.instagram.com/reel/DX_UbKzoy5t/?igsh=bHEwdTYya3dtYWx5" TargetMode="External"/><Relationship Id="rId11" Type="http://schemas.openxmlformats.org/officeDocument/2006/relationships/hyperlink" Target="https://www.instagram.com/p/DHJNw-roe-f/?igsh=bWU0Z2lzajR5anpu" TargetMode="External"/><Relationship Id="rId55" Type="http://schemas.openxmlformats.org/officeDocument/2006/relationships/hyperlink" Target="https://www.instagram.com/marzhan_kaltay?igsh=eDRya2VrYm81eDls" TargetMode="External"/><Relationship Id="rId10" Type="http://schemas.openxmlformats.org/officeDocument/2006/relationships/hyperlink" Target="https://www.instagram.com/_tsvik_v?igsh=YnhnZm9ubmR2MGVy" TargetMode="External"/><Relationship Id="rId54" Type="http://schemas.openxmlformats.org/officeDocument/2006/relationships/hyperlink" Target="https://www.instagram.com/reel/DX6tdyXqsJu/?igsh=cHFhamZtMm9lOW5o" TargetMode="External"/><Relationship Id="rId13" Type="http://schemas.openxmlformats.org/officeDocument/2006/relationships/hyperlink" Target="https://www.instagram.com/reel/DYH7-zLRA36/?igsh=MXhxZ2psMmFmMnZ2bA==" TargetMode="External"/><Relationship Id="rId57" Type="http://schemas.openxmlformats.org/officeDocument/2006/relationships/hyperlink" Target="https://www.instagram.com/svetlanakakosyan?igsh=czRuZ2d1Nmpqd2g4" TargetMode="External"/><Relationship Id="rId12" Type="http://schemas.openxmlformats.org/officeDocument/2006/relationships/hyperlink" Target="https://www.instagram.com/iwwashina?igsh=MTQ5N2lxb2hjeHoyNA==" TargetMode="External"/><Relationship Id="rId56" Type="http://schemas.openxmlformats.org/officeDocument/2006/relationships/hyperlink" Target="https://www.instagram.com/reel/DXUF8TODCvd/?igsh=ZXEwaTZ2ZXZ1NXM=" TargetMode="External"/><Relationship Id="rId15" Type="http://schemas.openxmlformats.org/officeDocument/2006/relationships/hyperlink" Target="https://www.instagram.com/reel/DYPO4IoIOR0/?igsh=MWJidm4zc2dndXV1ZQ==" TargetMode="External"/><Relationship Id="rId59" Type="http://schemas.openxmlformats.org/officeDocument/2006/relationships/hyperlink" Target="https://www.instagram.com/saintaruana?igsh=NG43b2t5M2owZmJp" TargetMode="External"/><Relationship Id="rId14" Type="http://schemas.openxmlformats.org/officeDocument/2006/relationships/hyperlink" Target="https://www.instagram.com/yuliyanadrova?igsh=eDY4dDU0ZXJsZW02" TargetMode="External"/><Relationship Id="rId58" Type="http://schemas.openxmlformats.org/officeDocument/2006/relationships/hyperlink" Target="https://www.instagram.com/reel/DXEj9FfjQKG/?igsh=ajkxbWQzYWdidXJ2" TargetMode="External"/><Relationship Id="rId17" Type="http://schemas.openxmlformats.org/officeDocument/2006/relationships/hyperlink" Target="https://www.instagram.com/reel/DYSNCtYNidI/?igsh=MWM1NTFmcWEwbGE5cg==" TargetMode="External"/><Relationship Id="rId16" Type="http://schemas.openxmlformats.org/officeDocument/2006/relationships/hyperlink" Target="https://www.instagram.com/vorontsovanicole?igsh=MTNsa2R2cjVnaGc5Nw==" TargetMode="External"/><Relationship Id="rId19" Type="http://schemas.openxmlformats.org/officeDocument/2006/relationships/hyperlink" Target="https://www.instagram.com/reel/DYExSK_hCY7/?igsh=aTE2OWo1d20wNjVt" TargetMode="External"/><Relationship Id="rId18" Type="http://schemas.openxmlformats.org/officeDocument/2006/relationships/hyperlink" Target="https://www.instagram.com/aleksanees?igsh=MWRuOWdwc3ZrZjBveQ==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t.me/beautyluch" TargetMode="External"/><Relationship Id="rId2" Type="http://schemas.openxmlformats.org/officeDocument/2006/relationships/hyperlink" Target="https://t.me/romanovapechataet" TargetMode="External"/><Relationship Id="rId3" Type="http://schemas.openxmlformats.org/officeDocument/2006/relationships/hyperlink" Target="https://www.instagram.com/viktoria_puzhel?igsh=N2hhZGN3Y2J5NG0y" TargetMode="External"/><Relationship Id="rId4" Type="http://schemas.openxmlformats.org/officeDocument/2006/relationships/hyperlink" Target="https://t.me/yana_budni1" TargetMode="External"/><Relationship Id="rId9" Type="http://schemas.openxmlformats.org/officeDocument/2006/relationships/drawing" Target="../drawings/drawing9.xml"/><Relationship Id="rId5" Type="http://schemas.openxmlformats.org/officeDocument/2006/relationships/hyperlink" Target="https://t.me/janezett" TargetMode="External"/><Relationship Id="rId6" Type="http://schemas.openxmlformats.org/officeDocument/2006/relationships/hyperlink" Target="https://t.me/incredibleane" TargetMode="External"/><Relationship Id="rId7" Type="http://schemas.openxmlformats.org/officeDocument/2006/relationships/hyperlink" Target="https://www.instagram.com/nadi.wish?igsh=MXNranMyZHRteXg3Zg==" TargetMode="External"/><Relationship Id="rId8" Type="http://schemas.openxmlformats.org/officeDocument/2006/relationships/hyperlink" Target="https://www.instagram.com/gg_xxl_?igsh=MWhoOHd4ZW5zbTN4Ng=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8.25"/>
    <col customWidth="1" min="12" max="12" width="2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</row>
    <row r="2">
      <c r="A2" s="4">
        <v>46165.0</v>
      </c>
      <c r="B2" s="5" t="s">
        <v>12</v>
      </c>
      <c r="C2" s="6" t="s">
        <v>13</v>
      </c>
      <c r="D2" s="5" t="s">
        <v>14</v>
      </c>
      <c r="E2" s="7">
        <v>3500.0</v>
      </c>
      <c r="F2" s="8" t="s">
        <v>15</v>
      </c>
      <c r="G2" s="9" t="s">
        <v>16</v>
      </c>
      <c r="H2" s="9" t="s">
        <v>17</v>
      </c>
      <c r="I2" s="9" t="s">
        <v>18</v>
      </c>
      <c r="J2" s="9">
        <v>128.0</v>
      </c>
      <c r="K2" s="10">
        <f t="shared" ref="K2:K4" si="1">E2/J2</f>
        <v>27.34375</v>
      </c>
      <c r="L2" s="8" t="s">
        <v>19</v>
      </c>
    </row>
    <row r="3">
      <c r="A3" s="4">
        <v>46170.0</v>
      </c>
      <c r="B3" s="7" t="s">
        <v>20</v>
      </c>
      <c r="C3" s="11" t="s">
        <v>21</v>
      </c>
      <c r="D3" s="7" t="s">
        <v>22</v>
      </c>
      <c r="E3" s="7">
        <v>2000.0</v>
      </c>
      <c r="F3" s="9" t="s">
        <v>23</v>
      </c>
      <c r="G3" s="9" t="s">
        <v>24</v>
      </c>
      <c r="H3" s="9">
        <v>0.0</v>
      </c>
      <c r="I3" s="9" t="s">
        <v>18</v>
      </c>
      <c r="J3" s="9">
        <v>4.0</v>
      </c>
      <c r="K3" s="12">
        <f t="shared" si="1"/>
        <v>500</v>
      </c>
      <c r="L3" s="8" t="s">
        <v>19</v>
      </c>
    </row>
    <row r="4">
      <c r="A4" s="4">
        <v>46172.0</v>
      </c>
      <c r="B4" s="7" t="s">
        <v>25</v>
      </c>
      <c r="C4" s="11" t="s">
        <v>26</v>
      </c>
      <c r="D4" s="7" t="s">
        <v>22</v>
      </c>
      <c r="E4" s="7">
        <v>2000.0</v>
      </c>
      <c r="F4" s="9" t="s">
        <v>27</v>
      </c>
      <c r="G4" s="9" t="s">
        <v>28</v>
      </c>
      <c r="H4" s="9">
        <v>0.0</v>
      </c>
      <c r="I4" s="9" t="s">
        <v>18</v>
      </c>
      <c r="J4" s="9">
        <v>0.0</v>
      </c>
      <c r="K4" s="12" t="str">
        <f t="shared" si="1"/>
        <v>#DIV/0!</v>
      </c>
      <c r="L4" s="8" t="s">
        <v>19</v>
      </c>
    </row>
    <row r="5">
      <c r="A5" s="4">
        <v>46182.0</v>
      </c>
      <c r="B5" s="5" t="s">
        <v>29</v>
      </c>
      <c r="C5" s="11" t="s">
        <v>30</v>
      </c>
      <c r="D5" s="7" t="s">
        <v>22</v>
      </c>
      <c r="E5" s="7" t="s">
        <v>31</v>
      </c>
      <c r="F5" s="9" t="s">
        <v>32</v>
      </c>
      <c r="G5" s="12"/>
      <c r="H5" s="12"/>
      <c r="I5" s="9" t="s">
        <v>18</v>
      </c>
      <c r="J5" s="12"/>
      <c r="K5" s="12"/>
      <c r="L5" s="8" t="s">
        <v>33</v>
      </c>
    </row>
    <row r="6">
      <c r="A6" s="13"/>
      <c r="B6" s="14" t="s">
        <v>34</v>
      </c>
      <c r="C6" s="11" t="s">
        <v>35</v>
      </c>
      <c r="D6" s="7" t="s">
        <v>36</v>
      </c>
      <c r="E6" s="7" t="s">
        <v>37</v>
      </c>
      <c r="F6" s="9" t="s">
        <v>38</v>
      </c>
      <c r="G6" s="12"/>
      <c r="H6" s="12"/>
      <c r="I6" s="9" t="s">
        <v>18</v>
      </c>
      <c r="J6" s="12"/>
      <c r="K6" s="12"/>
      <c r="L6" s="8" t="s">
        <v>39</v>
      </c>
    </row>
    <row r="7">
      <c r="A7" s="4">
        <v>46280.0</v>
      </c>
      <c r="B7" s="7" t="s">
        <v>40</v>
      </c>
      <c r="C7" s="11" t="s">
        <v>41</v>
      </c>
      <c r="D7" s="7" t="s">
        <v>36</v>
      </c>
      <c r="E7" s="7" t="s">
        <v>37</v>
      </c>
      <c r="F7" s="12"/>
      <c r="G7" s="12"/>
      <c r="H7" s="12"/>
      <c r="I7" s="9" t="s">
        <v>18</v>
      </c>
      <c r="J7" s="12"/>
      <c r="K7" s="12"/>
      <c r="L7" s="8" t="s">
        <v>42</v>
      </c>
    </row>
    <row r="8">
      <c r="A8" s="13"/>
      <c r="B8" s="14" t="s">
        <v>43</v>
      </c>
      <c r="C8" s="11" t="s">
        <v>44</v>
      </c>
      <c r="D8" s="7" t="s">
        <v>36</v>
      </c>
      <c r="E8" s="7" t="s">
        <v>45</v>
      </c>
      <c r="F8" s="9" t="s">
        <v>46</v>
      </c>
      <c r="G8" s="13"/>
      <c r="H8" s="13"/>
      <c r="I8" s="9" t="s">
        <v>18</v>
      </c>
      <c r="J8" s="13"/>
      <c r="K8" s="13"/>
      <c r="L8" s="8" t="s">
        <v>47</v>
      </c>
    </row>
    <row r="9">
      <c r="A9" s="15"/>
      <c r="B9" s="16" t="s">
        <v>48</v>
      </c>
      <c r="C9" s="17" t="s">
        <v>49</v>
      </c>
      <c r="D9" s="16" t="s">
        <v>50</v>
      </c>
      <c r="E9" s="16" t="s">
        <v>37</v>
      </c>
      <c r="F9" s="15"/>
      <c r="G9" s="15"/>
      <c r="H9" s="15"/>
      <c r="I9" s="18" t="s">
        <v>18</v>
      </c>
      <c r="J9" s="15"/>
      <c r="K9" s="15"/>
      <c r="L9" s="19" t="s">
        <v>51</v>
      </c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>
      <c r="A10" s="13"/>
      <c r="B10" s="14" t="s">
        <v>52</v>
      </c>
      <c r="C10" s="11" t="s">
        <v>53</v>
      </c>
      <c r="D10" s="7" t="s">
        <v>50</v>
      </c>
      <c r="E10" s="7" t="s">
        <v>37</v>
      </c>
      <c r="F10" s="13"/>
      <c r="G10" s="13"/>
      <c r="H10" s="13"/>
      <c r="I10" s="9" t="s">
        <v>18</v>
      </c>
      <c r="J10" s="13"/>
      <c r="K10" s="13"/>
      <c r="L10" s="8" t="s">
        <v>54</v>
      </c>
    </row>
    <row r="11">
      <c r="A11" s="13"/>
      <c r="B11" s="7" t="s">
        <v>55</v>
      </c>
      <c r="C11" s="11" t="s">
        <v>56</v>
      </c>
      <c r="D11" s="7" t="s">
        <v>36</v>
      </c>
      <c r="E11" s="7" t="s">
        <v>57</v>
      </c>
      <c r="F11" s="13"/>
      <c r="G11" s="13"/>
      <c r="H11" s="13"/>
      <c r="I11" s="9" t="s">
        <v>18</v>
      </c>
      <c r="J11" s="13"/>
      <c r="K11" s="13"/>
      <c r="L11" s="8" t="s">
        <v>58</v>
      </c>
    </row>
    <row r="12">
      <c r="A12" s="13"/>
      <c r="B12" s="7" t="s">
        <v>59</v>
      </c>
      <c r="C12" s="11" t="s">
        <v>60</v>
      </c>
      <c r="D12" s="7" t="s">
        <v>36</v>
      </c>
      <c r="E12" s="7" t="s">
        <v>37</v>
      </c>
      <c r="F12" s="21"/>
      <c r="G12" s="21"/>
      <c r="H12" s="21"/>
      <c r="I12" s="5" t="s">
        <v>18</v>
      </c>
      <c r="J12" s="21"/>
      <c r="K12" s="21"/>
      <c r="L12" s="5" t="s">
        <v>61</v>
      </c>
    </row>
    <row r="13">
      <c r="A13" s="22"/>
      <c r="B13" s="22"/>
      <c r="C13" s="22"/>
      <c r="D13" s="22"/>
      <c r="E13" s="22"/>
    </row>
    <row r="14">
      <c r="A14" s="22"/>
      <c r="B14" s="22"/>
      <c r="C14" s="22"/>
      <c r="D14" s="22"/>
      <c r="E14" s="22"/>
    </row>
    <row r="15">
      <c r="A15" s="22"/>
      <c r="B15" s="22"/>
      <c r="C15" s="22"/>
      <c r="D15" s="22"/>
      <c r="E15" s="22"/>
    </row>
    <row r="16">
      <c r="B16" s="22"/>
      <c r="C16" s="22"/>
      <c r="D16" s="22"/>
      <c r="E16" s="22"/>
    </row>
    <row r="17">
      <c r="B17" s="22"/>
      <c r="C17" s="22"/>
      <c r="D17" s="22"/>
      <c r="E17" s="22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</hyperlinks>
  <drawing r:id="rId1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7.0"/>
    <col customWidth="1" min="6" max="6" width="18.25"/>
  </cols>
  <sheetData>
    <row r="1">
      <c r="A1" s="1" t="s">
        <v>0</v>
      </c>
      <c r="B1" s="1" t="s">
        <v>1</v>
      </c>
      <c r="C1" s="1" t="s">
        <v>2</v>
      </c>
      <c r="D1" s="1" t="s">
        <v>62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</row>
    <row r="2">
      <c r="A2" s="4">
        <v>46165.0</v>
      </c>
      <c r="B2" s="7" t="s">
        <v>63</v>
      </c>
      <c r="C2" s="11" t="s">
        <v>64</v>
      </c>
      <c r="D2" s="9" t="s">
        <v>22</v>
      </c>
      <c r="E2" s="9">
        <v>2000.0</v>
      </c>
      <c r="F2" s="9" t="s">
        <v>65</v>
      </c>
      <c r="G2" s="23" t="s">
        <v>66</v>
      </c>
      <c r="H2" s="23">
        <v>0.0</v>
      </c>
      <c r="I2" s="7" t="s">
        <v>18</v>
      </c>
      <c r="J2" s="7">
        <v>25.0</v>
      </c>
      <c r="K2" s="13">
        <f t="shared" ref="K2:K6" si="1">E2/J2</f>
        <v>80</v>
      </c>
    </row>
    <row r="3">
      <c r="A3" s="4">
        <v>46165.0</v>
      </c>
      <c r="B3" s="7" t="s">
        <v>67</v>
      </c>
      <c r="C3" s="6" t="s">
        <v>68</v>
      </c>
      <c r="D3" s="9" t="s">
        <v>22</v>
      </c>
      <c r="E3" s="9">
        <v>2000.0</v>
      </c>
      <c r="F3" s="9" t="s">
        <v>69</v>
      </c>
      <c r="G3" s="23" t="s">
        <v>70</v>
      </c>
      <c r="H3" s="7">
        <v>0.0</v>
      </c>
      <c r="I3" s="7" t="s">
        <v>18</v>
      </c>
      <c r="J3" s="7">
        <v>19.0</v>
      </c>
      <c r="K3" s="13">
        <f t="shared" si="1"/>
        <v>105.2631579</v>
      </c>
    </row>
    <row r="4">
      <c r="A4" s="4">
        <v>46171.0</v>
      </c>
      <c r="B4" s="7" t="s">
        <v>71</v>
      </c>
      <c r="C4" s="24" t="s">
        <v>72</v>
      </c>
      <c r="D4" s="9" t="s">
        <v>22</v>
      </c>
      <c r="E4" s="9">
        <v>1500.0</v>
      </c>
      <c r="F4" s="9" t="s">
        <v>73</v>
      </c>
      <c r="G4" s="9" t="s">
        <v>74</v>
      </c>
      <c r="H4" s="9">
        <v>0.0</v>
      </c>
      <c r="I4" s="7" t="s">
        <v>18</v>
      </c>
      <c r="J4" s="9">
        <v>8.0</v>
      </c>
      <c r="K4" s="13">
        <f t="shared" si="1"/>
        <v>187.5</v>
      </c>
    </row>
    <row r="5">
      <c r="A5" s="4">
        <v>46171.0</v>
      </c>
      <c r="B5" s="7" t="s">
        <v>75</v>
      </c>
      <c r="C5" s="24" t="s">
        <v>76</v>
      </c>
      <c r="D5" s="9" t="s">
        <v>22</v>
      </c>
      <c r="E5" s="9">
        <v>1000.0</v>
      </c>
      <c r="F5" s="9" t="s">
        <v>77</v>
      </c>
      <c r="G5" s="9" t="s">
        <v>78</v>
      </c>
      <c r="H5" s="9">
        <v>0.0</v>
      </c>
      <c r="I5" s="7" t="s">
        <v>18</v>
      </c>
      <c r="J5" s="9">
        <v>35.0</v>
      </c>
      <c r="K5" s="13">
        <f t="shared" si="1"/>
        <v>28.57142857</v>
      </c>
    </row>
    <row r="6">
      <c r="A6" s="4">
        <v>46172.0</v>
      </c>
      <c r="B6" s="7" t="s">
        <v>79</v>
      </c>
      <c r="C6" s="24" t="s">
        <v>80</v>
      </c>
      <c r="D6" s="9" t="s">
        <v>22</v>
      </c>
      <c r="E6" s="9">
        <v>1300.0</v>
      </c>
      <c r="F6" s="9" t="s">
        <v>81</v>
      </c>
      <c r="G6" s="9" t="s">
        <v>82</v>
      </c>
      <c r="H6" s="9">
        <v>0.0</v>
      </c>
      <c r="I6" s="7" t="s">
        <v>18</v>
      </c>
      <c r="J6" s="9">
        <v>13.0</v>
      </c>
      <c r="K6" s="13">
        <f t="shared" si="1"/>
        <v>100</v>
      </c>
    </row>
    <row r="7">
      <c r="A7" s="13"/>
      <c r="B7" s="13"/>
      <c r="C7" s="13"/>
      <c r="D7" s="12"/>
      <c r="E7" s="12"/>
      <c r="F7" s="12"/>
      <c r="G7" s="12"/>
      <c r="H7" s="12"/>
      <c r="I7" s="12"/>
      <c r="J7" s="12"/>
      <c r="K7" s="12"/>
    </row>
    <row r="8">
      <c r="A8" s="13"/>
      <c r="B8" s="13"/>
      <c r="C8" s="13"/>
      <c r="D8" s="12"/>
      <c r="E8" s="12"/>
      <c r="F8" s="12"/>
      <c r="G8" s="12"/>
      <c r="H8" s="12"/>
      <c r="I8" s="12"/>
      <c r="J8" s="12"/>
      <c r="K8" s="12"/>
    </row>
    <row r="9">
      <c r="A9" s="13"/>
      <c r="B9" s="13"/>
      <c r="C9" s="13"/>
      <c r="D9" s="12"/>
      <c r="E9" s="12"/>
      <c r="F9" s="12"/>
      <c r="G9" s="12"/>
      <c r="H9" s="12"/>
      <c r="I9" s="12"/>
      <c r="J9" s="12"/>
      <c r="K9" s="12"/>
    </row>
    <row r="10">
      <c r="A10" s="13"/>
      <c r="B10" s="13"/>
      <c r="C10" s="13"/>
      <c r="D10" s="12"/>
      <c r="E10" s="12"/>
      <c r="F10" s="12"/>
      <c r="G10" s="12"/>
      <c r="H10" s="12"/>
      <c r="I10" s="12"/>
      <c r="J10" s="12"/>
      <c r="K10" s="12"/>
    </row>
    <row r="11">
      <c r="A11" s="13"/>
      <c r="B11" s="13"/>
      <c r="C11" s="13"/>
      <c r="D11" s="12"/>
      <c r="E11" s="12"/>
      <c r="F11" s="12"/>
      <c r="G11" s="12"/>
      <c r="H11" s="12"/>
      <c r="I11" s="12"/>
      <c r="J11" s="12"/>
      <c r="K11" s="12"/>
    </row>
    <row r="12">
      <c r="A12" s="13"/>
      <c r="B12" s="13"/>
      <c r="C12" s="13"/>
      <c r="D12" s="12"/>
      <c r="E12" s="12"/>
      <c r="F12" s="12"/>
      <c r="G12" s="12"/>
      <c r="H12" s="12"/>
      <c r="I12" s="12"/>
      <c r="J12" s="12"/>
      <c r="K12" s="12"/>
    </row>
    <row r="13">
      <c r="A13" s="13"/>
      <c r="B13" s="13"/>
      <c r="C13" s="13"/>
      <c r="D13" s="12"/>
      <c r="E13" s="12"/>
      <c r="F13" s="12"/>
      <c r="G13" s="12"/>
      <c r="H13" s="12"/>
      <c r="I13" s="12"/>
      <c r="J13" s="12"/>
      <c r="K13" s="12"/>
    </row>
    <row r="14">
      <c r="D14" s="25"/>
      <c r="E14" s="25"/>
      <c r="F14" s="25"/>
      <c r="G14" s="25"/>
      <c r="H14" s="25"/>
      <c r="I14" s="25"/>
      <c r="J14" s="25"/>
      <c r="K14" s="25"/>
    </row>
    <row r="15">
      <c r="D15" s="25"/>
      <c r="E15" s="25"/>
      <c r="F15" s="25"/>
      <c r="G15" s="25"/>
      <c r="H15" s="25"/>
      <c r="I15" s="25"/>
      <c r="J15" s="25"/>
      <c r="K15" s="25"/>
    </row>
  </sheetData>
  <hyperlinks>
    <hyperlink r:id="rId1" ref="C2"/>
    <hyperlink r:id="rId2" ref="C3"/>
    <hyperlink r:id="rId3" ref="C4"/>
    <hyperlink r:id="rId4" ref="C5"/>
    <hyperlink r:id="rId5" ref="C6"/>
  </hyperlinks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  <col customWidth="1" min="2" max="2" width="25.25"/>
    <col customWidth="1" min="7" max="7" width="25.38"/>
    <col customWidth="1" min="8" max="9" width="13.5"/>
  </cols>
  <sheetData>
    <row r="1" ht="31.5" customHeight="1">
      <c r="A1" s="26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</row>
    <row r="2">
      <c r="A2" s="28" t="s">
        <v>83</v>
      </c>
      <c r="B2" s="2" t="s">
        <v>84</v>
      </c>
      <c r="C2" s="2" t="s">
        <v>85</v>
      </c>
      <c r="D2" s="2" t="s">
        <v>86</v>
      </c>
      <c r="E2" s="2" t="s">
        <v>87</v>
      </c>
      <c r="F2" s="3" t="s">
        <v>88</v>
      </c>
      <c r="G2" s="3" t="s">
        <v>89</v>
      </c>
      <c r="H2" s="2" t="s">
        <v>6</v>
      </c>
      <c r="I2" s="2" t="s">
        <v>7</v>
      </c>
      <c r="J2" s="3" t="s">
        <v>8</v>
      </c>
      <c r="K2" s="2" t="s">
        <v>9</v>
      </c>
      <c r="L2" s="2" t="s">
        <v>10</v>
      </c>
    </row>
    <row r="3">
      <c r="A3" s="29"/>
      <c r="B3" s="30" t="s">
        <v>90</v>
      </c>
      <c r="C3" s="31"/>
      <c r="D3" s="31"/>
      <c r="E3" s="31"/>
      <c r="F3" s="31"/>
      <c r="G3" s="31"/>
      <c r="H3" s="31"/>
      <c r="I3" s="31"/>
      <c r="J3" s="31"/>
      <c r="K3" s="31"/>
      <c r="L3" s="32"/>
      <c r="M3" s="33" t="s">
        <v>91</v>
      </c>
      <c r="N3" s="34">
        <f>SUM(G3:G10)</f>
        <v>0</v>
      </c>
    </row>
    <row r="4">
      <c r="A4" s="35" t="s">
        <v>92</v>
      </c>
      <c r="B4" s="36" t="s">
        <v>93</v>
      </c>
      <c r="C4" s="37">
        <v>30579.0</v>
      </c>
      <c r="D4" s="38"/>
      <c r="E4" s="38"/>
      <c r="F4" s="38"/>
      <c r="G4" s="39" t="s">
        <v>94</v>
      </c>
      <c r="H4" s="39"/>
      <c r="I4" s="39"/>
      <c r="J4" s="40"/>
      <c r="K4" s="38"/>
      <c r="L4" s="41"/>
      <c r="M4" s="33" t="s">
        <v>95</v>
      </c>
      <c r="N4" s="34">
        <f>SUM(K3:K10)</f>
        <v>24</v>
      </c>
    </row>
    <row r="5">
      <c r="A5" s="35" t="s">
        <v>96</v>
      </c>
      <c r="B5" s="6" t="s">
        <v>97</v>
      </c>
      <c r="C5" s="37">
        <v>10706.0</v>
      </c>
      <c r="D5" s="38"/>
      <c r="E5" s="37" t="s">
        <v>19</v>
      </c>
      <c r="F5" s="38"/>
      <c r="G5" s="40"/>
      <c r="H5" s="40"/>
      <c r="I5" s="40"/>
      <c r="J5" s="40"/>
      <c r="K5" s="38"/>
      <c r="L5" s="41"/>
      <c r="M5" s="42" t="s">
        <v>98</v>
      </c>
      <c r="N5" s="43">
        <f>N3/N4</f>
        <v>0</v>
      </c>
    </row>
    <row r="6">
      <c r="A6" s="35" t="s">
        <v>99</v>
      </c>
      <c r="B6" s="6" t="s">
        <v>100</v>
      </c>
      <c r="C6" s="37">
        <v>15941.0</v>
      </c>
      <c r="D6" s="38"/>
      <c r="E6" s="38"/>
      <c r="F6" s="38"/>
      <c r="G6" s="40"/>
      <c r="H6" s="40"/>
      <c r="I6" s="40"/>
      <c r="J6" s="40"/>
      <c r="K6" s="38"/>
      <c r="L6" s="41"/>
    </row>
    <row r="7">
      <c r="A7" s="35" t="s">
        <v>101</v>
      </c>
      <c r="B7" s="6" t="s">
        <v>102</v>
      </c>
      <c r="C7" s="37">
        <v>29275.0</v>
      </c>
      <c r="D7" s="38"/>
      <c r="E7" s="38"/>
      <c r="F7" s="38"/>
      <c r="G7" s="39" t="s">
        <v>103</v>
      </c>
      <c r="H7" s="39"/>
      <c r="I7" s="39"/>
      <c r="J7" s="38"/>
      <c r="K7" s="38"/>
      <c r="L7" s="38"/>
    </row>
    <row r="8">
      <c r="A8" s="44" t="s">
        <v>104</v>
      </c>
      <c r="B8" s="6" t="s">
        <v>105</v>
      </c>
      <c r="C8" s="45">
        <v>26975.0</v>
      </c>
      <c r="D8" s="46"/>
      <c r="E8" s="46"/>
      <c r="F8" s="46"/>
      <c r="G8" s="44" t="s">
        <v>106</v>
      </c>
      <c r="H8" s="44"/>
      <c r="I8" s="44"/>
      <c r="J8" s="46"/>
      <c r="K8" s="46"/>
      <c r="L8" s="46"/>
    </row>
    <row r="9" ht="27.0" customHeight="1">
      <c r="A9" s="44" t="s">
        <v>107</v>
      </c>
      <c r="B9" s="6" t="s">
        <v>64</v>
      </c>
      <c r="C9" s="45">
        <v>9279.0</v>
      </c>
      <c r="D9" s="46"/>
      <c r="E9" s="47" t="s">
        <v>108</v>
      </c>
      <c r="F9" s="46"/>
      <c r="G9" s="48" t="s">
        <v>109</v>
      </c>
      <c r="H9" s="49" t="s">
        <v>110</v>
      </c>
      <c r="I9" s="49">
        <v>0.0</v>
      </c>
      <c r="J9" s="45" t="s">
        <v>18</v>
      </c>
      <c r="K9" s="45">
        <v>24.0</v>
      </c>
      <c r="L9" s="46">
        <f>2000/24</f>
        <v>83.33333333</v>
      </c>
    </row>
    <row r="10">
      <c r="A10" s="44" t="s">
        <v>111</v>
      </c>
      <c r="B10" s="6" t="s">
        <v>112</v>
      </c>
      <c r="C10" s="45">
        <v>18865.0</v>
      </c>
      <c r="D10" s="46"/>
      <c r="E10" s="46"/>
      <c r="F10" s="46"/>
      <c r="G10" s="50"/>
      <c r="H10" s="50"/>
      <c r="I10" s="50"/>
      <c r="J10" s="46"/>
      <c r="K10" s="46"/>
      <c r="L10" s="46"/>
    </row>
    <row r="11">
      <c r="A11" s="44" t="s">
        <v>113</v>
      </c>
      <c r="B11" s="6" t="s">
        <v>114</v>
      </c>
      <c r="C11" s="45">
        <v>20910.0</v>
      </c>
      <c r="D11" s="46"/>
      <c r="E11" s="46"/>
      <c r="F11" s="46"/>
      <c r="G11" s="44" t="s">
        <v>115</v>
      </c>
      <c r="H11" s="44"/>
      <c r="I11" s="44"/>
      <c r="J11" s="46"/>
      <c r="K11" s="46"/>
      <c r="L11" s="46"/>
    </row>
    <row r="12">
      <c r="A12" s="44" t="s">
        <v>116</v>
      </c>
      <c r="B12" s="6" t="s">
        <v>117</v>
      </c>
      <c r="C12" s="45">
        <v>10579.0</v>
      </c>
      <c r="D12" s="46"/>
      <c r="E12" s="46"/>
      <c r="F12" s="46"/>
      <c r="G12" s="44">
        <v>7900.0</v>
      </c>
      <c r="H12" s="50"/>
      <c r="I12" s="50"/>
      <c r="J12" s="46"/>
      <c r="K12" s="46"/>
      <c r="L12" s="46"/>
    </row>
    <row r="13">
      <c r="A13" s="44" t="s">
        <v>118</v>
      </c>
      <c r="B13" s="6" t="s">
        <v>119</v>
      </c>
      <c r="C13" s="45">
        <v>943.0</v>
      </c>
      <c r="D13" s="45"/>
      <c r="E13" s="45" t="s">
        <v>19</v>
      </c>
      <c r="F13" s="46"/>
      <c r="G13" s="50"/>
      <c r="H13" s="50"/>
      <c r="I13" s="50"/>
      <c r="J13" s="46"/>
      <c r="K13" s="46"/>
      <c r="L13" s="46"/>
    </row>
    <row r="14" ht="24.0" customHeight="1">
      <c r="A14" s="44" t="s">
        <v>120</v>
      </c>
      <c r="B14" s="6" t="s">
        <v>121</v>
      </c>
      <c r="C14" s="45">
        <v>18487.0</v>
      </c>
      <c r="D14" s="46"/>
      <c r="E14" s="45" t="s">
        <v>122</v>
      </c>
      <c r="F14" s="46"/>
      <c r="G14" s="44" t="s">
        <v>123</v>
      </c>
      <c r="H14" s="44"/>
      <c r="I14" s="44"/>
      <c r="J14" s="46"/>
      <c r="K14" s="46"/>
      <c r="L14" s="46"/>
    </row>
    <row r="15">
      <c r="A15" s="44" t="s">
        <v>124</v>
      </c>
      <c r="B15" s="6" t="s">
        <v>125</v>
      </c>
      <c r="C15" s="45">
        <v>9384.0</v>
      </c>
      <c r="D15" s="46"/>
      <c r="E15" s="45" t="s">
        <v>126</v>
      </c>
      <c r="F15" s="46"/>
      <c r="G15" s="44" t="s">
        <v>127</v>
      </c>
      <c r="H15" s="44"/>
      <c r="I15" s="44"/>
      <c r="J15" s="46"/>
      <c r="K15" s="46"/>
      <c r="L15" s="46"/>
    </row>
    <row r="16">
      <c r="A16" s="44" t="s">
        <v>128</v>
      </c>
      <c r="B16" s="6" t="s">
        <v>129</v>
      </c>
      <c r="C16" s="45">
        <v>20800.0</v>
      </c>
      <c r="D16" s="46"/>
      <c r="E16" s="46"/>
      <c r="F16" s="46"/>
      <c r="G16" s="50"/>
      <c r="H16" s="50"/>
      <c r="I16" s="50"/>
      <c r="J16" s="46"/>
      <c r="K16" s="46"/>
      <c r="L16" s="46"/>
    </row>
    <row r="17">
      <c r="A17" s="44" t="s">
        <v>130</v>
      </c>
      <c r="B17" s="6" t="s">
        <v>131</v>
      </c>
      <c r="C17" s="45">
        <v>20739.0</v>
      </c>
      <c r="D17" s="46"/>
      <c r="E17" s="46"/>
      <c r="F17" s="46"/>
      <c r="G17" s="44" t="s">
        <v>132</v>
      </c>
      <c r="H17" s="44"/>
      <c r="I17" s="44"/>
      <c r="J17" s="46"/>
      <c r="K17" s="46"/>
      <c r="L17" s="46"/>
    </row>
    <row r="18">
      <c r="A18" s="44" t="s">
        <v>71</v>
      </c>
      <c r="B18" s="6" t="s">
        <v>72</v>
      </c>
      <c r="C18" s="45">
        <v>9483.0</v>
      </c>
      <c r="D18" s="46"/>
      <c r="E18" s="47" t="s">
        <v>133</v>
      </c>
      <c r="F18" s="46"/>
      <c r="G18" s="48" t="s">
        <v>134</v>
      </c>
      <c r="J18" s="46"/>
      <c r="K18" s="46"/>
      <c r="L18" s="46"/>
    </row>
    <row r="19">
      <c r="A19" s="44" t="s">
        <v>135</v>
      </c>
      <c r="B19" s="6" t="s">
        <v>136</v>
      </c>
      <c r="C19" s="45">
        <v>18125.0</v>
      </c>
      <c r="D19" s="46"/>
      <c r="E19" s="46"/>
      <c r="F19" s="46"/>
      <c r="G19" s="44" t="s">
        <v>137</v>
      </c>
      <c r="H19" s="44"/>
      <c r="I19" s="44"/>
      <c r="J19" s="46"/>
      <c r="K19" s="46"/>
      <c r="L19" s="46"/>
    </row>
    <row r="20">
      <c r="A20" s="44" t="s">
        <v>138</v>
      </c>
      <c r="B20" s="6" t="s">
        <v>139</v>
      </c>
      <c r="C20" s="45">
        <v>30856.0</v>
      </c>
      <c r="D20" s="46"/>
      <c r="E20" s="46"/>
      <c r="F20" s="46"/>
      <c r="G20" s="50"/>
      <c r="H20" s="50"/>
      <c r="I20" s="50"/>
      <c r="J20" s="46"/>
      <c r="K20" s="46"/>
      <c r="L20" s="46"/>
    </row>
    <row r="21">
      <c r="A21" s="44" t="s">
        <v>140</v>
      </c>
      <c r="B21" s="6" t="s">
        <v>141</v>
      </c>
      <c r="C21" s="45">
        <v>21844.0</v>
      </c>
      <c r="D21" s="46"/>
      <c r="E21" s="46"/>
      <c r="F21" s="46"/>
      <c r="G21" s="44">
        <v>25000.0</v>
      </c>
      <c r="H21" s="50"/>
      <c r="I21" s="50"/>
      <c r="J21" s="46"/>
      <c r="K21" s="46"/>
      <c r="L21" s="46"/>
    </row>
    <row r="22">
      <c r="A22" s="44" t="s">
        <v>142</v>
      </c>
      <c r="B22" s="6" t="s">
        <v>143</v>
      </c>
      <c r="C22" s="45">
        <v>25312.0</v>
      </c>
      <c r="D22" s="46"/>
      <c r="E22" s="46"/>
      <c r="F22" s="46"/>
      <c r="G22" s="50"/>
      <c r="H22" s="50"/>
      <c r="I22" s="50"/>
      <c r="J22" s="46"/>
      <c r="K22" s="46"/>
      <c r="L22" s="46"/>
    </row>
    <row r="23">
      <c r="A23" s="44" t="s">
        <v>144</v>
      </c>
      <c r="B23" s="6" t="s">
        <v>145</v>
      </c>
      <c r="C23" s="45">
        <v>6698.0</v>
      </c>
      <c r="D23" s="46"/>
      <c r="E23" s="46"/>
      <c r="F23" s="46"/>
      <c r="G23" s="44" t="s">
        <v>146</v>
      </c>
      <c r="H23" s="44"/>
      <c r="I23" s="44"/>
      <c r="J23" s="46"/>
      <c r="K23" s="46"/>
      <c r="L23" s="46"/>
    </row>
    <row r="24" ht="28.5" customHeight="1">
      <c r="A24" s="44" t="s">
        <v>147</v>
      </c>
      <c r="B24" s="6" t="s">
        <v>68</v>
      </c>
      <c r="C24" s="45">
        <v>10845.0</v>
      </c>
      <c r="D24" s="46"/>
      <c r="E24" s="47" t="s">
        <v>133</v>
      </c>
      <c r="F24" s="46"/>
      <c r="G24" s="48" t="s">
        <v>148</v>
      </c>
      <c r="H24" s="49" t="s">
        <v>149</v>
      </c>
      <c r="I24" s="45">
        <v>0.0</v>
      </c>
      <c r="J24" s="45" t="s">
        <v>18</v>
      </c>
      <c r="K24" s="45">
        <v>10.0</v>
      </c>
      <c r="L24" s="46">
        <f>2000/K24</f>
        <v>200</v>
      </c>
    </row>
    <row r="25" ht="33.75" customHeight="1">
      <c r="A25" s="44" t="s">
        <v>150</v>
      </c>
      <c r="B25" s="6" t="s">
        <v>151</v>
      </c>
      <c r="C25" s="45">
        <v>4276.0</v>
      </c>
      <c r="D25" s="46"/>
      <c r="E25" s="46"/>
      <c r="F25" s="46"/>
      <c r="G25" s="44" t="s">
        <v>152</v>
      </c>
      <c r="H25" s="50"/>
      <c r="I25" s="50"/>
      <c r="J25" s="46"/>
      <c r="K25" s="46"/>
      <c r="L25" s="46"/>
    </row>
    <row r="26" ht="25.5" customHeight="1">
      <c r="A26" s="44" t="s">
        <v>153</v>
      </c>
      <c r="B26" s="6" t="s">
        <v>154</v>
      </c>
      <c r="C26" s="45">
        <v>1600.0</v>
      </c>
      <c r="D26" s="46"/>
      <c r="E26" s="45" t="s">
        <v>126</v>
      </c>
      <c r="F26" s="46"/>
      <c r="G26" s="51" t="s">
        <v>155</v>
      </c>
      <c r="H26" s="44"/>
      <c r="I26" s="44"/>
      <c r="J26" s="46"/>
      <c r="K26" s="46"/>
      <c r="L26" s="46"/>
    </row>
    <row r="27">
      <c r="A27" s="44" t="s">
        <v>156</v>
      </c>
      <c r="B27" s="6" t="s">
        <v>157</v>
      </c>
      <c r="C27" s="45">
        <v>283.0</v>
      </c>
      <c r="D27" s="46"/>
      <c r="E27" s="44" t="s">
        <v>158</v>
      </c>
      <c r="F27" s="46"/>
      <c r="G27" s="48" t="s">
        <v>159</v>
      </c>
      <c r="J27" s="46"/>
      <c r="K27" s="46"/>
      <c r="L27" s="46"/>
    </row>
    <row r="28">
      <c r="A28" s="44" t="s">
        <v>160</v>
      </c>
      <c r="B28" s="6" t="s">
        <v>161</v>
      </c>
      <c r="C28" s="45">
        <v>20755.0</v>
      </c>
      <c r="D28" s="46"/>
      <c r="E28" s="44" t="s">
        <v>162</v>
      </c>
      <c r="F28" s="46"/>
      <c r="G28" s="44" t="s">
        <v>19</v>
      </c>
      <c r="H28" s="50"/>
      <c r="I28" s="50"/>
      <c r="J28" s="46"/>
      <c r="K28" s="46"/>
      <c r="L28" s="46"/>
    </row>
    <row r="29">
      <c r="A29" s="44" t="s">
        <v>163</v>
      </c>
      <c r="B29" s="6" t="s">
        <v>164</v>
      </c>
      <c r="C29" s="45">
        <v>3094.0</v>
      </c>
      <c r="D29" s="46"/>
      <c r="E29" s="44" t="s">
        <v>162</v>
      </c>
      <c r="F29" s="46"/>
      <c r="G29" s="44" t="s">
        <v>19</v>
      </c>
      <c r="H29" s="50"/>
      <c r="I29" s="50"/>
      <c r="J29" s="46"/>
      <c r="K29" s="46"/>
      <c r="L29" s="46"/>
    </row>
    <row r="30" ht="24.75" customHeight="1">
      <c r="A30" s="44" t="s">
        <v>165</v>
      </c>
      <c r="B30" s="6" t="s">
        <v>166</v>
      </c>
      <c r="C30" s="45">
        <v>18404.0</v>
      </c>
      <c r="D30" s="46"/>
      <c r="E30" s="50"/>
      <c r="F30" s="46"/>
      <c r="G30" s="44" t="s">
        <v>167</v>
      </c>
      <c r="H30" s="44"/>
      <c r="I30" s="44"/>
      <c r="J30" s="46"/>
      <c r="K30" s="46"/>
      <c r="L30" s="46"/>
    </row>
    <row r="31" ht="19.5" customHeight="1">
      <c r="A31" s="44" t="s">
        <v>168</v>
      </c>
      <c r="B31" s="6" t="s">
        <v>169</v>
      </c>
      <c r="C31" s="45">
        <v>10565.0</v>
      </c>
      <c r="D31" s="46"/>
      <c r="E31" s="44" t="s">
        <v>170</v>
      </c>
      <c r="F31" s="46"/>
      <c r="G31" s="51" t="s">
        <v>171</v>
      </c>
      <c r="H31" s="44"/>
      <c r="I31" s="44"/>
      <c r="J31" s="46"/>
      <c r="K31" s="46"/>
      <c r="L31" s="46"/>
    </row>
    <row r="32" ht="24.0" customHeight="1">
      <c r="A32" s="45" t="s">
        <v>172</v>
      </c>
      <c r="B32" s="11" t="s">
        <v>173</v>
      </c>
      <c r="C32" s="45">
        <v>3900.0</v>
      </c>
      <c r="D32" s="46"/>
      <c r="E32" s="50"/>
      <c r="F32" s="46"/>
      <c r="G32" s="48" t="s">
        <v>174</v>
      </c>
      <c r="H32" s="44"/>
      <c r="I32" s="44"/>
      <c r="J32" s="46"/>
      <c r="K32" s="46"/>
      <c r="L32" s="46"/>
    </row>
    <row r="33" ht="24.0" customHeight="1">
      <c r="A33" s="45" t="s">
        <v>175</v>
      </c>
      <c r="B33" s="11" t="s">
        <v>176</v>
      </c>
      <c r="C33" s="45">
        <v>4400.0</v>
      </c>
      <c r="D33" s="46"/>
      <c r="E33" s="50"/>
      <c r="F33" s="46"/>
      <c r="G33" s="44" t="s">
        <v>177</v>
      </c>
      <c r="H33" s="44"/>
      <c r="I33" s="44"/>
      <c r="J33" s="46"/>
      <c r="K33" s="46"/>
      <c r="L33" s="46"/>
    </row>
    <row r="34" ht="36.75" customHeight="1">
      <c r="A34" s="45" t="s">
        <v>178</v>
      </c>
      <c r="B34" s="11" t="s">
        <v>179</v>
      </c>
      <c r="C34" s="45">
        <v>11000.0</v>
      </c>
      <c r="D34" s="46"/>
      <c r="E34" s="50"/>
      <c r="F34" s="46"/>
      <c r="G34" s="44" t="s">
        <v>180</v>
      </c>
      <c r="H34" s="44"/>
      <c r="I34" s="44"/>
      <c r="J34" s="46"/>
      <c r="K34" s="46"/>
      <c r="L34" s="46"/>
    </row>
    <row r="35" ht="36.75" customHeight="1">
      <c r="A35" s="45" t="s">
        <v>181</v>
      </c>
      <c r="B35" s="11" t="s">
        <v>182</v>
      </c>
      <c r="C35" s="45">
        <v>10000.0</v>
      </c>
      <c r="D35" s="46"/>
      <c r="E35" s="50"/>
      <c r="F35" s="46"/>
      <c r="G35" s="44" t="s">
        <v>183</v>
      </c>
      <c r="H35" s="44"/>
      <c r="I35" s="44"/>
      <c r="J35" s="46"/>
      <c r="K35" s="46"/>
      <c r="L35" s="46"/>
    </row>
    <row r="36" ht="27.0" customHeight="1">
      <c r="A36" s="45" t="s">
        <v>184</v>
      </c>
      <c r="B36" s="11" t="s">
        <v>185</v>
      </c>
      <c r="C36" s="45">
        <v>4000.0</v>
      </c>
      <c r="D36" s="46"/>
      <c r="E36" s="46"/>
      <c r="F36" s="46"/>
      <c r="G36" s="44" t="s">
        <v>186</v>
      </c>
      <c r="H36" s="44"/>
      <c r="I36" s="44"/>
      <c r="J36" s="46"/>
      <c r="K36" s="46"/>
      <c r="L36" s="46"/>
    </row>
    <row r="37">
      <c r="A37" s="45" t="s">
        <v>187</v>
      </c>
      <c r="B37" s="11" t="s">
        <v>188</v>
      </c>
      <c r="C37" s="45">
        <v>650.0</v>
      </c>
      <c r="D37" s="46"/>
      <c r="E37" s="46"/>
      <c r="F37" s="46"/>
      <c r="G37" s="51" t="s">
        <v>189</v>
      </c>
      <c r="H37" s="50"/>
      <c r="I37" s="50"/>
      <c r="J37" s="46"/>
      <c r="K37" s="46"/>
      <c r="L37" s="46"/>
    </row>
    <row r="38">
      <c r="A38" s="45" t="s">
        <v>190</v>
      </c>
      <c r="B38" s="11" t="s">
        <v>191</v>
      </c>
      <c r="C38" s="45">
        <v>9386.0</v>
      </c>
      <c r="D38" s="46"/>
      <c r="E38" s="46"/>
      <c r="F38" s="46"/>
      <c r="G38" s="44" t="s">
        <v>192</v>
      </c>
      <c r="H38" s="50"/>
      <c r="I38" s="50"/>
      <c r="J38" s="46"/>
      <c r="K38" s="46"/>
      <c r="L38" s="46"/>
    </row>
    <row r="39">
      <c r="A39" s="45" t="s">
        <v>193</v>
      </c>
      <c r="B39" s="11" t="s">
        <v>76</v>
      </c>
      <c r="C39" s="45">
        <v>7040.0</v>
      </c>
      <c r="D39" s="46"/>
      <c r="E39" s="47" t="s">
        <v>133</v>
      </c>
      <c r="F39" s="46"/>
      <c r="G39" s="48">
        <v>1000.0</v>
      </c>
      <c r="H39" s="50"/>
      <c r="I39" s="50"/>
      <c r="J39" s="46"/>
      <c r="K39" s="46"/>
      <c r="L39" s="46"/>
    </row>
    <row r="40">
      <c r="A40" s="45" t="s">
        <v>194</v>
      </c>
      <c r="B40" s="11" t="s">
        <v>195</v>
      </c>
      <c r="C40" s="45">
        <v>5548.0</v>
      </c>
      <c r="D40" s="46"/>
      <c r="E40" s="46"/>
      <c r="F40" s="46"/>
      <c r="G40" s="44">
        <v>5000.0</v>
      </c>
      <c r="H40" s="50"/>
      <c r="I40" s="50"/>
      <c r="J40" s="46"/>
      <c r="K40" s="46"/>
      <c r="L40" s="46"/>
    </row>
    <row r="41">
      <c r="A41" s="45" t="s">
        <v>196</v>
      </c>
      <c r="B41" s="11" t="s">
        <v>197</v>
      </c>
      <c r="C41" s="45">
        <v>5091.0</v>
      </c>
      <c r="D41" s="46"/>
      <c r="E41" s="46"/>
      <c r="F41" s="46"/>
      <c r="G41" s="44">
        <v>3600.0</v>
      </c>
      <c r="H41" s="50"/>
      <c r="I41" s="50"/>
      <c r="J41" s="46"/>
      <c r="K41" s="46"/>
      <c r="L41" s="46"/>
    </row>
    <row r="42">
      <c r="A42" s="45" t="s">
        <v>198</v>
      </c>
      <c r="B42" s="11" t="s">
        <v>199</v>
      </c>
      <c r="C42" s="45">
        <v>1800.0</v>
      </c>
      <c r="D42" s="46"/>
      <c r="E42" s="46"/>
      <c r="F42" s="46"/>
      <c r="G42" s="44" t="s">
        <v>200</v>
      </c>
      <c r="H42" s="50"/>
      <c r="I42" s="50"/>
      <c r="J42" s="46"/>
      <c r="K42" s="46"/>
      <c r="L42" s="46"/>
    </row>
    <row r="43">
      <c r="A43" s="46"/>
      <c r="B43" s="11" t="s">
        <v>201</v>
      </c>
      <c r="C43" s="45">
        <v>7600.0</v>
      </c>
      <c r="D43" s="46"/>
      <c r="E43" s="46"/>
      <c r="F43" s="46"/>
      <c r="G43" s="44">
        <v>5000.0</v>
      </c>
      <c r="H43" s="50"/>
      <c r="I43" s="50"/>
      <c r="J43" s="46"/>
      <c r="K43" s="46"/>
      <c r="L43" s="46"/>
    </row>
    <row r="44">
      <c r="A44" s="45" t="s">
        <v>202</v>
      </c>
      <c r="B44" s="11" t="s">
        <v>203</v>
      </c>
      <c r="C44" s="45">
        <v>2997.0</v>
      </c>
      <c r="D44" s="46"/>
      <c r="E44" s="46"/>
      <c r="F44" s="46"/>
      <c r="G44" s="44">
        <v>3500.0</v>
      </c>
      <c r="H44" s="50"/>
      <c r="I44" s="50"/>
      <c r="J44" s="46"/>
      <c r="K44" s="46"/>
      <c r="L44" s="46"/>
    </row>
    <row r="45">
      <c r="A45" s="45" t="s">
        <v>204</v>
      </c>
      <c r="B45" s="11" t="s">
        <v>205</v>
      </c>
      <c r="C45" s="45">
        <v>7009.0</v>
      </c>
      <c r="D45" s="46"/>
      <c r="E45" s="46"/>
      <c r="F45" s="46"/>
      <c r="G45" s="44" t="s">
        <v>206</v>
      </c>
      <c r="H45" s="50"/>
      <c r="I45" s="50"/>
      <c r="J45" s="46"/>
      <c r="K45" s="46"/>
      <c r="L45" s="46"/>
    </row>
    <row r="46">
      <c r="A46" s="45" t="s">
        <v>207</v>
      </c>
      <c r="B46" s="11" t="s">
        <v>80</v>
      </c>
      <c r="C46" s="45">
        <v>3854.0</v>
      </c>
      <c r="D46" s="46"/>
      <c r="E46" s="52" t="s">
        <v>208</v>
      </c>
      <c r="F46" s="46"/>
      <c r="G46" s="48" t="s">
        <v>209</v>
      </c>
      <c r="H46" s="50"/>
      <c r="I46" s="50"/>
      <c r="J46" s="46"/>
      <c r="K46" s="46"/>
      <c r="L46" s="46"/>
    </row>
    <row r="47">
      <c r="A47" s="45" t="s">
        <v>210</v>
      </c>
      <c r="B47" s="11" t="s">
        <v>211</v>
      </c>
      <c r="C47" s="45">
        <v>10177.0</v>
      </c>
      <c r="D47" s="46"/>
      <c r="E47" s="52" t="s">
        <v>208</v>
      </c>
      <c r="F47" s="46"/>
      <c r="G47" s="48" t="s">
        <v>212</v>
      </c>
      <c r="H47" s="50"/>
      <c r="I47" s="50"/>
      <c r="J47" s="46"/>
      <c r="K47" s="46"/>
      <c r="L47" s="46"/>
    </row>
    <row r="48" ht="39.0" customHeight="1">
      <c r="A48" s="45" t="s">
        <v>213</v>
      </c>
      <c r="B48" s="11" t="s">
        <v>214</v>
      </c>
      <c r="C48" s="45">
        <v>7646.0</v>
      </c>
      <c r="D48" s="46"/>
      <c r="E48" s="52" t="s">
        <v>208</v>
      </c>
      <c r="F48" s="46"/>
      <c r="G48" s="48" t="s">
        <v>215</v>
      </c>
      <c r="H48" s="50"/>
      <c r="I48" s="50"/>
      <c r="J48" s="46"/>
      <c r="K48" s="46"/>
      <c r="L48" s="46"/>
    </row>
    <row r="49">
      <c r="A49" s="46"/>
      <c r="B49" s="13"/>
      <c r="C49" s="46"/>
      <c r="D49" s="46"/>
      <c r="E49" s="46"/>
      <c r="F49" s="46"/>
      <c r="G49" s="50"/>
      <c r="H49" s="50"/>
      <c r="I49" s="50"/>
      <c r="J49" s="46"/>
      <c r="K49" s="46"/>
      <c r="L49" s="46"/>
    </row>
    <row r="50">
      <c r="A50" s="46"/>
      <c r="B50" s="13"/>
      <c r="C50" s="46"/>
      <c r="D50" s="46"/>
      <c r="E50" s="46"/>
      <c r="F50" s="46"/>
      <c r="G50" s="50"/>
      <c r="H50" s="50"/>
      <c r="I50" s="50"/>
      <c r="J50" s="46"/>
      <c r="K50" s="46"/>
      <c r="L50" s="46"/>
    </row>
    <row r="51">
      <c r="A51" s="46"/>
      <c r="B51" s="13"/>
      <c r="C51" s="46"/>
      <c r="D51" s="46"/>
      <c r="E51" s="46"/>
      <c r="F51" s="46"/>
      <c r="G51" s="50"/>
      <c r="H51" s="50"/>
      <c r="I51" s="50"/>
      <c r="J51" s="46"/>
      <c r="K51" s="46"/>
      <c r="L51" s="46"/>
    </row>
    <row r="52">
      <c r="A52" s="46"/>
      <c r="B52" s="13"/>
      <c r="C52" s="46"/>
      <c r="D52" s="46"/>
      <c r="E52" s="46"/>
      <c r="F52" s="46"/>
      <c r="G52" s="50"/>
      <c r="H52" s="50"/>
      <c r="I52" s="50"/>
      <c r="J52" s="46"/>
      <c r="K52" s="46"/>
      <c r="L52" s="46"/>
    </row>
    <row r="53">
      <c r="A53" s="46"/>
      <c r="B53" s="13"/>
      <c r="C53" s="46"/>
      <c r="D53" s="46"/>
      <c r="E53" s="46"/>
      <c r="F53" s="46"/>
      <c r="G53" s="50"/>
      <c r="H53" s="50"/>
      <c r="I53" s="50"/>
      <c r="J53" s="46"/>
      <c r="K53" s="46"/>
      <c r="L53" s="46"/>
    </row>
    <row r="54">
      <c r="A54" s="46"/>
      <c r="B54" s="13"/>
      <c r="C54" s="46"/>
      <c r="D54" s="46"/>
      <c r="E54" s="46"/>
      <c r="F54" s="46"/>
      <c r="G54" s="50"/>
      <c r="H54" s="50"/>
      <c r="I54" s="50"/>
      <c r="J54" s="46"/>
      <c r="K54" s="46"/>
      <c r="L54" s="46"/>
    </row>
    <row r="55">
      <c r="A55" s="46"/>
      <c r="B55" s="13"/>
      <c r="C55" s="46"/>
      <c r="D55" s="46"/>
      <c r="E55" s="46"/>
      <c r="F55" s="46"/>
      <c r="G55" s="50"/>
      <c r="H55" s="50"/>
      <c r="I55" s="50"/>
      <c r="J55" s="46"/>
      <c r="K55" s="46"/>
      <c r="L55" s="46"/>
    </row>
    <row r="56">
      <c r="A56" s="46"/>
      <c r="B56" s="13"/>
      <c r="C56" s="46"/>
      <c r="D56" s="46"/>
      <c r="E56" s="46"/>
      <c r="F56" s="46"/>
      <c r="G56" s="50"/>
      <c r="H56" s="50"/>
      <c r="I56" s="50"/>
      <c r="J56" s="46"/>
      <c r="K56" s="46"/>
      <c r="L56" s="46"/>
    </row>
  </sheetData>
  <mergeCells count="1">
    <mergeCell ref="B3:L3"/>
  </mergeCells>
  <hyperlinks>
    <hyperlink r:id="rId1" ref="B4"/>
    <hyperlink r:id="rId2" ref="B5"/>
    <hyperlink r:id="rId3" ref="B6"/>
    <hyperlink r:id="rId4" ref="B7"/>
    <hyperlink r:id="rId5" ref="B8"/>
    <hyperlink r:id="rId6" ref="B9"/>
    <hyperlink r:id="rId7" ref="B10"/>
    <hyperlink r:id="rId8" ref="B11"/>
    <hyperlink r:id="rId9" ref="B12"/>
    <hyperlink r:id="rId10" ref="B13"/>
    <hyperlink r:id="rId11" ref="B14"/>
    <hyperlink r:id="rId12" ref="B15"/>
    <hyperlink r:id="rId13" ref="B16"/>
    <hyperlink r:id="rId14" ref="B17"/>
    <hyperlink r:id="rId15" ref="B18"/>
    <hyperlink r:id="rId16" ref="B19"/>
    <hyperlink r:id="rId17" ref="B20"/>
    <hyperlink r:id="rId18" ref="B21"/>
    <hyperlink r:id="rId19" ref="B22"/>
    <hyperlink r:id="rId20" ref="B23"/>
    <hyperlink r:id="rId21" ref="B24"/>
    <hyperlink r:id="rId22" ref="B25"/>
    <hyperlink r:id="rId23" ref="B26"/>
    <hyperlink r:id="rId24" ref="B27"/>
    <hyperlink r:id="rId25" ref="B28"/>
    <hyperlink r:id="rId26" ref="B29"/>
    <hyperlink r:id="rId27" ref="B30"/>
    <hyperlink r:id="rId28" ref="B31"/>
    <hyperlink r:id="rId29" ref="B32"/>
    <hyperlink r:id="rId30" ref="B33"/>
    <hyperlink r:id="rId31" ref="B34"/>
    <hyperlink r:id="rId32" ref="B35"/>
    <hyperlink r:id="rId33" ref="B36"/>
    <hyperlink r:id="rId34" ref="B37"/>
    <hyperlink r:id="rId35" ref="B38"/>
    <hyperlink r:id="rId36" ref="B39"/>
    <hyperlink r:id="rId37" ref="B40"/>
    <hyperlink r:id="rId38" ref="B41"/>
    <hyperlink r:id="rId39" ref="B42"/>
    <hyperlink r:id="rId40" ref="B43"/>
    <hyperlink r:id="rId41" ref="B44"/>
    <hyperlink r:id="rId42" ref="B45"/>
    <hyperlink r:id="rId43" ref="B46"/>
    <hyperlink r:id="rId44" ref="B47"/>
    <hyperlink r:id="rId45" ref="B48"/>
  </hyperlinks>
  <drawing r:id="rId4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13"/>
    <col customWidth="1" min="6" max="6" width="25.63"/>
    <col customWidth="1" min="7" max="7" width="25.25"/>
  </cols>
  <sheetData>
    <row r="1" ht="31.5" customHeight="1">
      <c r="A1" s="26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</row>
    <row r="2">
      <c r="A2" s="28" t="s">
        <v>216</v>
      </c>
      <c r="B2" s="2" t="s">
        <v>84</v>
      </c>
      <c r="C2" s="2" t="s">
        <v>85</v>
      </c>
      <c r="D2" s="2" t="s">
        <v>86</v>
      </c>
      <c r="E2" s="2" t="s">
        <v>87</v>
      </c>
      <c r="F2" s="3" t="s">
        <v>88</v>
      </c>
      <c r="G2" s="3" t="s">
        <v>89</v>
      </c>
      <c r="H2" s="53" t="s">
        <v>217</v>
      </c>
      <c r="I2" s="53" t="s">
        <v>7</v>
      </c>
      <c r="J2" s="3" t="s">
        <v>8</v>
      </c>
      <c r="K2" s="2" t="s">
        <v>9</v>
      </c>
      <c r="L2" s="2" t="s">
        <v>10</v>
      </c>
    </row>
    <row r="3">
      <c r="A3" s="29"/>
      <c r="B3" s="30" t="s">
        <v>90</v>
      </c>
      <c r="C3" s="31"/>
      <c r="D3" s="31"/>
      <c r="E3" s="31"/>
      <c r="F3" s="31"/>
      <c r="G3" s="31"/>
      <c r="H3" s="31"/>
      <c r="I3" s="31"/>
      <c r="J3" s="31"/>
      <c r="K3" s="31"/>
      <c r="L3" s="32"/>
      <c r="M3" s="33" t="s">
        <v>91</v>
      </c>
      <c r="N3" s="34">
        <f>SUM(G3:G10)</f>
        <v>0</v>
      </c>
    </row>
    <row r="4">
      <c r="A4" s="35" t="s">
        <v>218</v>
      </c>
      <c r="B4" s="6" t="s">
        <v>219</v>
      </c>
      <c r="C4" s="37">
        <v>210000.0</v>
      </c>
      <c r="D4" s="54"/>
      <c r="E4" s="37" t="s">
        <v>19</v>
      </c>
      <c r="F4" s="54"/>
      <c r="G4" s="55"/>
      <c r="H4" s="56"/>
      <c r="I4" s="56"/>
      <c r="J4" s="56"/>
      <c r="K4" s="55"/>
      <c r="L4" s="57"/>
      <c r="M4" s="33" t="s">
        <v>95</v>
      </c>
      <c r="N4" s="34">
        <f>SUM(K3:K10)</f>
        <v>0</v>
      </c>
    </row>
    <row r="5">
      <c r="A5" s="35" t="s">
        <v>220</v>
      </c>
      <c r="B5" s="6" t="s">
        <v>221</v>
      </c>
      <c r="C5" s="37">
        <v>753000.0</v>
      </c>
      <c r="D5" s="54"/>
      <c r="E5" s="37" t="s">
        <v>19</v>
      </c>
      <c r="F5" s="54"/>
      <c r="G5" s="58"/>
      <c r="H5" s="56"/>
      <c r="I5" s="56"/>
      <c r="J5" s="56"/>
      <c r="K5" s="55"/>
      <c r="L5" s="57"/>
      <c r="M5" s="42" t="s">
        <v>98</v>
      </c>
      <c r="N5" s="43" t="str">
        <f>N3/N4</f>
        <v>#DIV/0!</v>
      </c>
    </row>
    <row r="6">
      <c r="A6" s="35" t="s">
        <v>222</v>
      </c>
      <c r="B6" s="6" t="s">
        <v>223</v>
      </c>
      <c r="C6" s="37">
        <v>34000.0</v>
      </c>
      <c r="D6" s="54"/>
      <c r="E6" s="59" t="s">
        <v>126</v>
      </c>
      <c r="G6" s="59" t="s">
        <v>224</v>
      </c>
      <c r="H6" s="56"/>
      <c r="I6" s="56"/>
      <c r="J6" s="56"/>
      <c r="K6" s="55"/>
      <c r="L6" s="57"/>
    </row>
    <row r="7">
      <c r="A7" s="35" t="s">
        <v>225</v>
      </c>
      <c r="B7" s="6" t="s">
        <v>226</v>
      </c>
      <c r="C7" s="37">
        <v>1509.0</v>
      </c>
      <c r="D7" s="54"/>
      <c r="E7" s="60" t="s">
        <v>170</v>
      </c>
      <c r="F7" s="54"/>
      <c r="G7" s="61" t="s">
        <v>37</v>
      </c>
      <c r="H7" s="54"/>
      <c r="I7" s="54"/>
      <c r="J7" s="54"/>
      <c r="K7" s="54"/>
      <c r="L7" s="54"/>
    </row>
    <row r="8">
      <c r="A8" s="5" t="s">
        <v>227</v>
      </c>
      <c r="B8" s="6" t="s">
        <v>228</v>
      </c>
      <c r="C8" s="37">
        <v>8269.0</v>
      </c>
      <c r="D8" s="21"/>
      <c r="E8" s="62"/>
      <c r="F8" s="21"/>
      <c r="G8" s="62"/>
      <c r="H8" s="21"/>
      <c r="I8" s="21"/>
      <c r="J8" s="21"/>
      <c r="K8" s="21"/>
      <c r="L8" s="21"/>
    </row>
    <row r="9" ht="28.5" customHeight="1">
      <c r="A9" s="5" t="s">
        <v>229</v>
      </c>
      <c r="B9" s="6" t="s">
        <v>230</v>
      </c>
      <c r="C9" s="37">
        <v>8361.0</v>
      </c>
      <c r="D9" s="21"/>
      <c r="E9" s="8" t="s">
        <v>126</v>
      </c>
      <c r="F9" s="21"/>
      <c r="G9" s="8" t="s">
        <v>231</v>
      </c>
      <c r="H9" s="21"/>
      <c r="I9" s="21"/>
      <c r="J9" s="21"/>
      <c r="K9" s="21"/>
      <c r="L9" s="21"/>
    </row>
    <row r="10">
      <c r="A10" s="5" t="s">
        <v>232</v>
      </c>
      <c r="B10" s="6" t="s">
        <v>233</v>
      </c>
      <c r="C10" s="37">
        <v>4493.0</v>
      </c>
      <c r="D10" s="21"/>
      <c r="E10" s="60" t="s">
        <v>170</v>
      </c>
      <c r="G10" s="8" t="s">
        <v>234</v>
      </c>
      <c r="H10" s="21"/>
      <c r="I10" s="21"/>
      <c r="J10" s="21"/>
      <c r="K10" s="21"/>
      <c r="L10" s="21"/>
    </row>
    <row r="11">
      <c r="A11" s="5" t="s">
        <v>235</v>
      </c>
      <c r="B11" s="6" t="s">
        <v>236</v>
      </c>
      <c r="C11" s="37">
        <v>15600.0</v>
      </c>
      <c r="D11" s="21"/>
      <c r="E11" s="62"/>
      <c r="F11" s="21"/>
      <c r="G11" s="62"/>
      <c r="H11" s="21"/>
      <c r="I11" s="21"/>
      <c r="J11" s="21"/>
      <c r="K11" s="21"/>
      <c r="L11" s="21"/>
    </row>
    <row r="12">
      <c r="A12" s="5" t="s">
        <v>237</v>
      </c>
      <c r="B12" s="6" t="s">
        <v>238</v>
      </c>
      <c r="C12" s="37">
        <v>4254.0</v>
      </c>
      <c r="D12" s="21"/>
      <c r="E12" s="8" t="s">
        <v>126</v>
      </c>
      <c r="F12" s="21"/>
      <c r="G12" s="8" t="s">
        <v>239</v>
      </c>
      <c r="H12" s="21"/>
      <c r="I12" s="21"/>
      <c r="J12" s="21"/>
      <c r="K12" s="21"/>
      <c r="L12" s="21"/>
    </row>
    <row r="13">
      <c r="A13" s="5" t="s">
        <v>240</v>
      </c>
      <c r="B13" s="6" t="s">
        <v>241</v>
      </c>
      <c r="C13" s="37">
        <v>14800.0</v>
      </c>
      <c r="D13" s="21"/>
      <c r="E13" s="62"/>
      <c r="F13" s="21"/>
      <c r="G13" s="62"/>
      <c r="H13" s="21"/>
      <c r="I13" s="21"/>
      <c r="J13" s="21"/>
      <c r="K13" s="21"/>
      <c r="L13" s="21"/>
    </row>
    <row r="14">
      <c r="A14" s="5" t="s">
        <v>242</v>
      </c>
      <c r="B14" s="6" t="s">
        <v>243</v>
      </c>
      <c r="C14" s="37">
        <v>15100.0</v>
      </c>
      <c r="D14" s="21"/>
      <c r="E14" s="8" t="s">
        <v>122</v>
      </c>
      <c r="F14" s="21"/>
      <c r="G14" s="8" t="s">
        <v>244</v>
      </c>
      <c r="H14" s="21"/>
      <c r="I14" s="21"/>
      <c r="J14" s="21"/>
      <c r="K14" s="21"/>
      <c r="L14" s="21"/>
    </row>
    <row r="15">
      <c r="A15" s="5" t="s">
        <v>245</v>
      </c>
      <c r="B15" s="6" t="s">
        <v>246</v>
      </c>
      <c r="C15" s="37">
        <v>4386.0</v>
      </c>
      <c r="D15" s="21"/>
      <c r="E15" s="62"/>
      <c r="F15" s="21"/>
      <c r="G15" s="62"/>
      <c r="H15" s="21"/>
      <c r="I15" s="21"/>
      <c r="J15" s="21"/>
      <c r="K15" s="21"/>
      <c r="L15" s="21"/>
    </row>
    <row r="16">
      <c r="A16" s="5" t="s">
        <v>247</v>
      </c>
      <c r="B16" s="6" t="s">
        <v>248</v>
      </c>
      <c r="C16" s="37">
        <v>917.0</v>
      </c>
      <c r="D16" s="21"/>
      <c r="E16" s="60" t="s">
        <v>170</v>
      </c>
      <c r="F16" s="21"/>
      <c r="G16" s="19" t="s">
        <v>249</v>
      </c>
      <c r="H16" s="21"/>
      <c r="I16" s="21"/>
      <c r="J16" s="21"/>
      <c r="K16" s="21"/>
      <c r="L16" s="21"/>
    </row>
    <row r="17">
      <c r="A17" s="5" t="s">
        <v>250</v>
      </c>
      <c r="B17" s="6" t="s">
        <v>251</v>
      </c>
      <c r="C17" s="37">
        <v>3889.0</v>
      </c>
      <c r="D17" s="21"/>
      <c r="E17" s="62"/>
      <c r="F17" s="21"/>
      <c r="G17" s="62"/>
      <c r="H17" s="21"/>
      <c r="I17" s="21"/>
      <c r="J17" s="21"/>
      <c r="K17" s="21"/>
      <c r="L17" s="21"/>
    </row>
    <row r="18">
      <c r="A18" s="5" t="s">
        <v>252</v>
      </c>
      <c r="B18" s="6" t="s">
        <v>253</v>
      </c>
      <c r="C18" s="37">
        <v>31300.0</v>
      </c>
      <c r="D18" s="21"/>
      <c r="E18" s="59" t="s">
        <v>254</v>
      </c>
      <c r="F18" s="21"/>
      <c r="G18" s="8" t="s">
        <v>19</v>
      </c>
      <c r="H18" s="21"/>
      <c r="I18" s="21"/>
      <c r="J18" s="21"/>
      <c r="K18" s="21"/>
      <c r="L18" s="21"/>
    </row>
    <row r="19">
      <c r="A19" s="5" t="s">
        <v>255</v>
      </c>
      <c r="B19" s="6" t="s">
        <v>256</v>
      </c>
      <c r="C19" s="37">
        <v>8639.0</v>
      </c>
      <c r="D19" s="21"/>
      <c r="E19" s="62"/>
      <c r="F19" s="21"/>
      <c r="G19" s="62"/>
      <c r="H19" s="21"/>
      <c r="I19" s="21"/>
      <c r="J19" s="21"/>
      <c r="K19" s="21"/>
      <c r="L19" s="21"/>
    </row>
    <row r="20">
      <c r="A20" s="5" t="s">
        <v>257</v>
      </c>
      <c r="B20" s="6" t="s">
        <v>258</v>
      </c>
      <c r="C20" s="37">
        <v>999.0</v>
      </c>
      <c r="D20" s="21"/>
      <c r="E20" s="62"/>
      <c r="F20" s="21"/>
      <c r="G20" s="62"/>
      <c r="H20" s="21"/>
      <c r="I20" s="21"/>
      <c r="J20" s="21"/>
      <c r="K20" s="21"/>
      <c r="L20" s="21"/>
    </row>
    <row r="21">
      <c r="A21" s="5" t="s">
        <v>259</v>
      </c>
      <c r="B21" s="6" t="s">
        <v>260</v>
      </c>
      <c r="C21" s="37">
        <v>3952.0</v>
      </c>
      <c r="D21" s="21"/>
      <c r="E21" s="62"/>
      <c r="F21" s="21"/>
      <c r="G21" s="62"/>
      <c r="H21" s="21"/>
      <c r="I21" s="21"/>
      <c r="J21" s="21"/>
      <c r="K21" s="21"/>
      <c r="L21" s="21"/>
    </row>
    <row r="22">
      <c r="A22" s="5" t="s">
        <v>261</v>
      </c>
      <c r="B22" s="6" t="s">
        <v>262</v>
      </c>
      <c r="C22" s="37">
        <v>1809.0</v>
      </c>
      <c r="D22" s="21"/>
      <c r="E22" s="19" t="s">
        <v>263</v>
      </c>
      <c r="F22" s="21"/>
      <c r="G22" s="63" t="s">
        <v>37</v>
      </c>
      <c r="H22" s="21"/>
      <c r="I22" s="21"/>
      <c r="J22" s="21"/>
      <c r="K22" s="21"/>
      <c r="L22" s="21"/>
    </row>
    <row r="23">
      <c r="A23" s="5" t="s">
        <v>264</v>
      </c>
      <c r="B23" s="6" t="s">
        <v>265</v>
      </c>
      <c r="C23" s="37">
        <v>2710.0</v>
      </c>
      <c r="D23" s="21"/>
      <c r="E23" s="62"/>
      <c r="F23" s="21"/>
      <c r="G23" s="62"/>
      <c r="H23" s="21"/>
      <c r="I23" s="21"/>
      <c r="J23" s="21"/>
      <c r="K23" s="21"/>
      <c r="L23" s="21"/>
    </row>
    <row r="24">
      <c r="A24" s="5" t="s">
        <v>266</v>
      </c>
      <c r="B24" s="6" t="s">
        <v>267</v>
      </c>
      <c r="C24" s="37">
        <v>11900.0</v>
      </c>
      <c r="D24" s="21"/>
      <c r="E24" s="60" t="s">
        <v>170</v>
      </c>
      <c r="F24" s="21"/>
      <c r="G24" s="62"/>
      <c r="H24" s="21"/>
      <c r="I24" s="21"/>
      <c r="J24" s="21"/>
      <c r="K24" s="21"/>
      <c r="L24" s="21"/>
    </row>
    <row r="25">
      <c r="A25" s="5" t="s">
        <v>268</v>
      </c>
      <c r="B25" s="6" t="s">
        <v>269</v>
      </c>
      <c r="C25" s="37">
        <v>6528.0</v>
      </c>
      <c r="D25" s="21"/>
      <c r="E25" s="8" t="s">
        <v>126</v>
      </c>
      <c r="F25" s="21"/>
      <c r="G25" s="63" t="s">
        <v>270</v>
      </c>
      <c r="H25" s="21"/>
      <c r="I25" s="21"/>
      <c r="J25" s="21"/>
      <c r="K25" s="21"/>
      <c r="L25" s="21"/>
    </row>
    <row r="26">
      <c r="A26" s="5" t="s">
        <v>271</v>
      </c>
      <c r="B26" s="6" t="s">
        <v>272</v>
      </c>
      <c r="C26" s="37">
        <v>10700.0</v>
      </c>
      <c r="D26" s="21"/>
      <c r="E26" s="62"/>
      <c r="F26" s="21"/>
      <c r="G26" s="62"/>
      <c r="H26" s="21"/>
      <c r="I26" s="21"/>
      <c r="J26" s="21"/>
      <c r="K26" s="21"/>
      <c r="L26" s="21"/>
    </row>
    <row r="27">
      <c r="A27" s="5" t="s">
        <v>273</v>
      </c>
      <c r="B27" s="6" t="s">
        <v>274</v>
      </c>
      <c r="C27" s="37">
        <v>9509.0</v>
      </c>
      <c r="D27" s="21"/>
      <c r="E27" s="62"/>
      <c r="F27" s="21"/>
      <c r="G27" s="62"/>
      <c r="H27" s="21"/>
      <c r="I27" s="21"/>
      <c r="J27" s="21"/>
      <c r="K27" s="21"/>
      <c r="L27" s="21"/>
    </row>
    <row r="28">
      <c r="A28" s="5" t="s">
        <v>275</v>
      </c>
      <c r="B28" s="6" t="s">
        <v>276</v>
      </c>
      <c r="C28" s="37">
        <v>5944.0</v>
      </c>
      <c r="D28" s="21"/>
      <c r="E28" s="8" t="s">
        <v>126</v>
      </c>
      <c r="F28" s="21"/>
      <c r="G28" s="8" t="s">
        <v>277</v>
      </c>
      <c r="H28" s="21"/>
      <c r="I28" s="21"/>
      <c r="J28" s="21"/>
      <c r="K28" s="21"/>
      <c r="L28" s="21"/>
    </row>
    <row r="29">
      <c r="A29" s="5" t="s">
        <v>278</v>
      </c>
      <c r="B29" s="6" t="s">
        <v>279</v>
      </c>
      <c r="C29" s="37">
        <v>2356.0</v>
      </c>
      <c r="D29" s="21"/>
      <c r="E29" s="62"/>
      <c r="F29" s="21"/>
      <c r="G29" s="62"/>
      <c r="H29" s="21"/>
      <c r="I29" s="21"/>
      <c r="J29" s="21"/>
      <c r="K29" s="21"/>
      <c r="L29" s="21"/>
    </row>
    <row r="30">
      <c r="A30" s="5" t="s">
        <v>280</v>
      </c>
      <c r="B30" s="6" t="s">
        <v>281</v>
      </c>
      <c r="C30" s="37">
        <v>9552.0</v>
      </c>
      <c r="D30" s="21"/>
      <c r="E30" s="8" t="s">
        <v>122</v>
      </c>
      <c r="F30" s="21"/>
      <c r="G30" s="8" t="s">
        <v>282</v>
      </c>
      <c r="H30" s="21"/>
      <c r="I30" s="21"/>
      <c r="J30" s="21"/>
      <c r="K30" s="21"/>
      <c r="L30" s="21"/>
    </row>
    <row r="31">
      <c r="A31" s="5" t="s">
        <v>283</v>
      </c>
      <c r="B31" s="6" t="s">
        <v>284</v>
      </c>
      <c r="C31" s="37">
        <v>540.0</v>
      </c>
      <c r="D31" s="21"/>
      <c r="E31" s="62"/>
      <c r="F31" s="21"/>
      <c r="G31" s="62"/>
      <c r="H31" s="21"/>
      <c r="I31" s="21"/>
      <c r="J31" s="21"/>
      <c r="K31" s="21"/>
      <c r="L31" s="21"/>
    </row>
    <row r="32">
      <c r="A32" s="5" t="s">
        <v>285</v>
      </c>
      <c r="B32" s="6" t="s">
        <v>286</v>
      </c>
      <c r="C32" s="37">
        <v>10700.0</v>
      </c>
      <c r="D32" s="21"/>
      <c r="E32" s="62"/>
      <c r="F32" s="21"/>
      <c r="G32" s="62"/>
      <c r="H32" s="21"/>
      <c r="I32" s="21"/>
      <c r="J32" s="21"/>
      <c r="K32" s="21"/>
      <c r="L32" s="21"/>
    </row>
    <row r="33">
      <c r="A33" s="5" t="s">
        <v>287</v>
      </c>
      <c r="B33" s="6" t="s">
        <v>288</v>
      </c>
      <c r="C33" s="37">
        <v>5116.0</v>
      </c>
      <c r="D33" s="21"/>
      <c r="E33" s="59" t="s">
        <v>126</v>
      </c>
      <c r="F33" s="21"/>
      <c r="G33" s="8" t="s">
        <v>289</v>
      </c>
      <c r="H33" s="21"/>
      <c r="I33" s="21"/>
      <c r="J33" s="21"/>
      <c r="K33" s="21"/>
      <c r="L33" s="21"/>
    </row>
    <row r="34">
      <c r="A34" s="5" t="s">
        <v>290</v>
      </c>
      <c r="B34" s="6" t="s">
        <v>291</v>
      </c>
      <c r="C34" s="37">
        <v>6162.0</v>
      </c>
      <c r="D34" s="21"/>
      <c r="E34" s="62"/>
      <c r="F34" s="21"/>
      <c r="G34" s="62"/>
      <c r="H34" s="21"/>
      <c r="I34" s="21"/>
      <c r="J34" s="21"/>
      <c r="K34" s="21"/>
      <c r="L34" s="21"/>
    </row>
    <row r="35">
      <c r="A35" s="5" t="s">
        <v>292</v>
      </c>
      <c r="B35" s="6" t="s">
        <v>293</v>
      </c>
      <c r="C35" s="37">
        <v>31300.0</v>
      </c>
      <c r="D35" s="21"/>
      <c r="E35" s="62"/>
      <c r="F35" s="21"/>
      <c r="G35" s="62"/>
      <c r="H35" s="21"/>
      <c r="I35" s="21"/>
      <c r="J35" s="21"/>
      <c r="K35" s="21"/>
      <c r="L35" s="21"/>
    </row>
    <row r="36">
      <c r="A36" s="5" t="s">
        <v>294</v>
      </c>
      <c r="B36" s="6" t="s">
        <v>295</v>
      </c>
      <c r="C36" s="37">
        <v>4236.0</v>
      </c>
      <c r="D36" s="21"/>
      <c r="E36" s="62"/>
      <c r="F36" s="21"/>
      <c r="G36" s="62"/>
      <c r="H36" s="21"/>
      <c r="I36" s="21"/>
      <c r="J36" s="21"/>
      <c r="K36" s="21"/>
      <c r="L36" s="21"/>
    </row>
    <row r="37">
      <c r="A37" s="5" t="s">
        <v>296</v>
      </c>
      <c r="B37" s="6" t="s">
        <v>241</v>
      </c>
      <c r="C37" s="37">
        <v>14800.0</v>
      </c>
      <c r="D37" s="21"/>
      <c r="E37" s="62"/>
      <c r="F37" s="21"/>
      <c r="G37" s="62"/>
      <c r="H37" s="21"/>
      <c r="I37" s="21"/>
      <c r="J37" s="21"/>
      <c r="K37" s="21"/>
      <c r="L37" s="21"/>
    </row>
    <row r="38">
      <c r="A38" s="5" t="s">
        <v>297</v>
      </c>
      <c r="B38" s="6" t="s">
        <v>298</v>
      </c>
      <c r="C38" s="37">
        <v>3824.0</v>
      </c>
      <c r="D38" s="21"/>
      <c r="E38" s="44" t="s">
        <v>19</v>
      </c>
      <c r="F38" s="21"/>
      <c r="G38" s="62"/>
      <c r="H38" s="21"/>
      <c r="I38" s="21"/>
      <c r="J38" s="21"/>
      <c r="K38" s="21"/>
      <c r="L38" s="21"/>
    </row>
    <row r="39">
      <c r="A39" s="5" t="s">
        <v>299</v>
      </c>
      <c r="B39" s="6" t="s">
        <v>300</v>
      </c>
      <c r="C39" s="37">
        <v>9773.0</v>
      </c>
      <c r="D39" s="21"/>
      <c r="E39" s="5" t="s">
        <v>126</v>
      </c>
      <c r="F39" s="21"/>
      <c r="G39" s="63" t="s">
        <v>301</v>
      </c>
      <c r="H39" s="21"/>
      <c r="I39" s="21"/>
      <c r="J39" s="21"/>
      <c r="K39" s="21"/>
      <c r="L39" s="21"/>
    </row>
    <row r="40" ht="18.75" customHeight="1">
      <c r="A40" s="5" t="s">
        <v>302</v>
      </c>
      <c r="B40" s="6" t="s">
        <v>303</v>
      </c>
      <c r="C40" s="37" t="s">
        <v>304</v>
      </c>
      <c r="D40" s="21"/>
      <c r="E40" s="5"/>
      <c r="F40" s="21"/>
      <c r="G40" s="8" t="s">
        <v>305</v>
      </c>
      <c r="H40" s="21"/>
      <c r="I40" s="21"/>
      <c r="J40" s="21"/>
      <c r="K40" s="21"/>
      <c r="L40" s="21"/>
    </row>
    <row r="41" ht="18.0" customHeight="1">
      <c r="A41" s="5" t="s">
        <v>306</v>
      </c>
      <c r="B41" s="6" t="s">
        <v>307</v>
      </c>
      <c r="C41" s="45">
        <v>1760.0</v>
      </c>
      <c r="D41" s="21"/>
      <c r="E41" s="5" t="s">
        <v>126</v>
      </c>
      <c r="F41" s="21"/>
      <c r="G41" s="63" t="s">
        <v>308</v>
      </c>
      <c r="H41" s="21"/>
      <c r="I41" s="21"/>
      <c r="J41" s="21"/>
      <c r="K41" s="21"/>
      <c r="L41" s="21"/>
    </row>
    <row r="42" ht="21.0" customHeight="1">
      <c r="A42" s="5" t="s">
        <v>309</v>
      </c>
      <c r="B42" s="6" t="s">
        <v>310</v>
      </c>
      <c r="C42" s="45">
        <v>7780.0</v>
      </c>
      <c r="D42" s="21"/>
      <c r="E42" s="5"/>
      <c r="F42" s="21"/>
      <c r="G42" s="8" t="s">
        <v>311</v>
      </c>
      <c r="H42" s="21"/>
      <c r="I42" s="21"/>
      <c r="J42" s="21"/>
      <c r="K42" s="21"/>
      <c r="L42" s="21"/>
    </row>
    <row r="43">
      <c r="A43" s="5" t="s">
        <v>12</v>
      </c>
      <c r="B43" s="6" t="s">
        <v>13</v>
      </c>
      <c r="C43" s="45">
        <v>8182.0</v>
      </c>
      <c r="D43" s="21"/>
      <c r="E43" s="64" t="s">
        <v>108</v>
      </c>
      <c r="F43" s="21"/>
      <c r="G43" s="48">
        <v>3500.0</v>
      </c>
      <c r="H43" s="49" t="s">
        <v>312</v>
      </c>
      <c r="I43" s="45" t="s">
        <v>313</v>
      </c>
      <c r="J43" s="5" t="s">
        <v>18</v>
      </c>
      <c r="K43" s="45">
        <v>121.0</v>
      </c>
      <c r="L43" s="21">
        <f>3500/K43</f>
        <v>28.92561983</v>
      </c>
    </row>
    <row r="44" ht="30.75" customHeight="1">
      <c r="A44" s="5" t="s">
        <v>314</v>
      </c>
      <c r="B44" s="6" t="s">
        <v>315</v>
      </c>
      <c r="C44" s="45">
        <v>2058.0</v>
      </c>
      <c r="D44" s="21"/>
      <c r="E44" s="21"/>
      <c r="F44" s="21"/>
      <c r="G44" s="8" t="s">
        <v>316</v>
      </c>
      <c r="H44" s="21"/>
      <c r="I44" s="21"/>
      <c r="J44" s="21"/>
      <c r="K44" s="21"/>
      <c r="L44" s="21"/>
    </row>
    <row r="45" ht="32.25" customHeight="1">
      <c r="A45" s="5" t="s">
        <v>317</v>
      </c>
      <c r="B45" s="6" t="s">
        <v>318</v>
      </c>
      <c r="C45" s="45">
        <v>2600.0</v>
      </c>
      <c r="D45" s="21"/>
      <c r="E45" s="21"/>
      <c r="F45" s="21"/>
      <c r="G45" s="8" t="s">
        <v>319</v>
      </c>
      <c r="H45" s="21"/>
      <c r="I45" s="21"/>
      <c r="J45" s="21"/>
      <c r="K45" s="21"/>
      <c r="L45" s="21"/>
    </row>
    <row r="46">
      <c r="A46" s="5" t="s">
        <v>320</v>
      </c>
      <c r="B46" s="6" t="s">
        <v>321</v>
      </c>
      <c r="C46" s="45">
        <v>3106.0</v>
      </c>
      <c r="D46" s="21"/>
      <c r="E46" s="63" t="s">
        <v>322</v>
      </c>
      <c r="F46" s="21"/>
      <c r="G46" s="63" t="s">
        <v>37</v>
      </c>
      <c r="H46" s="21"/>
      <c r="I46" s="21"/>
      <c r="J46" s="21"/>
      <c r="K46" s="21"/>
      <c r="L46" s="21"/>
    </row>
    <row r="47">
      <c r="A47" s="5" t="s">
        <v>323</v>
      </c>
      <c r="B47" s="6" t="s">
        <v>324</v>
      </c>
      <c r="C47" s="45">
        <v>5100.0</v>
      </c>
      <c r="D47" s="21"/>
      <c r="E47" s="65" t="s">
        <v>325</v>
      </c>
      <c r="F47" s="21"/>
      <c r="G47" s="65" t="s">
        <v>326</v>
      </c>
      <c r="H47" s="21"/>
      <c r="I47" s="21"/>
      <c r="J47" s="21"/>
      <c r="K47" s="21"/>
      <c r="L47" s="21"/>
    </row>
    <row r="48">
      <c r="A48" s="5" t="s">
        <v>25</v>
      </c>
      <c r="B48" s="6" t="s">
        <v>26</v>
      </c>
      <c r="C48" s="45">
        <v>1835.0</v>
      </c>
      <c r="D48" s="21"/>
      <c r="E48" s="63" t="s">
        <v>327</v>
      </c>
      <c r="F48" s="21"/>
      <c r="G48" s="63" t="s">
        <v>328</v>
      </c>
      <c r="H48" s="21"/>
      <c r="I48" s="21"/>
      <c r="J48" s="21"/>
      <c r="K48" s="21"/>
      <c r="L48" s="21"/>
    </row>
    <row r="49">
      <c r="A49" s="5" t="s">
        <v>329</v>
      </c>
      <c r="B49" s="6" t="s">
        <v>330</v>
      </c>
      <c r="C49" s="45">
        <v>10900.0</v>
      </c>
      <c r="D49" s="21"/>
      <c r="E49" s="62"/>
      <c r="F49" s="21"/>
      <c r="G49" s="8" t="s">
        <v>331</v>
      </c>
      <c r="H49" s="21"/>
      <c r="I49" s="21"/>
      <c r="J49" s="21"/>
      <c r="K49" s="21"/>
      <c r="L49" s="21"/>
    </row>
    <row r="50" ht="24.75" customHeight="1">
      <c r="A50" s="5" t="s">
        <v>332</v>
      </c>
      <c r="B50" s="6" t="s">
        <v>333</v>
      </c>
      <c r="C50" s="45" t="s">
        <v>334</v>
      </c>
      <c r="D50" s="21"/>
      <c r="E50" s="62"/>
      <c r="F50" s="21"/>
      <c r="G50" s="8" t="s">
        <v>335</v>
      </c>
      <c r="H50" s="21"/>
      <c r="I50" s="21"/>
      <c r="J50" s="21"/>
      <c r="K50" s="21"/>
      <c r="L50" s="21"/>
    </row>
    <row r="51" ht="22.5" customHeight="1">
      <c r="A51" s="5" t="s">
        <v>336</v>
      </c>
      <c r="B51" s="6" t="s">
        <v>337</v>
      </c>
      <c r="C51" s="45">
        <v>36667.0</v>
      </c>
      <c r="D51" s="21"/>
      <c r="E51" s="48" t="s">
        <v>327</v>
      </c>
      <c r="F51" s="21"/>
      <c r="G51" s="63" t="s">
        <v>338</v>
      </c>
      <c r="H51" s="21"/>
      <c r="I51" s="21"/>
      <c r="J51" s="21"/>
      <c r="K51" s="21"/>
      <c r="L51" s="21"/>
    </row>
    <row r="52">
      <c r="A52" s="5" t="s">
        <v>339</v>
      </c>
      <c r="B52" s="6" t="s">
        <v>340</v>
      </c>
      <c r="C52" s="45">
        <v>4195.0</v>
      </c>
      <c r="D52" s="21"/>
      <c r="E52" s="62"/>
      <c r="F52" s="21"/>
      <c r="G52" s="44">
        <v>3800.0</v>
      </c>
      <c r="H52" s="21"/>
      <c r="I52" s="21"/>
      <c r="J52" s="21"/>
      <c r="K52" s="21"/>
      <c r="L52" s="21"/>
    </row>
    <row r="53">
      <c r="A53" s="5" t="s">
        <v>341</v>
      </c>
      <c r="B53" s="6" t="s">
        <v>342</v>
      </c>
      <c r="C53" s="45">
        <v>1327.0</v>
      </c>
      <c r="D53" s="21"/>
      <c r="E53" s="62"/>
      <c r="F53" s="21"/>
      <c r="G53" s="44" t="s">
        <v>343</v>
      </c>
      <c r="H53" s="21"/>
      <c r="I53" s="21"/>
      <c r="J53" s="21"/>
      <c r="K53" s="21"/>
      <c r="L53" s="21"/>
    </row>
    <row r="54">
      <c r="A54" s="5" t="s">
        <v>344</v>
      </c>
      <c r="B54" s="6" t="s">
        <v>345</v>
      </c>
      <c r="C54" s="45">
        <v>15000.0</v>
      </c>
      <c r="D54" s="21"/>
      <c r="E54" s="48" t="s">
        <v>327</v>
      </c>
      <c r="F54" s="21"/>
      <c r="G54" s="63" t="s">
        <v>346</v>
      </c>
      <c r="H54" s="21"/>
      <c r="I54" s="21"/>
      <c r="J54" s="21"/>
      <c r="K54" s="21"/>
      <c r="L54" s="21"/>
    </row>
    <row r="55" ht="24.75" customHeight="1">
      <c r="A55" s="5" t="s">
        <v>347</v>
      </c>
      <c r="B55" s="6" t="s">
        <v>348</v>
      </c>
      <c r="C55" s="45">
        <v>11700.0</v>
      </c>
      <c r="D55" s="21"/>
      <c r="E55" s="62"/>
      <c r="F55" s="21"/>
      <c r="G55" s="44" t="s">
        <v>349</v>
      </c>
      <c r="H55" s="21"/>
      <c r="I55" s="21"/>
      <c r="J55" s="21"/>
      <c r="K55" s="21"/>
      <c r="L55" s="21"/>
    </row>
    <row r="56">
      <c r="A56" s="5" t="s">
        <v>350</v>
      </c>
      <c r="B56" s="6" t="s">
        <v>41</v>
      </c>
      <c r="C56" s="45">
        <v>15900.0</v>
      </c>
      <c r="D56" s="21"/>
      <c r="E56" s="48" t="s">
        <v>322</v>
      </c>
      <c r="F56" s="21"/>
      <c r="G56" s="48" t="s">
        <v>37</v>
      </c>
      <c r="H56" s="21"/>
      <c r="I56" s="21"/>
      <c r="J56" s="21"/>
      <c r="K56" s="21"/>
      <c r="L56" s="21"/>
    </row>
    <row r="57">
      <c r="A57" s="5" t="s">
        <v>351</v>
      </c>
      <c r="B57" s="6" t="s">
        <v>21</v>
      </c>
      <c r="C57" s="45">
        <v>14100.0</v>
      </c>
      <c r="D57" s="21"/>
      <c r="E57" s="64" t="s">
        <v>108</v>
      </c>
      <c r="F57" s="21"/>
      <c r="G57" s="48" t="s">
        <v>352</v>
      </c>
      <c r="H57" s="21"/>
      <c r="I57" s="21"/>
      <c r="J57" s="21"/>
      <c r="K57" s="21"/>
      <c r="L57" s="21"/>
    </row>
    <row r="58">
      <c r="A58" s="21"/>
      <c r="B58" s="6" t="s">
        <v>348</v>
      </c>
      <c r="C58" s="45">
        <v>11800.0</v>
      </c>
      <c r="D58" s="21"/>
      <c r="E58" s="48" t="s">
        <v>327</v>
      </c>
      <c r="F58" s="21"/>
      <c r="G58" s="48" t="s">
        <v>353</v>
      </c>
      <c r="H58" s="21"/>
      <c r="I58" s="21"/>
      <c r="J58" s="21"/>
      <c r="K58" s="21"/>
      <c r="L58" s="21"/>
    </row>
    <row r="59">
      <c r="A59" s="5" t="s">
        <v>354</v>
      </c>
      <c r="B59" s="6" t="s">
        <v>355</v>
      </c>
      <c r="C59" s="5">
        <v>3000.0</v>
      </c>
      <c r="D59" s="21"/>
      <c r="E59" s="62"/>
      <c r="F59" s="21"/>
      <c r="G59" s="62"/>
      <c r="H59" s="21"/>
      <c r="I59" s="21"/>
      <c r="J59" s="21"/>
      <c r="K59" s="21"/>
      <c r="L59" s="21"/>
    </row>
    <row r="60">
      <c r="A60" s="5" t="s">
        <v>29</v>
      </c>
      <c r="B60" s="6" t="s">
        <v>30</v>
      </c>
      <c r="C60" s="5">
        <v>2900.0</v>
      </c>
      <c r="D60" s="21"/>
      <c r="E60" s="48" t="s">
        <v>327</v>
      </c>
      <c r="F60" s="21"/>
      <c r="G60" s="48" t="s">
        <v>31</v>
      </c>
      <c r="H60" s="21"/>
      <c r="I60" s="21"/>
      <c r="J60" s="21"/>
      <c r="K60" s="21"/>
      <c r="L60" s="21"/>
    </row>
    <row r="61">
      <c r="A61" s="21"/>
      <c r="B61" s="21"/>
      <c r="C61" s="21"/>
      <c r="D61" s="21"/>
      <c r="E61" s="21"/>
      <c r="F61" s="21"/>
      <c r="G61" s="62"/>
      <c r="H61" s="21"/>
      <c r="I61" s="21"/>
      <c r="J61" s="21"/>
      <c r="K61" s="21"/>
      <c r="L61" s="21"/>
    </row>
    <row r="62">
      <c r="A62" s="21"/>
      <c r="B62" s="21"/>
      <c r="C62" s="21"/>
      <c r="D62" s="21"/>
      <c r="E62" s="21"/>
      <c r="F62" s="21"/>
      <c r="G62" s="62"/>
      <c r="H62" s="21"/>
      <c r="I62" s="21"/>
      <c r="J62" s="21"/>
      <c r="K62" s="21"/>
      <c r="L62" s="21"/>
    </row>
    <row r="63">
      <c r="A63" s="21"/>
      <c r="B63" s="21"/>
      <c r="C63" s="21"/>
      <c r="D63" s="21"/>
      <c r="E63" s="21"/>
      <c r="F63" s="21"/>
      <c r="G63" s="62"/>
      <c r="H63" s="21"/>
      <c r="I63" s="21"/>
      <c r="J63" s="21"/>
      <c r="K63" s="21"/>
      <c r="L63" s="21"/>
    </row>
    <row r="64">
      <c r="A64" s="21"/>
      <c r="B64" s="21"/>
      <c r="C64" s="21"/>
      <c r="D64" s="21"/>
      <c r="E64" s="21"/>
      <c r="F64" s="21"/>
      <c r="G64" s="62"/>
      <c r="H64" s="21"/>
      <c r="I64" s="21"/>
      <c r="J64" s="21"/>
      <c r="K64" s="21"/>
      <c r="L64" s="21"/>
    </row>
    <row r="65">
      <c r="A65" s="21"/>
      <c r="B65" s="21"/>
      <c r="C65" s="21"/>
      <c r="D65" s="21"/>
      <c r="E65" s="21"/>
      <c r="F65" s="21"/>
      <c r="G65" s="62"/>
      <c r="H65" s="21"/>
      <c r="I65" s="21"/>
      <c r="J65" s="21"/>
      <c r="K65" s="21"/>
      <c r="L65" s="21"/>
    </row>
    <row r="66">
      <c r="A66" s="21"/>
      <c r="B66" s="21"/>
      <c r="C66" s="21"/>
      <c r="D66" s="21"/>
      <c r="E66" s="21"/>
      <c r="F66" s="21"/>
      <c r="G66" s="62"/>
      <c r="H66" s="21"/>
      <c r="I66" s="21"/>
      <c r="J66" s="21"/>
      <c r="K66" s="21"/>
      <c r="L66" s="21"/>
    </row>
    <row r="67">
      <c r="A67" s="21"/>
      <c r="B67" s="21"/>
      <c r="C67" s="21"/>
      <c r="D67" s="21"/>
      <c r="E67" s="21"/>
      <c r="F67" s="21"/>
      <c r="G67" s="62"/>
      <c r="H67" s="21"/>
      <c r="I67" s="21"/>
      <c r="J67" s="21"/>
      <c r="K67" s="21"/>
      <c r="L67" s="21"/>
    </row>
    <row r="68">
      <c r="A68" s="21"/>
      <c r="B68" s="21"/>
      <c r="C68" s="21"/>
      <c r="D68" s="21"/>
      <c r="E68" s="21"/>
      <c r="F68" s="21"/>
      <c r="G68" s="62"/>
      <c r="H68" s="21"/>
      <c r="I68" s="21"/>
      <c r="J68" s="21"/>
      <c r="K68" s="21"/>
      <c r="L68" s="21"/>
    </row>
    <row r="69">
      <c r="A69" s="21"/>
      <c r="B69" s="21"/>
      <c r="C69" s="21"/>
      <c r="D69" s="21"/>
      <c r="E69" s="21"/>
      <c r="F69" s="21"/>
      <c r="G69" s="62"/>
      <c r="H69" s="21"/>
      <c r="I69" s="21"/>
      <c r="J69" s="21"/>
      <c r="K69" s="21"/>
      <c r="L69" s="21"/>
    </row>
    <row r="70">
      <c r="A70" s="21"/>
      <c r="B70" s="21"/>
      <c r="C70" s="21"/>
      <c r="D70" s="21"/>
      <c r="E70" s="21"/>
      <c r="F70" s="21"/>
      <c r="G70" s="62"/>
      <c r="H70" s="21"/>
      <c r="I70" s="21"/>
      <c r="J70" s="21"/>
      <c r="K70" s="21"/>
      <c r="L70" s="21"/>
    </row>
    <row r="71">
      <c r="A71" s="21"/>
      <c r="B71" s="21"/>
      <c r="C71" s="21"/>
      <c r="D71" s="21"/>
      <c r="E71" s="21"/>
      <c r="F71" s="21"/>
      <c r="G71" s="62"/>
      <c r="H71" s="21"/>
      <c r="I71" s="21"/>
      <c r="J71" s="21"/>
      <c r="K71" s="21"/>
      <c r="L71" s="21"/>
    </row>
    <row r="72">
      <c r="A72" s="21"/>
      <c r="B72" s="21"/>
      <c r="C72" s="21"/>
      <c r="D72" s="21"/>
      <c r="E72" s="21"/>
      <c r="F72" s="21"/>
      <c r="G72" s="62"/>
      <c r="H72" s="21"/>
      <c r="I72" s="21"/>
      <c r="J72" s="21"/>
      <c r="K72" s="21"/>
      <c r="L72" s="21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</row>
    <row r="7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</row>
    <row r="7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</row>
    <row r="8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</row>
  </sheetData>
  <mergeCells count="1">
    <mergeCell ref="B3:L3"/>
  </mergeCells>
  <hyperlinks>
    <hyperlink r:id="rId1" ref="B4"/>
    <hyperlink r:id="rId2" ref="B5"/>
    <hyperlink r:id="rId3" ref="B6"/>
    <hyperlink r:id="rId4" ref="B7"/>
    <hyperlink r:id="rId5" ref="B8"/>
    <hyperlink r:id="rId6" ref="B9"/>
    <hyperlink r:id="rId7" ref="B10"/>
    <hyperlink r:id="rId8" ref="B11"/>
    <hyperlink r:id="rId9" ref="B12"/>
    <hyperlink r:id="rId10" ref="B13"/>
    <hyperlink r:id="rId11" ref="B14"/>
    <hyperlink r:id="rId12" ref="B15"/>
    <hyperlink r:id="rId13" ref="B16"/>
    <hyperlink r:id="rId14" ref="B17"/>
    <hyperlink r:id="rId15" ref="B18"/>
    <hyperlink r:id="rId16" ref="B19"/>
    <hyperlink r:id="rId17" ref="B20"/>
    <hyperlink r:id="rId18" ref="B21"/>
    <hyperlink r:id="rId19" ref="B22"/>
    <hyperlink r:id="rId20" ref="B23"/>
    <hyperlink r:id="rId21" ref="B24"/>
    <hyperlink r:id="rId22" ref="B25"/>
    <hyperlink r:id="rId23" ref="B26"/>
    <hyperlink r:id="rId24" ref="B27"/>
    <hyperlink r:id="rId25" ref="B28"/>
    <hyperlink r:id="rId26" ref="B29"/>
    <hyperlink r:id="rId27" ref="B30"/>
    <hyperlink r:id="rId28" ref="B31"/>
    <hyperlink r:id="rId29" ref="B32"/>
    <hyperlink r:id="rId30" ref="B33"/>
    <hyperlink r:id="rId31" ref="B34"/>
    <hyperlink r:id="rId32" ref="B35"/>
    <hyperlink r:id="rId33" ref="B36"/>
    <hyperlink r:id="rId34" ref="B37"/>
    <hyperlink r:id="rId35" ref="B38"/>
    <hyperlink r:id="rId36" ref="B39"/>
    <hyperlink r:id="rId37" ref="B40"/>
    <hyperlink r:id="rId38" ref="B41"/>
    <hyperlink r:id="rId39" ref="B42"/>
    <hyperlink r:id="rId40" ref="B43"/>
    <hyperlink r:id="rId41" ref="B44"/>
    <hyperlink r:id="rId42" ref="B45"/>
    <hyperlink r:id="rId43" ref="B46"/>
    <hyperlink r:id="rId44" ref="B47"/>
    <hyperlink r:id="rId45" ref="B48"/>
    <hyperlink r:id="rId46" ref="B49"/>
    <hyperlink r:id="rId47" ref="B50"/>
    <hyperlink r:id="rId48" ref="B51"/>
    <hyperlink r:id="rId49" ref="B52"/>
    <hyperlink r:id="rId50" ref="B53"/>
    <hyperlink r:id="rId51" ref="B54"/>
    <hyperlink r:id="rId52" ref="B55"/>
    <hyperlink r:id="rId53" ref="B56"/>
    <hyperlink r:id="rId54" ref="B57"/>
    <hyperlink r:id="rId55" ref="B58"/>
    <hyperlink r:id="rId56" ref="B59"/>
    <hyperlink r:id="rId57" ref="B60"/>
  </hyperlinks>
  <drawing r:id="rId58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5.38"/>
    <col customWidth="1" min="3" max="3" width="25.5"/>
    <col customWidth="1" min="4" max="4" width="28.0"/>
    <col customWidth="1" min="5" max="5" width="25.38"/>
  </cols>
  <sheetData>
    <row r="1">
      <c r="A1" s="66" t="s">
        <v>356</v>
      </c>
      <c r="B1" s="66" t="s">
        <v>357</v>
      </c>
      <c r="C1" s="67" t="s">
        <v>358</v>
      </c>
      <c r="D1" s="66" t="s">
        <v>359</v>
      </c>
    </row>
    <row r="2">
      <c r="A2" s="68" t="s">
        <v>360</v>
      </c>
      <c r="B2" s="69" t="s">
        <v>361</v>
      </c>
      <c r="C2" s="24" t="s">
        <v>97</v>
      </c>
      <c r="D2" s="24" t="s">
        <v>362</v>
      </c>
    </row>
    <row r="3">
      <c r="C3" s="24" t="s">
        <v>100</v>
      </c>
      <c r="D3" s="24" t="s">
        <v>363</v>
      </c>
    </row>
    <row r="4">
      <c r="C4" s="24" t="s">
        <v>102</v>
      </c>
      <c r="D4" s="24" t="s">
        <v>364</v>
      </c>
    </row>
    <row r="5">
      <c r="C5" s="24" t="s">
        <v>105</v>
      </c>
      <c r="D5" s="24" t="s">
        <v>365</v>
      </c>
    </row>
    <row r="6">
      <c r="C6" s="24" t="s">
        <v>64</v>
      </c>
      <c r="D6" s="24" t="s">
        <v>366</v>
      </c>
    </row>
    <row r="7">
      <c r="C7" s="24" t="s">
        <v>112</v>
      </c>
      <c r="D7" s="24" t="s">
        <v>367</v>
      </c>
    </row>
    <row r="8">
      <c r="C8" s="24" t="s">
        <v>114</v>
      </c>
      <c r="D8" s="24" t="s">
        <v>368</v>
      </c>
    </row>
    <row r="9">
      <c r="C9" s="24" t="s">
        <v>117</v>
      </c>
      <c r="D9" s="24" t="s">
        <v>369</v>
      </c>
    </row>
    <row r="10">
      <c r="C10" s="24" t="s">
        <v>119</v>
      </c>
      <c r="D10" s="24" t="s">
        <v>370</v>
      </c>
    </row>
    <row r="11">
      <c r="C11" s="24" t="s">
        <v>121</v>
      </c>
      <c r="D11" s="24" t="s">
        <v>371</v>
      </c>
    </row>
    <row r="12">
      <c r="C12" s="24" t="s">
        <v>125</v>
      </c>
      <c r="D12" s="24" t="s">
        <v>372</v>
      </c>
    </row>
    <row r="13">
      <c r="C13" s="24" t="s">
        <v>129</v>
      </c>
      <c r="D13" s="24" t="s">
        <v>373</v>
      </c>
    </row>
    <row r="14">
      <c r="C14" s="24" t="s">
        <v>131</v>
      </c>
      <c r="D14" s="24" t="s">
        <v>374</v>
      </c>
    </row>
    <row r="15">
      <c r="C15" s="24" t="s">
        <v>72</v>
      </c>
      <c r="D15" s="24" t="s">
        <v>375</v>
      </c>
    </row>
    <row r="16">
      <c r="C16" s="24" t="s">
        <v>136</v>
      </c>
      <c r="D16" s="24" t="s">
        <v>376</v>
      </c>
    </row>
    <row r="17">
      <c r="A17" s="24" t="s">
        <v>377</v>
      </c>
      <c r="B17" s="70" t="s">
        <v>378</v>
      </c>
      <c r="C17" s="24" t="s">
        <v>139</v>
      </c>
      <c r="D17" s="24" t="s">
        <v>379</v>
      </c>
    </row>
    <row r="18">
      <c r="A18" s="24" t="s">
        <v>380</v>
      </c>
      <c r="B18" s="70" t="s">
        <v>381</v>
      </c>
      <c r="C18" s="24" t="s">
        <v>141</v>
      </c>
      <c r="D18" s="24" t="s">
        <v>382</v>
      </c>
    </row>
    <row r="19">
      <c r="A19" s="24" t="s">
        <v>383</v>
      </c>
      <c r="B19" s="70" t="s">
        <v>384</v>
      </c>
      <c r="C19" s="24" t="s">
        <v>93</v>
      </c>
      <c r="D19" s="24" t="s">
        <v>385</v>
      </c>
    </row>
    <row r="20">
      <c r="A20" s="24" t="s">
        <v>386</v>
      </c>
      <c r="B20" s="70" t="s">
        <v>387</v>
      </c>
      <c r="C20" s="24" t="s">
        <v>93</v>
      </c>
      <c r="D20" s="24" t="s">
        <v>388</v>
      </c>
    </row>
    <row r="21">
      <c r="A21" s="24" t="s">
        <v>389</v>
      </c>
      <c r="B21" s="70" t="s">
        <v>390</v>
      </c>
      <c r="C21" s="24" t="s">
        <v>143</v>
      </c>
      <c r="D21" s="24" t="s">
        <v>391</v>
      </c>
    </row>
    <row r="22">
      <c r="A22" s="24" t="s">
        <v>392</v>
      </c>
      <c r="B22" s="70" t="s">
        <v>393</v>
      </c>
      <c r="C22" s="24" t="s">
        <v>394</v>
      </c>
      <c r="D22" s="71" t="s">
        <v>395</v>
      </c>
    </row>
    <row r="23">
      <c r="A23" s="68" t="s">
        <v>396</v>
      </c>
      <c r="B23" s="69" t="s">
        <v>393</v>
      </c>
      <c r="C23" s="24" t="s">
        <v>145</v>
      </c>
      <c r="D23" s="24" t="s">
        <v>397</v>
      </c>
    </row>
    <row r="24">
      <c r="C24" s="24" t="s">
        <v>398</v>
      </c>
      <c r="D24" s="24" t="s">
        <v>399</v>
      </c>
    </row>
    <row r="25">
      <c r="C25" s="24" t="s">
        <v>68</v>
      </c>
      <c r="D25" s="24" t="s">
        <v>400</v>
      </c>
    </row>
    <row r="26">
      <c r="C26" s="24" t="s">
        <v>151</v>
      </c>
      <c r="D26" s="24" t="s">
        <v>401</v>
      </c>
    </row>
    <row r="27">
      <c r="C27" s="24" t="s">
        <v>154</v>
      </c>
      <c r="D27" s="24" t="s">
        <v>402</v>
      </c>
    </row>
    <row r="28">
      <c r="C28" s="24" t="s">
        <v>157</v>
      </c>
      <c r="D28" s="24" t="s">
        <v>403</v>
      </c>
    </row>
    <row r="29">
      <c r="C29" s="24" t="s">
        <v>161</v>
      </c>
      <c r="D29" s="24" t="s">
        <v>404</v>
      </c>
    </row>
    <row r="30">
      <c r="C30" s="24" t="s">
        <v>164</v>
      </c>
      <c r="D30" s="24" t="s">
        <v>405</v>
      </c>
    </row>
    <row r="31">
      <c r="A31" s="24" t="s">
        <v>406</v>
      </c>
      <c r="B31" s="70" t="s">
        <v>407</v>
      </c>
      <c r="C31" s="24" t="s">
        <v>166</v>
      </c>
      <c r="D31" s="24" t="s">
        <v>408</v>
      </c>
    </row>
    <row r="32">
      <c r="A32" s="24" t="s">
        <v>409</v>
      </c>
      <c r="B32" s="70" t="s">
        <v>410</v>
      </c>
      <c r="C32" s="24" t="s">
        <v>411</v>
      </c>
      <c r="D32" s="24" t="s">
        <v>169</v>
      </c>
    </row>
  </sheetData>
  <mergeCells count="4">
    <mergeCell ref="A2:A16"/>
    <mergeCell ref="B2:B16"/>
    <mergeCell ref="A23:A30"/>
    <mergeCell ref="B23:B30"/>
  </mergeCells>
  <hyperlinks>
    <hyperlink r:id="rId1" ref="A2"/>
    <hyperlink r:id="rId2" ref="C2"/>
    <hyperlink r:id="rId3" ref="D2"/>
    <hyperlink r:id="rId4" ref="C3"/>
    <hyperlink r:id="rId5" ref="D3"/>
    <hyperlink r:id="rId6" ref="C4"/>
    <hyperlink r:id="rId7" ref="D4"/>
    <hyperlink r:id="rId8" ref="C5"/>
    <hyperlink r:id="rId9" ref="D5"/>
    <hyperlink r:id="rId10" ref="C6"/>
    <hyperlink r:id="rId11" ref="D6"/>
    <hyperlink r:id="rId12" ref="C7"/>
    <hyperlink r:id="rId13" ref="D7"/>
    <hyperlink r:id="rId14" ref="C8"/>
    <hyperlink r:id="rId15" ref="D8"/>
    <hyperlink r:id="rId16" ref="C9"/>
    <hyperlink r:id="rId17" ref="D9"/>
    <hyperlink r:id="rId18" ref="C10"/>
    <hyperlink r:id="rId19" ref="D10"/>
    <hyperlink r:id="rId20" ref="C11"/>
    <hyperlink r:id="rId21" ref="D11"/>
    <hyperlink r:id="rId22" ref="C12"/>
    <hyperlink r:id="rId23" ref="D12"/>
    <hyperlink r:id="rId24" ref="C13"/>
    <hyperlink r:id="rId25" ref="D13"/>
    <hyperlink r:id="rId26" ref="C14"/>
    <hyperlink r:id="rId27" ref="D14"/>
    <hyperlink r:id="rId28" ref="C15"/>
    <hyperlink r:id="rId29" ref="D15"/>
    <hyperlink r:id="rId30" ref="C16"/>
    <hyperlink r:id="rId31" ref="D16"/>
    <hyperlink r:id="rId32" ref="A17"/>
    <hyperlink r:id="rId33" ref="C17"/>
    <hyperlink r:id="rId34" ref="D17"/>
    <hyperlink r:id="rId35" ref="A18"/>
    <hyperlink r:id="rId36" ref="C18"/>
    <hyperlink r:id="rId37" ref="D18"/>
    <hyperlink r:id="rId38" ref="A19"/>
    <hyperlink r:id="rId39" ref="C19"/>
    <hyperlink r:id="rId40" ref="D19"/>
    <hyperlink r:id="rId41" ref="A20"/>
    <hyperlink r:id="rId42" ref="C20"/>
    <hyperlink r:id="rId43" ref="D20"/>
    <hyperlink r:id="rId44" ref="A21"/>
    <hyperlink r:id="rId45" ref="C21"/>
    <hyperlink r:id="rId46" ref="D21"/>
    <hyperlink r:id="rId47" ref="A22"/>
    <hyperlink r:id="rId48" ref="C22"/>
    <hyperlink r:id="rId49" ref="D22"/>
    <hyperlink r:id="rId50" ref="A23"/>
    <hyperlink r:id="rId51" ref="C23"/>
    <hyperlink r:id="rId52" ref="D23"/>
    <hyperlink r:id="rId53" ref="C24"/>
    <hyperlink r:id="rId54" ref="D24"/>
    <hyperlink r:id="rId55" ref="C25"/>
    <hyperlink r:id="rId56" ref="D25"/>
    <hyperlink r:id="rId57" ref="C26"/>
    <hyperlink r:id="rId58" ref="D26"/>
    <hyperlink r:id="rId59" ref="C27"/>
    <hyperlink r:id="rId60" ref="D27"/>
    <hyperlink r:id="rId61" ref="C28"/>
    <hyperlink r:id="rId62" ref="D28"/>
    <hyperlink r:id="rId63" ref="C29"/>
    <hyperlink r:id="rId64" ref="D29"/>
    <hyperlink r:id="rId65" ref="C30"/>
    <hyperlink r:id="rId66" ref="D30"/>
    <hyperlink r:id="rId67" ref="A31"/>
    <hyperlink r:id="rId68" ref="C31"/>
    <hyperlink r:id="rId69" ref="D31"/>
    <hyperlink r:id="rId70" ref="A32"/>
    <hyperlink r:id="rId71" ref="C32"/>
    <hyperlink r:id="rId72" ref="D32"/>
  </hyperlinks>
  <drawing r:id="rId7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5.38"/>
    <col customWidth="1" min="3" max="3" width="25.5"/>
    <col customWidth="1" min="4" max="4" width="27.13"/>
  </cols>
  <sheetData>
    <row r="1">
      <c r="A1" s="66" t="s">
        <v>356</v>
      </c>
      <c r="B1" s="66" t="s">
        <v>357</v>
      </c>
      <c r="C1" s="67" t="s">
        <v>412</v>
      </c>
      <c r="D1" s="66" t="s">
        <v>359</v>
      </c>
    </row>
    <row r="2">
      <c r="A2" s="24" t="s">
        <v>413</v>
      </c>
      <c r="B2" s="70" t="s">
        <v>414</v>
      </c>
      <c r="C2" s="24" t="s">
        <v>219</v>
      </c>
      <c r="D2" s="24" t="s">
        <v>415</v>
      </c>
    </row>
    <row r="3">
      <c r="A3" s="24" t="s">
        <v>416</v>
      </c>
      <c r="B3" s="70" t="s">
        <v>384</v>
      </c>
      <c r="C3" s="24" t="s">
        <v>221</v>
      </c>
      <c r="D3" s="24" t="s">
        <v>417</v>
      </c>
    </row>
    <row r="4">
      <c r="B4" s="70" t="s">
        <v>418</v>
      </c>
      <c r="C4" s="24" t="s">
        <v>223</v>
      </c>
      <c r="D4" s="24" t="s">
        <v>419</v>
      </c>
    </row>
    <row r="5">
      <c r="A5" s="24" t="s">
        <v>420</v>
      </c>
      <c r="B5" s="70" t="s">
        <v>421</v>
      </c>
      <c r="C5" s="24" t="s">
        <v>226</v>
      </c>
      <c r="D5" s="24" t="s">
        <v>422</v>
      </c>
    </row>
    <row r="6">
      <c r="B6" s="70" t="s">
        <v>423</v>
      </c>
      <c r="C6" s="24" t="s">
        <v>228</v>
      </c>
      <c r="D6" s="24" t="s">
        <v>424</v>
      </c>
    </row>
    <row r="7">
      <c r="B7" s="70" t="s">
        <v>425</v>
      </c>
      <c r="C7" s="24" t="s">
        <v>230</v>
      </c>
      <c r="D7" s="24" t="s">
        <v>426</v>
      </c>
    </row>
    <row r="8">
      <c r="B8" s="70" t="s">
        <v>425</v>
      </c>
      <c r="C8" s="24" t="s">
        <v>233</v>
      </c>
      <c r="D8" s="24" t="s">
        <v>427</v>
      </c>
    </row>
    <row r="9">
      <c r="B9" s="70" t="s">
        <v>428</v>
      </c>
      <c r="C9" s="24" t="s">
        <v>236</v>
      </c>
      <c r="D9" s="24" t="s">
        <v>429</v>
      </c>
    </row>
    <row r="10">
      <c r="A10" s="24" t="s">
        <v>430</v>
      </c>
      <c r="B10" s="70" t="s">
        <v>431</v>
      </c>
      <c r="C10" s="24" t="s">
        <v>238</v>
      </c>
      <c r="D10" s="24" t="s">
        <v>432</v>
      </c>
    </row>
    <row r="11">
      <c r="B11" s="70" t="s">
        <v>433</v>
      </c>
      <c r="C11" s="24" t="s">
        <v>241</v>
      </c>
      <c r="D11" s="24" t="s">
        <v>434</v>
      </c>
    </row>
    <row r="12">
      <c r="B12" s="70" t="s">
        <v>435</v>
      </c>
      <c r="C12" s="24" t="s">
        <v>243</v>
      </c>
      <c r="D12" s="24" t="s">
        <v>243</v>
      </c>
    </row>
    <row r="13">
      <c r="B13" s="70" t="s">
        <v>436</v>
      </c>
      <c r="C13" s="24" t="s">
        <v>246</v>
      </c>
      <c r="D13" s="24" t="s">
        <v>437</v>
      </c>
    </row>
    <row r="14">
      <c r="A14" s="24" t="s">
        <v>438</v>
      </c>
      <c r="B14" s="70" t="s">
        <v>439</v>
      </c>
      <c r="C14" s="24" t="s">
        <v>248</v>
      </c>
      <c r="D14" s="24" t="s">
        <v>440</v>
      </c>
    </row>
    <row r="15">
      <c r="B15" s="70" t="s">
        <v>435</v>
      </c>
      <c r="C15" s="24" t="s">
        <v>251</v>
      </c>
      <c r="D15" s="24" t="s">
        <v>441</v>
      </c>
    </row>
    <row r="16">
      <c r="B16" s="70" t="s">
        <v>435</v>
      </c>
      <c r="C16" s="24" t="s">
        <v>253</v>
      </c>
      <c r="D16" s="24" t="s">
        <v>442</v>
      </c>
    </row>
    <row r="17">
      <c r="B17" s="70" t="s">
        <v>435</v>
      </c>
      <c r="C17" s="24" t="s">
        <v>256</v>
      </c>
      <c r="D17" s="24" t="s">
        <v>443</v>
      </c>
    </row>
    <row r="18">
      <c r="B18" s="70" t="s">
        <v>435</v>
      </c>
      <c r="C18" s="24" t="s">
        <v>258</v>
      </c>
      <c r="D18" s="24" t="s">
        <v>444</v>
      </c>
    </row>
    <row r="19">
      <c r="B19" s="70" t="s">
        <v>435</v>
      </c>
      <c r="C19" s="24" t="s">
        <v>260</v>
      </c>
      <c r="D19" s="24" t="s">
        <v>445</v>
      </c>
    </row>
    <row r="20">
      <c r="B20" s="70" t="s">
        <v>435</v>
      </c>
      <c r="C20" s="24" t="s">
        <v>262</v>
      </c>
      <c r="D20" s="24" t="s">
        <v>446</v>
      </c>
    </row>
    <row r="21">
      <c r="B21" s="70" t="s">
        <v>435</v>
      </c>
      <c r="C21" s="24" t="s">
        <v>265</v>
      </c>
      <c r="D21" s="24" t="s">
        <v>447</v>
      </c>
    </row>
    <row r="22">
      <c r="B22" s="70" t="s">
        <v>435</v>
      </c>
      <c r="C22" s="24" t="s">
        <v>267</v>
      </c>
      <c r="D22" s="24" t="s">
        <v>448</v>
      </c>
    </row>
    <row r="23">
      <c r="B23" s="70" t="s">
        <v>435</v>
      </c>
      <c r="C23" s="24" t="s">
        <v>269</v>
      </c>
      <c r="D23" s="24" t="s">
        <v>449</v>
      </c>
    </row>
    <row r="24">
      <c r="A24" s="24" t="s">
        <v>450</v>
      </c>
      <c r="B24" s="70" t="s">
        <v>425</v>
      </c>
      <c r="C24" s="24" t="s">
        <v>272</v>
      </c>
      <c r="D24" s="24" t="s">
        <v>451</v>
      </c>
    </row>
    <row r="25">
      <c r="B25" s="70" t="s">
        <v>425</v>
      </c>
      <c r="C25" s="24" t="s">
        <v>274</v>
      </c>
      <c r="D25" s="24" t="s">
        <v>452</v>
      </c>
    </row>
    <row r="26">
      <c r="B26" s="70" t="s">
        <v>425</v>
      </c>
      <c r="C26" s="24" t="s">
        <v>276</v>
      </c>
      <c r="D26" s="24" t="s">
        <v>453</v>
      </c>
    </row>
    <row r="27">
      <c r="B27" s="70" t="s">
        <v>425</v>
      </c>
      <c r="C27" s="24" t="s">
        <v>279</v>
      </c>
      <c r="D27" s="24" t="s">
        <v>454</v>
      </c>
    </row>
    <row r="28">
      <c r="B28" s="70" t="s">
        <v>455</v>
      </c>
      <c r="C28" s="24" t="s">
        <v>281</v>
      </c>
      <c r="D28" s="24" t="s">
        <v>456</v>
      </c>
    </row>
    <row r="29">
      <c r="A29" s="24" t="s">
        <v>457</v>
      </c>
      <c r="B29" s="70" t="s">
        <v>435</v>
      </c>
      <c r="C29" s="24" t="s">
        <v>284</v>
      </c>
      <c r="D29" s="24" t="s">
        <v>458</v>
      </c>
    </row>
    <row r="30">
      <c r="A30" s="24" t="s">
        <v>459</v>
      </c>
      <c r="B30" s="70" t="s">
        <v>460</v>
      </c>
      <c r="C30" s="24" t="s">
        <v>286</v>
      </c>
      <c r="D30" s="24" t="s">
        <v>461</v>
      </c>
    </row>
    <row r="31">
      <c r="B31" s="70" t="s">
        <v>462</v>
      </c>
      <c r="C31" s="24" t="s">
        <v>288</v>
      </c>
      <c r="D31" s="24" t="s">
        <v>463</v>
      </c>
    </row>
    <row r="32">
      <c r="B32" s="70" t="s">
        <v>425</v>
      </c>
      <c r="C32" s="24" t="s">
        <v>291</v>
      </c>
      <c r="D32" s="24" t="s">
        <v>464</v>
      </c>
    </row>
    <row r="33">
      <c r="B33" s="70" t="s">
        <v>425</v>
      </c>
      <c r="C33" s="24" t="s">
        <v>293</v>
      </c>
      <c r="D33" s="24" t="s">
        <v>465</v>
      </c>
    </row>
    <row r="34">
      <c r="B34" s="70" t="s">
        <v>425</v>
      </c>
      <c r="C34" s="24" t="s">
        <v>295</v>
      </c>
      <c r="D34" s="24" t="s">
        <v>466</v>
      </c>
    </row>
    <row r="35">
      <c r="B35" s="70" t="s">
        <v>425</v>
      </c>
      <c r="C35" s="24" t="s">
        <v>241</v>
      </c>
      <c r="D35" s="24" t="s">
        <v>467</v>
      </c>
    </row>
    <row r="36">
      <c r="B36" s="70" t="s">
        <v>425</v>
      </c>
      <c r="C36" s="24" t="s">
        <v>298</v>
      </c>
      <c r="D36" s="24" t="s">
        <v>468</v>
      </c>
    </row>
  </sheetData>
  <hyperlinks>
    <hyperlink r:id="rId1" ref="A2"/>
    <hyperlink r:id="rId2" ref="C2"/>
    <hyperlink r:id="rId3" ref="D2"/>
    <hyperlink r:id="rId4" ref="A3"/>
    <hyperlink r:id="rId5" ref="C3"/>
    <hyperlink r:id="rId6" ref="D3"/>
    <hyperlink r:id="rId7" ref="C4"/>
    <hyperlink r:id="rId8" ref="D4"/>
    <hyperlink r:id="rId9" ref="A5"/>
    <hyperlink r:id="rId10" ref="C5"/>
    <hyperlink r:id="rId11" ref="D5"/>
    <hyperlink r:id="rId12" ref="C6"/>
    <hyperlink r:id="rId13" ref="D6"/>
    <hyperlink r:id="rId14" ref="C7"/>
    <hyperlink r:id="rId15" ref="D7"/>
    <hyperlink r:id="rId16" ref="C8"/>
    <hyperlink r:id="rId17" ref="D8"/>
    <hyperlink r:id="rId18" ref="C9"/>
    <hyperlink r:id="rId19" ref="D9"/>
    <hyperlink r:id="rId20" ref="A10"/>
    <hyperlink r:id="rId21" ref="C10"/>
    <hyperlink r:id="rId22" ref="D10"/>
    <hyperlink r:id="rId23" ref="C11"/>
    <hyperlink r:id="rId24" ref="D11"/>
    <hyperlink r:id="rId25" ref="C12"/>
    <hyperlink r:id="rId26" ref="D12"/>
    <hyperlink r:id="rId27" ref="C13"/>
    <hyperlink r:id="rId28" ref="D13"/>
    <hyperlink r:id="rId29" ref="A14"/>
    <hyperlink r:id="rId30" ref="C14"/>
    <hyperlink r:id="rId31" ref="D14"/>
    <hyperlink r:id="rId32" ref="C15"/>
    <hyperlink r:id="rId33" ref="D15"/>
    <hyperlink r:id="rId34" ref="C16"/>
    <hyperlink r:id="rId35" ref="D16"/>
    <hyperlink r:id="rId36" ref="C17"/>
    <hyperlink r:id="rId37" ref="D17"/>
    <hyperlink r:id="rId38" ref="C18"/>
    <hyperlink r:id="rId39" ref="D18"/>
    <hyperlink r:id="rId40" ref="C19"/>
    <hyperlink r:id="rId41" ref="D19"/>
    <hyperlink r:id="rId42" ref="C20"/>
    <hyperlink r:id="rId43" ref="D20"/>
    <hyperlink r:id="rId44" ref="C21"/>
    <hyperlink r:id="rId45" ref="D21"/>
    <hyperlink r:id="rId46" ref="C22"/>
    <hyperlink r:id="rId47" ref="D22"/>
    <hyperlink r:id="rId48" ref="C23"/>
    <hyperlink r:id="rId49" ref="D23"/>
    <hyperlink r:id="rId50" ref="A24"/>
    <hyperlink r:id="rId51" ref="C24"/>
    <hyperlink r:id="rId52" ref="D24"/>
    <hyperlink r:id="rId53" ref="C25"/>
    <hyperlink r:id="rId54" ref="D25"/>
    <hyperlink r:id="rId55" ref="C26"/>
    <hyperlink r:id="rId56" ref="D26"/>
    <hyperlink r:id="rId57" ref="C27"/>
    <hyperlink r:id="rId58" ref="D27"/>
    <hyperlink r:id="rId59" ref="C28"/>
    <hyperlink r:id="rId60" ref="D28"/>
    <hyperlink r:id="rId61" ref="A29"/>
    <hyperlink r:id="rId62" ref="C29"/>
    <hyperlink r:id="rId63" ref="D29"/>
    <hyperlink r:id="rId64" ref="A30"/>
    <hyperlink r:id="rId65" ref="C30"/>
    <hyperlink r:id="rId66" ref="D30"/>
    <hyperlink r:id="rId67" ref="C31"/>
    <hyperlink r:id="rId68" ref="D31"/>
    <hyperlink r:id="rId69" ref="C32"/>
    <hyperlink r:id="rId70" ref="D32"/>
    <hyperlink r:id="rId71" ref="C33"/>
    <hyperlink r:id="rId72" ref="D33"/>
    <hyperlink r:id="rId73" ref="C34"/>
    <hyperlink r:id="rId74" ref="D34"/>
    <hyperlink r:id="rId75" ref="C35"/>
    <hyperlink r:id="rId76" ref="D35"/>
    <hyperlink r:id="rId77" ref="C36"/>
    <hyperlink r:id="rId78" ref="D36"/>
  </hyperlinks>
  <drawing r:id="rId79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</cols>
  <sheetData>
    <row r="1">
      <c r="A1" s="66" t="s">
        <v>469</v>
      </c>
      <c r="B1" s="66" t="s">
        <v>470</v>
      </c>
      <c r="C1" s="66" t="s">
        <v>471</v>
      </c>
      <c r="D1" s="66" t="s">
        <v>472</v>
      </c>
    </row>
    <row r="2">
      <c r="A2" s="24" t="s">
        <v>68</v>
      </c>
      <c r="B2" s="70" t="s">
        <v>473</v>
      </c>
      <c r="C2" s="70" t="s">
        <v>474</v>
      </c>
      <c r="D2" s="70" t="s">
        <v>475</v>
      </c>
    </row>
    <row r="3">
      <c r="A3" s="24" t="s">
        <v>64</v>
      </c>
      <c r="B3" s="70" t="s">
        <v>476</v>
      </c>
      <c r="C3" s="70" t="s">
        <v>477</v>
      </c>
      <c r="D3" s="70" t="s">
        <v>475</v>
      </c>
    </row>
    <row r="4">
      <c r="A4" s="24" t="s">
        <v>13</v>
      </c>
      <c r="B4" s="70" t="s">
        <v>478</v>
      </c>
      <c r="C4" s="70" t="s">
        <v>479</v>
      </c>
      <c r="D4" s="70" t="s">
        <v>480</v>
      </c>
    </row>
    <row r="5">
      <c r="A5" s="24" t="s">
        <v>72</v>
      </c>
      <c r="B5" s="70" t="s">
        <v>481</v>
      </c>
      <c r="C5" s="70" t="s">
        <v>482</v>
      </c>
      <c r="D5" s="70" t="s">
        <v>475</v>
      </c>
    </row>
    <row r="6">
      <c r="A6" s="24" t="s">
        <v>76</v>
      </c>
      <c r="B6" s="70" t="s">
        <v>483</v>
      </c>
      <c r="C6" s="70" t="s">
        <v>484</v>
      </c>
      <c r="D6" s="70" t="s">
        <v>475</v>
      </c>
    </row>
    <row r="7">
      <c r="A7" s="24" t="s">
        <v>80</v>
      </c>
      <c r="B7" s="70" t="s">
        <v>485</v>
      </c>
      <c r="C7" s="70" t="s">
        <v>486</v>
      </c>
      <c r="D7" s="70" t="s">
        <v>475</v>
      </c>
    </row>
    <row r="8">
      <c r="A8" s="24" t="s">
        <v>21</v>
      </c>
      <c r="B8" s="70" t="s">
        <v>487</v>
      </c>
      <c r="C8" s="70" t="s">
        <v>488</v>
      </c>
      <c r="D8" s="70" t="s">
        <v>480</v>
      </c>
    </row>
    <row r="9">
      <c r="A9" s="24" t="s">
        <v>26</v>
      </c>
      <c r="B9" s="70" t="s">
        <v>489</v>
      </c>
      <c r="C9" s="70" t="s">
        <v>19</v>
      </c>
      <c r="D9" s="70" t="s">
        <v>480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</hyperlinks>
  <drawing r:id="rId9"/>
</worksheet>
</file>